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C\Desktop\"/>
    </mc:Choice>
  </mc:AlternateContent>
  <bookViews>
    <workbookView xWindow="0" yWindow="0" windowWidth="28800" windowHeight="11760"/>
  </bookViews>
  <sheets>
    <sheet name="IDM_ISTL" sheetId="1" r:id="rId1"/>
    <sheet name="수정history" sheetId="3" r:id="rId2"/>
    <sheet name="Dryer Regen. Valve 관련 Basis" sheetId="2" state="hidden" r:id="rId3"/>
  </sheets>
  <definedNames>
    <definedName name="_xlnm._FilterDatabase" localSheetId="0" hidden="1">IDM_ISTL!$A$3:$FM$314</definedName>
    <definedName name="_xlnm.Print_Area" localSheetId="0">IDM_ISTL!$A$1:$FM$309</definedName>
  </definedNames>
  <calcPr calcId="162913"/>
</workbook>
</file>

<file path=xl/calcChain.xml><?xml version="1.0" encoding="utf-8"?>
<calcChain xmlns="http://schemas.openxmlformats.org/spreadsheetml/2006/main">
  <c r="U127" i="1" l="1"/>
  <c r="V214" i="1" l="1"/>
  <c r="U214" i="1"/>
  <c r="T214" i="1"/>
  <c r="V190" i="1"/>
  <c r="U190" i="1"/>
  <c r="T190" i="1"/>
  <c r="U213" i="1"/>
  <c r="U212" i="1"/>
  <c r="AC31" i="1" l="1"/>
  <c r="V249" i="1" l="1"/>
  <c r="V200" i="1"/>
  <c r="V196" i="1"/>
  <c r="V197" i="1"/>
  <c r="V223" i="1"/>
  <c r="V161" i="1"/>
  <c r="V39" i="1"/>
  <c r="V17" i="1"/>
  <c r="V48" i="1"/>
  <c r="V71" i="1"/>
  <c r="V47" i="1"/>
  <c r="V310" i="1"/>
  <c r="AD311" i="1"/>
  <c r="V237" i="1"/>
  <c r="AD238" i="1"/>
  <c r="V152" i="1"/>
  <c r="AD153" i="1"/>
  <c r="V274" i="1"/>
  <c r="V277" i="1"/>
  <c r="AB279" i="1"/>
  <c r="AC279" i="1"/>
  <c r="AD279" i="1"/>
  <c r="AD273" i="1"/>
  <c r="AB269" i="1"/>
  <c r="AC269" i="1"/>
  <c r="AD269" i="1"/>
  <c r="V267" i="1"/>
  <c r="AB270" i="1"/>
  <c r="AC270" i="1"/>
  <c r="AD270" i="1"/>
  <c r="V268" i="1" l="1"/>
  <c r="AB255" i="1"/>
  <c r="AC255" i="1"/>
  <c r="AD255" i="1"/>
  <c r="V266" i="1"/>
  <c r="AB250" i="1"/>
  <c r="AC250" i="1"/>
  <c r="AD250" i="1"/>
  <c r="AB222" i="1"/>
  <c r="AC222" i="1"/>
  <c r="AD222" i="1"/>
  <c r="AB239" i="1"/>
  <c r="AC239" i="1"/>
  <c r="AD239" i="1"/>
  <c r="AB191" i="1"/>
  <c r="AC191" i="1"/>
  <c r="AD191" i="1"/>
  <c r="AB229" i="1" l="1"/>
  <c r="AC229" i="1"/>
  <c r="AD229" i="1"/>
  <c r="AD162" i="1"/>
  <c r="AB162" i="1"/>
  <c r="AC162" i="1"/>
  <c r="X121" i="1"/>
  <c r="Y121" i="1"/>
  <c r="Z121" i="1"/>
  <c r="X116" i="1"/>
  <c r="Y116" i="1"/>
  <c r="Z116" i="1"/>
  <c r="V127" i="1"/>
  <c r="AB30" i="1"/>
  <c r="AC30" i="1"/>
  <c r="AD30" i="1"/>
  <c r="AC21" i="1"/>
  <c r="AB21" i="1"/>
  <c r="AD21" i="1"/>
  <c r="AD73" i="1"/>
  <c r="AC73" i="1"/>
  <c r="AB73" i="1"/>
  <c r="AD38" i="1"/>
  <c r="AC38" i="1"/>
  <c r="AB38" i="1"/>
  <c r="AB26" i="1"/>
  <c r="AC26" i="1"/>
  <c r="AD26" i="1"/>
  <c r="Y36" i="1" l="1"/>
  <c r="AC36" i="1" s="1"/>
  <c r="V31" i="1" l="1"/>
  <c r="V49" i="1" l="1"/>
  <c r="V46" i="1"/>
  <c r="V43" i="1"/>
  <c r="T49" i="1"/>
  <c r="T46" i="1" l="1"/>
  <c r="T43" i="1" l="1"/>
  <c r="V149" i="1" l="1"/>
  <c r="T192" i="1" l="1"/>
  <c r="V192" i="1"/>
  <c r="AD92" i="1" l="1"/>
  <c r="AC92" i="1"/>
  <c r="V153" i="1" l="1"/>
  <c r="U153" i="1"/>
  <c r="V238" i="1"/>
  <c r="U238" i="1"/>
  <c r="V311" i="1"/>
  <c r="U311" i="1"/>
  <c r="U11" i="1" l="1"/>
  <c r="V314" i="1" l="1"/>
  <c r="V150" i="1" l="1"/>
  <c r="V151" i="1"/>
  <c r="U151" i="1"/>
  <c r="V235" i="1"/>
  <c r="U236" i="1"/>
  <c r="V236" i="1"/>
  <c r="V309" i="1"/>
  <c r="U309" i="1"/>
  <c r="AC184" i="1" l="1"/>
  <c r="Y159" i="1"/>
  <c r="X159" i="1"/>
  <c r="AD49" i="1" l="1"/>
  <c r="AB49" i="1"/>
  <c r="AD46" i="1"/>
  <c r="AB46" i="1"/>
  <c r="AB43" i="1"/>
  <c r="AD43" i="1"/>
  <c r="V86" i="1" l="1"/>
  <c r="U86" i="1"/>
  <c r="AB79" i="1" l="1"/>
  <c r="AD79" i="1"/>
  <c r="AC79" i="1"/>
  <c r="X79" i="1"/>
  <c r="Z79" i="1"/>
  <c r="Y79" i="1"/>
  <c r="U142" i="1" l="1"/>
  <c r="U141" i="1"/>
  <c r="U64" i="1"/>
  <c r="U70" i="1"/>
  <c r="U69" i="1"/>
  <c r="U68" i="1"/>
  <c r="U67" i="1"/>
  <c r="V66" i="1"/>
  <c r="V65" i="1"/>
  <c r="J7" i="2" l="1"/>
  <c r="K29" i="2" l="1"/>
  <c r="F30" i="2"/>
  <c r="I29" i="2"/>
  <c r="G38" i="2"/>
  <c r="G29" i="2" s="1"/>
  <c r="E30" i="2" s="1"/>
  <c r="G30" i="2" s="1"/>
  <c r="I30" i="2" s="1"/>
  <c r="H7" i="2"/>
  <c r="H16" i="2"/>
  <c r="H30" i="2" l="1"/>
  <c r="F31" i="2" s="1"/>
  <c r="I38" i="2"/>
  <c r="E31" i="2"/>
  <c r="G31" i="2" s="1"/>
  <c r="I31" i="2" s="1"/>
  <c r="I8" i="2"/>
  <c r="G8" i="2"/>
  <c r="F8" i="2"/>
  <c r="H8" i="2" s="1"/>
  <c r="J8" i="2" l="1"/>
  <c r="H31" i="2"/>
  <c r="F32" i="2" s="1"/>
  <c r="K30" i="2"/>
  <c r="E32" i="2"/>
  <c r="G9" i="2"/>
  <c r="I9" i="2"/>
  <c r="J9" i="2" s="1"/>
  <c r="F9" i="2"/>
  <c r="H9" i="2" s="1"/>
  <c r="H32" i="2" l="1"/>
  <c r="F33" i="2" s="1"/>
  <c r="K32" i="2"/>
  <c r="K31" i="2"/>
  <c r="G32" i="2"/>
  <c r="I32" i="2" s="1"/>
  <c r="I10" i="2"/>
  <c r="G10" i="2"/>
  <c r="F10" i="2"/>
  <c r="H10" i="2" s="1"/>
  <c r="J10" i="2" l="1"/>
  <c r="H33" i="2"/>
  <c r="F34" i="2" s="1"/>
  <c r="K33" i="2"/>
  <c r="E33" i="2"/>
  <c r="G11" i="2"/>
  <c r="I11" i="2"/>
  <c r="J11" i="2" s="1"/>
  <c r="F11" i="2"/>
  <c r="H11" i="2" s="1"/>
  <c r="H34" i="2" l="1"/>
  <c r="F35" i="2" s="1"/>
  <c r="G33" i="2"/>
  <c r="G12" i="2"/>
  <c r="I12" i="2"/>
  <c r="J12" i="2" s="1"/>
  <c r="F12" i="2"/>
  <c r="H12" i="2" s="1"/>
  <c r="E34" i="2" l="1"/>
  <c r="G34" i="2" s="1"/>
  <c r="I33" i="2"/>
  <c r="K34" i="2"/>
  <c r="H35" i="2"/>
  <c r="F36" i="2" s="1"/>
  <c r="G13" i="2"/>
  <c r="I13" i="2"/>
  <c r="J13" i="2" s="1"/>
  <c r="F13" i="2"/>
  <c r="H13" i="2" s="1"/>
  <c r="K35" i="2" l="1"/>
  <c r="E35" i="2"/>
  <c r="I34" i="2"/>
  <c r="H36" i="2"/>
  <c r="F37" i="2" s="1"/>
  <c r="G35" i="2"/>
  <c r="G14" i="2"/>
  <c r="I14" i="2"/>
  <c r="J14" i="2" s="1"/>
  <c r="F14" i="2"/>
  <c r="H14" i="2" s="1"/>
  <c r="E36" i="2" l="1"/>
  <c r="I35" i="2"/>
  <c r="K36" i="2"/>
  <c r="H37" i="2"/>
  <c r="F38" i="2" s="1"/>
  <c r="G36" i="2"/>
  <c r="I15" i="2"/>
  <c r="G15" i="2"/>
  <c r="F15" i="2"/>
  <c r="J15" i="2" l="1"/>
  <c r="K37" i="2"/>
  <c r="E37" i="2"/>
  <c r="G37" i="2" s="1"/>
  <c r="I36" i="2"/>
  <c r="H38" i="2"/>
  <c r="K38" i="2" s="1"/>
  <c r="H15" i="2"/>
  <c r="F16" i="2" s="1"/>
  <c r="I16" i="2"/>
  <c r="J16" i="2" s="1"/>
  <c r="G16" i="2"/>
  <c r="E38" i="2" l="1"/>
  <c r="I37" i="2"/>
  <c r="Y10" i="1"/>
  <c r="Z10" i="1"/>
  <c r="Z4" i="1"/>
  <c r="X4" i="1"/>
  <c r="AD160" i="1" l="1"/>
  <c r="AC160" i="1"/>
  <c r="AB160" i="1"/>
  <c r="Z159" i="1" l="1"/>
  <c r="AD159" i="1" s="1"/>
  <c r="AC159" i="1"/>
  <c r="AB159" i="1"/>
  <c r="U303" i="1" l="1"/>
  <c r="Y305" i="1"/>
  <c r="U305" i="1"/>
  <c r="Y303" i="1"/>
  <c r="U296" i="1"/>
  <c r="Y290" i="1"/>
  <c r="U290" i="1"/>
  <c r="Y220" i="1" l="1"/>
  <c r="U220" i="1"/>
  <c r="U208" i="1"/>
  <c r="Y208" i="1"/>
  <c r="T143" i="1" l="1"/>
  <c r="V29" i="1"/>
  <c r="V4" i="1"/>
</calcChain>
</file>

<file path=xl/comments1.xml><?xml version="1.0" encoding="utf-8"?>
<comments xmlns="http://schemas.openxmlformats.org/spreadsheetml/2006/main">
  <authors>
    <author>EDIS</author>
    <author>HEC</author>
    <author>Windows 사용자</author>
    <author>hec</author>
  </authors>
  <commentList>
    <comment ref="C1" authorId="0" shapeId="0">
      <text>
        <r>
          <rPr>
            <sz val="9"/>
            <rFont val="Tahoma"/>
            <family val="2"/>
          </rPr>
          <t>N = New_x000D_
D = Delete</t>
        </r>
      </text>
    </comment>
    <comment ref="E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Alternative Condition (Case 2) with WIJ
Step-1</t>
        </r>
      </text>
    </comment>
    <comment ref="E7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Alternative Condition (Case 2) with WIJ
Step-1</t>
        </r>
      </text>
    </comment>
    <comment ref="E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Alternative Condition (Case 2) with WIJ
Step-2</t>
        </r>
      </text>
    </comment>
    <comment ref="E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Alternative Condition (Case 2) with WIJ
Step-2</t>
        </r>
      </text>
    </comment>
    <comment ref="AC10" authorId="2" shapeId="0">
      <text>
        <r>
          <rPr>
            <sz val="9"/>
            <color indexed="81"/>
            <rFont val="Tahoma"/>
            <family val="2"/>
          </rPr>
          <t xml:space="preserve">Licensor data </t>
        </r>
        <r>
          <rPr>
            <sz val="9"/>
            <color indexed="81"/>
            <rFont val="돋움"/>
            <family val="3"/>
            <charset val="129"/>
          </rPr>
          <t>상</t>
        </r>
        <r>
          <rPr>
            <sz val="9"/>
            <color indexed="81"/>
            <rFont val="Tahoma"/>
            <family val="2"/>
          </rPr>
          <t xml:space="preserve"> Destination Elevation </t>
        </r>
        <r>
          <rPr>
            <sz val="9"/>
            <color indexed="81"/>
            <rFont val="돋움"/>
            <family val="3"/>
            <charset val="129"/>
          </rPr>
          <t>고려하지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않았음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BX10" authorId="2" shapeId="0">
      <text>
        <r>
          <rPr>
            <sz val="9"/>
            <color indexed="81"/>
            <rFont val="Tahoma"/>
            <family val="2"/>
          </rPr>
          <t xml:space="preserve">Flashing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>.</t>
        </r>
      </text>
    </comment>
    <comment ref="E1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HMB Stream No. 632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Tie-in 7A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E16" authorId="2" shapeId="0">
      <text>
        <r>
          <rPr>
            <b/>
            <sz val="11"/>
            <color indexed="81"/>
            <rFont val="Tahoma"/>
            <family val="2"/>
          </rPr>
          <t xml:space="preserve">Network Hydraulic 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의한</t>
        </r>
        <r>
          <rPr>
            <b/>
            <sz val="11"/>
            <color indexed="81"/>
            <rFont val="Tahoma"/>
            <family val="2"/>
          </rPr>
          <t xml:space="preserve"> Alternative Case </t>
        </r>
        <r>
          <rPr>
            <b/>
            <sz val="11"/>
            <color indexed="81"/>
            <rFont val="돋움"/>
            <family val="3"/>
            <charset val="129"/>
          </rPr>
          <t>반영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필요</t>
        </r>
        <r>
          <rPr>
            <b/>
            <sz val="11"/>
            <color indexed="81"/>
            <rFont val="Tahoma"/>
            <family val="2"/>
          </rPr>
          <t xml:space="preserve"> (C2 HSSB)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sz val="11"/>
            <color indexed="81"/>
            <rFont val="Tahoma"/>
            <family val="2"/>
          </rPr>
          <t>Flow Rate : 40958 kg/cm2g
Inlet Pressure : 10.88 kg/cm2g
pressure drop : 0.745 kg/cm2</t>
        </r>
      </text>
    </comment>
    <comment ref="AC3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Inlet P - 0.8 (System pressure loss) - 0.25 (Static) - 0.35 (Destination O.P)</t>
        </r>
      </text>
    </comment>
    <comment ref="U3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PSV-30009 Relief(36626 kg/hr)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1/10</t>
        </r>
      </text>
    </comment>
    <comment ref="Y3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LV-3281 Outlet P - 0.3 (Pressure loss)
</t>
        </r>
      </text>
    </comment>
    <comment ref="AC3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Inlet P - 0.7(T-230) - 2 (Static)</t>
        </r>
      </text>
    </comment>
    <comment ref="BU3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Nitrogen Purge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대부분이므로</t>
        </r>
        <r>
          <rPr>
            <sz val="9"/>
            <color indexed="81"/>
            <rFont val="Tahoma"/>
            <family val="2"/>
          </rPr>
          <t xml:space="preserve"> N2 </t>
        </r>
        <r>
          <rPr>
            <sz val="9"/>
            <color indexed="81"/>
            <rFont val="돋움"/>
            <family val="3"/>
            <charset val="129"/>
          </rPr>
          <t>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U4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Tie-in Point 10A</t>
        </r>
      </text>
    </comment>
    <comment ref="U4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Tie-in Point 9A</t>
        </r>
      </text>
    </comment>
    <comment ref="U4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Tie-in Point 10A</t>
        </r>
      </text>
    </comment>
    <comment ref="E5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1)
Step-1</t>
        </r>
      </text>
    </comment>
    <comment ref="E5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Start-up Condition(30% x Case 2) #1
Step -1</t>
        </r>
      </text>
    </comment>
    <comment ref="E5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1)
Step-2</t>
        </r>
      </text>
    </comment>
    <comment ref="E5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Start-up Condition(30% x Case 2) #1
Step -2
</t>
        </r>
      </text>
    </comment>
    <comment ref="V60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1" size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UGCC Line Sizing Guide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V61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1" size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UGCC Line Sizing Guide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U62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30 min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filling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vapor venting </t>
        </r>
        <r>
          <rPr>
            <sz val="9"/>
            <color indexed="81"/>
            <rFont val="돋움"/>
            <family val="3"/>
            <charset val="129"/>
          </rPr>
          <t>유량</t>
        </r>
      </text>
    </comment>
    <comment ref="U63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30 min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filling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vapor venting </t>
        </r>
        <r>
          <rPr>
            <sz val="9"/>
            <color indexed="81"/>
            <rFont val="돋움"/>
            <family val="3"/>
            <charset val="129"/>
          </rPr>
          <t>유량</t>
        </r>
      </text>
    </comment>
    <comment ref="U64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Pressuring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U67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filling </t>
        </r>
        <r>
          <rPr>
            <sz val="9"/>
            <color indexed="81"/>
            <rFont val="돋움"/>
            <family val="3"/>
            <charset val="129"/>
          </rPr>
          <t>유량</t>
        </r>
      </text>
    </comment>
    <comment ref="U68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filling </t>
        </r>
        <r>
          <rPr>
            <sz val="9"/>
            <color indexed="81"/>
            <rFont val="돋움"/>
            <family val="3"/>
            <charset val="129"/>
          </rPr>
          <t>유량</t>
        </r>
      </text>
    </comment>
    <comment ref="U69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Draining </t>
        </r>
        <r>
          <rPr>
            <sz val="9"/>
            <color indexed="81"/>
            <rFont val="돋움"/>
            <family val="3"/>
            <charset val="129"/>
          </rPr>
          <t>유량</t>
        </r>
      </text>
    </comment>
    <comment ref="U70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Depre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U7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HMB Stream No. 344 </t>
        </r>
        <r>
          <rPr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Y7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TV-3501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Outlet P.</t>
        </r>
      </text>
    </comment>
    <comment ref="AC7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LP Steam Drum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OP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T8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56566 kg/hr(Case 1) x 1/2</t>
        </r>
      </text>
    </comment>
    <comment ref="U8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58680 kg/hr (Case 3) x 1/2</t>
        </r>
      </text>
    </comment>
    <comment ref="V8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61066 (case 2) x 1/2</t>
        </r>
      </text>
    </comment>
    <comment ref="U9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D-307 Fuel Gas </t>
        </r>
        <r>
          <rPr>
            <sz val="9"/>
            <color indexed="81"/>
            <rFont val="돋움"/>
            <family val="3"/>
            <charset val="129"/>
          </rPr>
          <t>공급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방안
</t>
        </r>
        <r>
          <rPr>
            <sz val="9"/>
            <color indexed="81"/>
            <rFont val="Tahoma"/>
            <family val="2"/>
          </rPr>
          <t xml:space="preserve">S/U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10~50 t/h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Z9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Tie-in 5B</t>
        </r>
      </text>
    </comment>
    <comment ref="AC9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LP Condenstate </t>
        </r>
        <r>
          <rPr>
            <sz val="9"/>
            <color indexed="81"/>
            <rFont val="돋움"/>
            <family val="3"/>
            <charset val="129"/>
          </rPr>
          <t>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못하므로</t>
        </r>
        <r>
          <rPr>
            <sz val="9"/>
            <color indexed="81"/>
            <rFont val="Tahoma"/>
            <family val="2"/>
          </rPr>
          <t xml:space="preserve"> Condensate Header </t>
        </r>
        <r>
          <rPr>
            <sz val="9"/>
            <color indexed="81"/>
            <rFont val="돋움"/>
            <family val="3"/>
            <charset val="129"/>
          </rPr>
          <t>높이</t>
        </r>
        <r>
          <rPr>
            <sz val="9"/>
            <color indexed="81"/>
            <rFont val="Tahoma"/>
            <family val="2"/>
          </rPr>
          <t xml:space="preserve"> 17m </t>
        </r>
        <r>
          <rPr>
            <sz val="9"/>
            <color indexed="81"/>
            <rFont val="돋움"/>
            <family val="3"/>
            <charset val="129"/>
          </rPr>
          <t>고려하여</t>
        </r>
        <r>
          <rPr>
            <sz val="9"/>
            <color indexed="81"/>
            <rFont val="Tahoma"/>
            <family val="2"/>
          </rPr>
          <t xml:space="preserve"> dP </t>
        </r>
        <r>
          <rPr>
            <sz val="9"/>
            <color indexed="81"/>
            <rFont val="돋움"/>
            <family val="3"/>
            <charset val="129"/>
          </rPr>
          <t>조정함</t>
        </r>
      </text>
    </comment>
    <comment ref="AB10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To D-303
</t>
        </r>
      </text>
    </comment>
    <comment ref="AC10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S/U fill O.P 2 kg/cm2g</t>
        </r>
      </text>
    </comment>
    <comment ref="AC10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후단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열교환기</t>
        </r>
        <r>
          <rPr>
            <sz val="9"/>
            <color indexed="81"/>
            <rFont val="Tahoma"/>
            <family val="2"/>
          </rPr>
          <t xml:space="preserve"> E-316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Condenstae </t>
        </r>
        <r>
          <rPr>
            <sz val="9"/>
            <color indexed="81"/>
            <rFont val="돋움"/>
            <family val="3"/>
            <charset val="129"/>
          </rPr>
          <t>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고려하여</t>
        </r>
        <r>
          <rPr>
            <sz val="9"/>
            <color indexed="81"/>
            <rFont val="Tahoma"/>
            <family val="2"/>
          </rPr>
          <t xml:space="preserve"> dP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낮춤</t>
        </r>
        <r>
          <rPr>
            <sz val="9"/>
            <color indexed="81"/>
            <rFont val="Tahoma"/>
            <family val="2"/>
          </rPr>
          <t>(0.96 -&gt; 0.8 kg/cm2g).</t>
        </r>
      </text>
    </comment>
    <comment ref="E10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C3 LPG for PGC Start-up
Step-1</t>
        </r>
      </text>
    </comment>
    <comment ref="E10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Normal Case (Case 3) #1
Step-1</t>
        </r>
      </text>
    </comment>
    <comment ref="E10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Alternative Condition (Case 2) #1
Step -1</t>
        </r>
      </text>
    </comment>
    <comment ref="E10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Normal Case (Case 3) with WIJ
Step -1</t>
        </r>
      </text>
    </comment>
    <comment ref="E10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C3 LPG for PGC Start-up
Step -2</t>
        </r>
      </text>
    </comment>
    <comment ref="E107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Normal Case (Case 3) #1
Step-2</t>
        </r>
      </text>
    </comment>
    <comment ref="E10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Alternative Condition (Case 2) #1
Step-2</t>
        </r>
      </text>
    </comment>
    <comment ref="E10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Normal Case (Case 3) with WIJ
Step -2</t>
        </r>
      </text>
    </comment>
    <comment ref="E13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Step -1 dP: 38 kg/cm2</t>
        </r>
      </text>
    </comment>
    <comment ref="BU13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PDV-3842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CONDITION</t>
        </r>
      </text>
    </comment>
    <comment ref="E13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Step -2 dP: 28 kg/cm2</t>
        </r>
      </text>
    </comment>
    <comment ref="BU13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PDV-3842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CONDITION</t>
        </r>
      </text>
    </comment>
    <comment ref="E13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Step -3 dP: 18 kg/cm2</t>
        </r>
      </text>
    </comment>
    <comment ref="BU13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PDV-3842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CONDITION</t>
        </r>
      </text>
    </comment>
    <comment ref="E13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Step -4 dP: 8 kg/cm2</t>
        </r>
      </text>
    </comment>
    <comment ref="BU13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PDV-3842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CONDITION</t>
        </r>
      </text>
    </comment>
    <comment ref="U141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120</t>
        </r>
        <r>
          <rPr>
            <sz val="9"/>
            <color indexed="81"/>
            <rFont val="돋움"/>
            <family val="3"/>
            <charset val="129"/>
          </rPr>
          <t>분간</t>
        </r>
        <r>
          <rPr>
            <sz val="9"/>
            <color indexed="81"/>
            <rFont val="Tahoma"/>
            <family val="2"/>
          </rPr>
          <t xml:space="preserve"> DEPRE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U142" authorId="3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30</t>
        </r>
        <r>
          <rPr>
            <sz val="9"/>
            <color indexed="81"/>
            <rFont val="돋움"/>
            <family val="3"/>
            <charset val="129"/>
          </rPr>
          <t>분간</t>
        </r>
        <r>
          <rPr>
            <sz val="9"/>
            <color indexed="81"/>
            <rFont val="Tahoma"/>
            <family val="2"/>
          </rPr>
          <t xml:space="preserve"> PRESSURING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V14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Case 3(166,727 kg/hr) x 20%</t>
        </r>
      </text>
    </comment>
    <comment ref="AC15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HEC:
[HNCC] LV-4004
Pressure 
Inlet: 35.8 kg/cm2g
Outlet: 33.7 kg/cm2g</t>
        </r>
      </text>
    </comment>
    <comment ref="AB15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PDV-4062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balance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맞추기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dP </t>
        </r>
        <r>
          <rPr>
            <sz val="9"/>
            <color indexed="81"/>
            <rFont val="돋움"/>
            <family val="3"/>
            <charset val="129"/>
          </rPr>
          <t>조정함</t>
        </r>
      </text>
    </comment>
    <comment ref="AB16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C/V Cavtiation </t>
        </r>
        <r>
          <rPr>
            <sz val="9"/>
            <color indexed="81"/>
            <rFont val="돋움"/>
            <family val="3"/>
            <charset val="129"/>
          </rPr>
          <t>방지하고자</t>
        </r>
        <r>
          <rPr>
            <sz val="9"/>
            <color indexed="81"/>
            <rFont val="Tahoma"/>
            <family val="2"/>
          </rPr>
          <t xml:space="preserve"> dP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줄임</t>
        </r>
        <r>
          <rPr>
            <sz val="9"/>
            <color indexed="81"/>
            <rFont val="Tahoma"/>
            <family val="2"/>
          </rPr>
          <t xml:space="preserve">.(Vapor P </t>
        </r>
        <r>
          <rPr>
            <sz val="9"/>
            <color indexed="81"/>
            <rFont val="돋움"/>
            <family val="3"/>
            <charset val="129"/>
          </rPr>
          <t>이상이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되도록</t>
        </r>
        <r>
          <rPr>
            <sz val="9"/>
            <color indexed="81"/>
            <rFont val="Tahoma"/>
            <family val="2"/>
          </rPr>
          <t xml:space="preserve"> Outlet P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>)</t>
        </r>
      </text>
    </comment>
    <comment ref="BG16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P-410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변경된</t>
        </r>
        <r>
          <rPr>
            <sz val="9"/>
            <color indexed="81"/>
            <rFont val="Tahoma"/>
            <family val="2"/>
          </rPr>
          <t xml:space="preserve"> Shut-off P</t>
        </r>
      </text>
    </comment>
    <comment ref="BG16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P-410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변경된</t>
        </r>
        <r>
          <rPr>
            <sz val="9"/>
            <color indexed="81"/>
            <rFont val="Tahoma"/>
            <family val="2"/>
          </rPr>
          <t xml:space="preserve"> Shut-off P</t>
        </r>
      </text>
    </comment>
    <comment ref="T17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H2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Range Cover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Min. </t>
        </r>
        <r>
          <rPr>
            <sz val="9"/>
            <color indexed="81"/>
            <rFont val="돋움"/>
            <family val="3"/>
            <charset val="129"/>
          </rPr>
          <t>유량은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삭제함</t>
        </r>
        <r>
          <rPr>
            <sz val="9"/>
            <color indexed="81"/>
            <rFont val="Tahoma"/>
            <family val="2"/>
          </rPr>
          <t xml:space="preserve">.
10%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Turndown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나오는지</t>
        </r>
        <r>
          <rPr>
            <sz val="9"/>
            <color indexed="81"/>
            <rFont val="Tahoma"/>
            <family val="2"/>
          </rPr>
          <t xml:space="preserve"> C/V Vendor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Tubing 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필요함</t>
        </r>
        <r>
          <rPr>
            <sz val="9"/>
            <color indexed="81"/>
            <rFont val="Tahoma"/>
            <family val="2"/>
          </rPr>
          <t>.</t>
        </r>
      </text>
    </comment>
    <comment ref="E17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MN Recompressor
Case 2 50%</t>
        </r>
      </text>
    </comment>
    <comment ref="E17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MN Recompressor
Case 3 50%</t>
        </r>
      </text>
    </comment>
    <comment ref="E17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MN Recompressor
Case 3 110%</t>
        </r>
      </text>
    </comment>
    <comment ref="E20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ERC 1ST STAGE ANTI-SURGE CONTROL VALVE
Step -1</t>
        </r>
      </text>
    </comment>
    <comment ref="E20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3 EL Rundown)
Step -1</t>
        </r>
      </text>
    </comment>
    <comment ref="E20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4 EL Rundown)
Step -2</t>
        </r>
      </text>
    </comment>
    <comment ref="E20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3 EL Rundown)
Step -2</t>
        </r>
      </text>
    </comment>
    <comment ref="E21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2)
Step-1</t>
        </r>
      </text>
    </comment>
    <comment ref="E21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2)
Step-1</t>
        </r>
      </text>
    </comment>
    <comment ref="E21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2)
Step-3</t>
        </r>
      </text>
    </comment>
    <comment ref="E21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2)
Step-2</t>
        </r>
      </text>
    </comment>
    <comment ref="E21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60% Turndown Condition
Step -1</t>
        </r>
      </text>
    </comment>
    <comment ref="E217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110% x Case 4 EL Rundown
Step -1</t>
        </r>
      </text>
    </comment>
    <comment ref="E21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60% Turndown Condition
Step -2</t>
        </r>
      </text>
    </comment>
    <comment ref="E21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110% x Case 4 EL Rundown
Step -1</t>
        </r>
      </text>
    </comment>
    <comment ref="V23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Pump Rated Cap. X 0.4</t>
        </r>
      </text>
    </comment>
    <comment ref="V23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Pump Rated Cap. </t>
        </r>
      </text>
    </comment>
    <comment ref="V23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Pump Rated Cap. </t>
        </r>
      </text>
    </comment>
    <comment ref="U251" authorId="1" shapeId="0">
      <text>
        <r>
          <rPr>
            <b/>
            <sz val="9"/>
            <color indexed="81"/>
            <rFont val="Tahoma"/>
            <family val="2"/>
          </rPr>
          <t xml:space="preserve">HEC:
Control valve vendor </t>
        </r>
        <r>
          <rPr>
            <b/>
            <sz val="9"/>
            <color indexed="81"/>
            <rFont val="돋움"/>
            <family val="3"/>
            <charset val="129"/>
          </rPr>
          <t>확인결과</t>
        </r>
        <r>
          <rPr>
            <b/>
            <sz val="9"/>
            <color indexed="81"/>
            <rFont val="Tahoma"/>
            <family val="2"/>
          </rPr>
          <t xml:space="preserve"> max 600kg/h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nor / min flow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너무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작음</t>
        </r>
        <r>
          <rPr>
            <b/>
            <sz val="9"/>
            <color indexed="81"/>
            <rFont val="Tahoma"/>
            <family val="2"/>
          </rPr>
          <t xml:space="preserve">.
Max 600k/h 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80%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20% </t>
        </r>
        <r>
          <rPr>
            <b/>
            <sz val="9"/>
            <color indexed="81"/>
            <rFont val="돋움"/>
            <family val="3"/>
            <charset val="129"/>
          </rPr>
          <t>유량</t>
        </r>
        <r>
          <rPr>
            <b/>
            <sz val="9"/>
            <color indexed="81"/>
            <rFont val="Tahoma"/>
            <family val="2"/>
          </rPr>
          <t xml:space="preserve"> (min </t>
        </r>
        <r>
          <rPr>
            <b/>
            <sz val="9"/>
            <color indexed="81"/>
            <rFont val="돋움"/>
            <family val="3"/>
            <charset val="129"/>
          </rPr>
          <t>유량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T25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HMB Sttream No. 614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Min. 4,419 kg/hr (Case 1)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</text>
    </comment>
    <comment ref="AD26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LP Condenstate </t>
        </r>
        <r>
          <rPr>
            <sz val="9"/>
            <color indexed="81"/>
            <rFont val="돋움"/>
            <family val="3"/>
            <charset val="129"/>
          </rPr>
          <t>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못하므로</t>
        </r>
        <r>
          <rPr>
            <sz val="9"/>
            <color indexed="81"/>
            <rFont val="Tahoma"/>
            <family val="2"/>
          </rPr>
          <t xml:space="preserve"> Condensate Header </t>
        </r>
        <r>
          <rPr>
            <sz val="9"/>
            <color indexed="81"/>
            <rFont val="돋움"/>
            <family val="3"/>
            <charset val="129"/>
          </rPr>
          <t>높이</t>
        </r>
        <r>
          <rPr>
            <sz val="9"/>
            <color indexed="81"/>
            <rFont val="Tahoma"/>
            <family val="2"/>
          </rPr>
          <t xml:space="preserve"> 17m </t>
        </r>
        <r>
          <rPr>
            <sz val="9"/>
            <color indexed="81"/>
            <rFont val="돋움"/>
            <family val="3"/>
            <charset val="129"/>
          </rPr>
          <t>고려하여</t>
        </r>
        <r>
          <rPr>
            <sz val="9"/>
            <color indexed="81"/>
            <rFont val="Tahoma"/>
            <family val="2"/>
          </rPr>
          <t xml:space="preserve"> dP </t>
        </r>
        <r>
          <rPr>
            <sz val="9"/>
            <color indexed="81"/>
            <rFont val="돋움"/>
            <family val="3"/>
            <charset val="129"/>
          </rPr>
          <t>조정함</t>
        </r>
      </text>
    </comment>
    <comment ref="AD26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2.1 kg/cm2g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LPS </t>
        </r>
        <r>
          <rPr>
            <sz val="9"/>
            <color indexed="81"/>
            <rFont val="돋움"/>
            <family val="3"/>
            <charset val="129"/>
          </rPr>
          <t>공급하여</t>
        </r>
        <r>
          <rPr>
            <sz val="9"/>
            <color indexed="81"/>
            <rFont val="Tahoma"/>
            <family val="2"/>
          </rPr>
          <t xml:space="preserve"> LPC </t>
        </r>
        <r>
          <rPr>
            <sz val="9"/>
            <color indexed="81"/>
            <rFont val="돋움"/>
            <family val="3"/>
            <charset val="129"/>
          </rPr>
          <t>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위함</t>
        </r>
      </text>
    </comment>
    <comment ref="U26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LCI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결과</t>
        </r>
        <r>
          <rPr>
            <sz val="9"/>
            <color indexed="81"/>
            <rFont val="Tahoma"/>
            <family val="2"/>
          </rPr>
          <t xml:space="preserve"> Sidedraw </t>
        </r>
        <r>
          <rPr>
            <sz val="9"/>
            <color indexed="81"/>
            <rFont val="돋움"/>
            <family val="3"/>
            <charset val="129"/>
          </rPr>
          <t>유량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65,000 kg/hr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 xml:space="preserve">(Line Size Inlet: 8" / Outlet: 10")
</t>
        </r>
        <r>
          <rPr>
            <sz val="9"/>
            <color indexed="81"/>
            <rFont val="돋움"/>
            <family val="3"/>
            <charset val="129"/>
          </rPr>
          <t>메일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제목</t>
        </r>
        <r>
          <rPr>
            <sz val="9"/>
            <color indexed="81"/>
            <rFont val="Tahoma"/>
            <family val="2"/>
          </rPr>
          <t xml:space="preserve">
FW: [LINE]Upper C3 splitter (T-620) OVHD PV-6272 size </t>
        </r>
      </text>
    </comment>
    <comment ref="V26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HMB stream No. 617 x 40%</t>
        </r>
      </text>
    </comment>
    <comment ref="V27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Max. </t>
        </r>
        <r>
          <rPr>
            <sz val="9"/>
            <color indexed="81"/>
            <rFont val="돋움"/>
            <family val="3"/>
            <charset val="129"/>
          </rPr>
          <t>유량은</t>
        </r>
        <r>
          <rPr>
            <sz val="9"/>
            <color indexed="81"/>
            <rFont val="Tahoma"/>
            <family val="2"/>
          </rPr>
          <t xml:space="preserve"> Fixed by LCI P&amp;D comment</t>
        </r>
      </text>
    </comment>
    <comment ref="U27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HMB stream No. 660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Normal </t>
        </r>
        <r>
          <rPr>
            <sz val="9"/>
            <color indexed="81"/>
            <rFont val="돋움"/>
            <family val="3"/>
            <charset val="129"/>
          </rPr>
          <t>유량을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적용함</t>
        </r>
      </text>
    </comment>
    <comment ref="V27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Propylene Rundown </t>
        </r>
        <r>
          <rPr>
            <sz val="9"/>
            <color indexed="81"/>
            <rFont val="돋움"/>
            <family val="3"/>
            <charset val="129"/>
          </rPr>
          <t>유량</t>
        </r>
        <r>
          <rPr>
            <sz val="9"/>
            <color indexed="81"/>
            <rFont val="Tahoma"/>
            <family val="2"/>
          </rPr>
          <t xml:space="preserve"> 65,000 kg/hr </t>
        </r>
        <r>
          <rPr>
            <sz val="9"/>
            <color indexed="81"/>
            <rFont val="돋움"/>
            <family val="3"/>
            <charset val="129"/>
          </rPr>
          <t>추가함</t>
        </r>
      </text>
    </comment>
    <comment ref="BU27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PV-6483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Condition </t>
        </r>
        <r>
          <rPr>
            <sz val="9"/>
            <color indexed="81"/>
            <rFont val="돋움"/>
            <family val="3"/>
            <charset val="129"/>
          </rPr>
          <t>참조</t>
        </r>
      </text>
    </comment>
    <comment ref="E28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Rated Case (110% x Case 3 EL RD)
Step-1</t>
        </r>
      </text>
    </comment>
    <comment ref="E285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Rated Case (110% x Case 3 EL RD)
Step-1</t>
        </r>
      </text>
    </comment>
    <comment ref="E286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Rated Case (110% x Case 3 EL RD)
Step-2</t>
        </r>
      </text>
    </comment>
    <comment ref="E287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Rated Case (110% x Case 3 EL RD)
Step-2</t>
        </r>
      </text>
    </comment>
    <comment ref="E291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Normal (Guarantee Case) (Case 3)
Step-1</t>
        </r>
      </text>
    </comment>
    <comment ref="E29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Conditon (Case 2) (Case 3)
Step-1</t>
        </r>
      </text>
    </comment>
    <comment ref="E293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Normal (Guarantee Case) (Case 3)
Step-2</t>
        </r>
      </text>
    </comment>
    <comment ref="E29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Conditon (Case 2) (Case 3)
Step-2</t>
        </r>
      </text>
    </comment>
    <comment ref="E297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2)
Step-1</t>
        </r>
      </text>
    </comment>
    <comment ref="E29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4)
Step-1</t>
        </r>
      </text>
    </comment>
    <comment ref="E299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2)
Step-2</t>
        </r>
      </text>
    </comment>
    <comment ref="E300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Alternate Condition (Case 4)
Step-2</t>
        </r>
      </text>
    </comment>
    <comment ref="AC304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Hot Bypass Hydraulic </t>
        </r>
        <r>
          <rPr>
            <sz val="9"/>
            <color indexed="81"/>
            <rFont val="돋움"/>
            <family val="3"/>
            <charset val="129"/>
          </rPr>
          <t>고려하여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조정함</t>
        </r>
      </text>
    </comment>
    <comment ref="V308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Pump Rated Cap. X 0.4 
195822 x 0.4</t>
        </r>
      </text>
    </comment>
    <comment ref="U312" authorId="1" shapeId="0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Outbreathing </t>
        </r>
        <r>
          <rPr>
            <sz val="9"/>
            <color indexed="81"/>
            <rFont val="돋움"/>
            <family val="3"/>
            <charset val="129"/>
          </rPr>
          <t>양과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똑같이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맞춤</t>
        </r>
        <r>
          <rPr>
            <sz val="9"/>
            <color indexed="81"/>
            <rFont val="Tahoma"/>
            <family val="2"/>
          </rPr>
          <t xml:space="preserve">.
(API 2000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Inbreathing </t>
        </r>
        <r>
          <rPr>
            <sz val="9"/>
            <color indexed="81"/>
            <rFont val="돋움"/>
            <family val="3"/>
            <charset val="129"/>
          </rPr>
          <t>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계산안됨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<sst xmlns="http://schemas.openxmlformats.org/spreadsheetml/2006/main" count="18881" uniqueCount="1498">
  <si>
    <t>N or D</t>
  </si>
  <si>
    <t>Rev No</t>
  </si>
  <si>
    <t>PLANT</t>
  </si>
  <si>
    <t>UNIT</t>
  </si>
  <si>
    <t>Index Module SERVICE</t>
  </si>
  <si>
    <t>P&amp;ID No.</t>
  </si>
  <si>
    <t>LINE NUMBER</t>
  </si>
  <si>
    <t>INLET PIPE SIZE</t>
  </si>
  <si>
    <t>OUTLET PIPE SIZE</t>
  </si>
  <si>
    <t>LINE SPEC.</t>
  </si>
  <si>
    <t>TIGHTNESS REQUIREMENTS</t>
  </si>
  <si>
    <t>AREA CLASSIFICATION</t>
  </si>
  <si>
    <t>NACE</t>
  </si>
  <si>
    <t>Fluid</t>
  </si>
  <si>
    <t>Fluid State</t>
  </si>
  <si>
    <t>Flow Rate Unit</t>
  </si>
  <si>
    <t>Flow Rate Min</t>
  </si>
  <si>
    <t>Flow Rate Nor</t>
  </si>
  <si>
    <t>Flow Rate Max</t>
  </si>
  <si>
    <t>Pressure  Unit</t>
  </si>
  <si>
    <t>Inlet Pressure Min</t>
  </si>
  <si>
    <t>Inlet Pressure Nor</t>
  </si>
  <si>
    <t>Inlet Pressure Max</t>
  </si>
  <si>
    <t>Pressure Drop Unit</t>
  </si>
  <si>
    <t>Pressure Drop Min</t>
  </si>
  <si>
    <t>Pressure Drop Nor</t>
  </si>
  <si>
    <t>Pressure Drop Max</t>
  </si>
  <si>
    <t>Temperature Unit</t>
  </si>
  <si>
    <t>Inlet Temp Min</t>
  </si>
  <si>
    <t>Inlet Temp Nor</t>
  </si>
  <si>
    <t>Inlet Temp Max</t>
  </si>
  <si>
    <t>Viscosity Unit</t>
  </si>
  <si>
    <t>Inlet Viscosity Min</t>
  </si>
  <si>
    <t>Inlet Viscosity Nor</t>
  </si>
  <si>
    <t>Inlet Viscosity Max</t>
  </si>
  <si>
    <t>Vapor Pressure Unit</t>
  </si>
  <si>
    <t>Inlet Vapor Pressure Min</t>
  </si>
  <si>
    <t>Inlet Vapor Pressure Nor</t>
  </si>
  <si>
    <t>Inlet Vapor Pressure Max</t>
  </si>
  <si>
    <t>VALVE OPENING UNIT</t>
  </si>
  <si>
    <t>VALVE OPENING MIN</t>
  </si>
  <si>
    <t>VALVE OPENING NOR</t>
  </si>
  <si>
    <t>VALVE OPENING MAX</t>
  </si>
  <si>
    <t>CALCULATED CV MIN</t>
  </si>
  <si>
    <t>CALCULATED CV NOR</t>
  </si>
  <si>
    <t>CALCULATED CV MAX</t>
  </si>
  <si>
    <t>NOISE UNIT</t>
  </si>
  <si>
    <t>CALCULATED NOISE DB(A)MIN</t>
  </si>
  <si>
    <t>CALCULATED NOISE DB(A)NOR</t>
  </si>
  <si>
    <t>CALCULATED NOISE DB(A)MAX</t>
  </si>
  <si>
    <t>Design Temperature Unit</t>
  </si>
  <si>
    <t>Design Temperature Min</t>
  </si>
  <si>
    <t>Design Temperature Max</t>
  </si>
  <si>
    <t>Design Pressure Unit</t>
  </si>
  <si>
    <t>Design Pressure Min</t>
  </si>
  <si>
    <t>Design Pressure Max</t>
  </si>
  <si>
    <t>Ambient Temperature Unit</t>
  </si>
  <si>
    <t>Ambient Temperature Min</t>
  </si>
  <si>
    <t>Ambient Temperature Max</t>
  </si>
  <si>
    <t>AVAILABLE AIR SUPPLY PRESSURE UNIT</t>
  </si>
  <si>
    <t>AVAILABLE AIR SUPPLY PRESSURE MIN</t>
  </si>
  <si>
    <t>AVAILABLE AIR SUPPLY PRESSURE MAX</t>
  </si>
  <si>
    <t>ALLOWABLE NOISE</t>
  </si>
  <si>
    <t>Max. Shut-Off d/P Unit</t>
  </si>
  <si>
    <t>Max Diff. Pressure at Shutoff</t>
  </si>
  <si>
    <t>Critical Temp</t>
  </si>
  <si>
    <t>Critical Pressure</t>
  </si>
  <si>
    <t>Density</t>
  </si>
  <si>
    <t>Specific Gravity</t>
  </si>
  <si>
    <t>Molecular Weight</t>
  </si>
  <si>
    <t>Compress. Factor</t>
  </si>
  <si>
    <t>Cp/Cv</t>
  </si>
  <si>
    <t>FLASH</t>
  </si>
  <si>
    <t>BODY TYPE</t>
  </si>
  <si>
    <t>BODY SIZE</t>
  </si>
  <si>
    <t>TRIM SIZE</t>
  </si>
  <si>
    <t>REQUIRED CV</t>
  </si>
  <si>
    <t>RATED CV</t>
  </si>
  <si>
    <t>CHARACTERISTIC OF TRIM</t>
  </si>
  <si>
    <t>END CONNECTION SIZE</t>
  </si>
  <si>
    <t>END CONNECTION RATING</t>
  </si>
  <si>
    <t>FLOW DIRECTION</t>
  </si>
  <si>
    <t>FLOW ACTION TO</t>
  </si>
  <si>
    <t>GUIDING</t>
  </si>
  <si>
    <t>NUMBER OF PORTS</t>
  </si>
  <si>
    <t>LEAKAGE CLASS</t>
  </si>
  <si>
    <t>BONNET TYPE</t>
  </si>
  <si>
    <t>TRIM FORM</t>
  </si>
  <si>
    <t>BODY MATERIAL</t>
  </si>
  <si>
    <t>BONNET MATERIAL</t>
  </si>
  <si>
    <t>PLUG / BALL / DISC MATERIAL</t>
  </si>
  <si>
    <t>SEAT MATERIAL</t>
  </si>
  <si>
    <t>CAGE MATERIAL</t>
  </si>
  <si>
    <t>STEM MATERIAL</t>
  </si>
  <si>
    <t>GASKET MATERIAL</t>
  </si>
  <si>
    <t>PACKING MATERIAL</t>
  </si>
  <si>
    <t>ACTUATOR TYPE</t>
  </si>
  <si>
    <t>ACTUATOR SIZE</t>
  </si>
  <si>
    <t>ACTUATOR AREA</t>
  </si>
  <si>
    <t>ACTUATOR VALVE FAIL POSITION</t>
  </si>
  <si>
    <t>HANDWHEEL</t>
  </si>
  <si>
    <t>ACTUATOR TRAVEL STOP</t>
  </si>
  <si>
    <t>ACTUATOR BENCH RANGE</t>
  </si>
  <si>
    <t>TO ACTUATOR PRESSURE RANGE</t>
  </si>
  <si>
    <t>POSITIONER TYPE</t>
  </si>
  <si>
    <t>POSITIONER ELECTRICAL CONNECTION</t>
  </si>
  <si>
    <t>POSITIONER POWER SUPPLY</t>
  </si>
  <si>
    <t>POSITIONER ENCLOSURE CLASS</t>
  </si>
  <si>
    <t>POSITIONER CHARACTERISTIC</t>
  </si>
  <si>
    <t>POSITIONER BYPASS</t>
  </si>
  <si>
    <t>POSITIONER GAUGE</t>
  </si>
  <si>
    <t>POSITIONER SIGNAL INLET</t>
  </si>
  <si>
    <t>POSITIONER SIGNAL OUTLET</t>
  </si>
  <si>
    <t>SOLENOID VALVE TYPE</t>
  </si>
  <si>
    <t>SOLENOID VALVE ELECTRICAL CONNECTION</t>
  </si>
  <si>
    <t>SOLENOID VALVE POWER SUPPLY</t>
  </si>
  <si>
    <t>SOLENOID VALVE ENCLOSURE CLASS</t>
  </si>
  <si>
    <t>SOLENOID VALVE BODY MATERIAL</t>
  </si>
  <si>
    <t>LIMIT SWITCH TYPE</t>
  </si>
  <si>
    <t>LIMIT SWITCH Q'TY</t>
  </si>
  <si>
    <t>LIMIT SWITCH ELECTRICAL CONNECTION</t>
  </si>
  <si>
    <t>LIMIT SWITCH ENCLOSURE CLASS</t>
  </si>
  <si>
    <t>LIMIT SWITCH CONTACT / RATING</t>
  </si>
  <si>
    <t>LIMIT SWITCH SWITCHING POSITION</t>
  </si>
  <si>
    <t>AIR SET SET PRESSURE</t>
  </si>
  <si>
    <t>AIR SET FILTER</t>
  </si>
  <si>
    <t>AIR SET GAUGE</t>
  </si>
  <si>
    <t>AIR SET PNEUMATIC CONNECTION</t>
  </si>
  <si>
    <t>HYDRO PRESSURE TEST</t>
  </si>
  <si>
    <t>LEAKAGE TEST</t>
  </si>
  <si>
    <t>BODY MANUFACTURER</t>
  </si>
  <si>
    <t>BODY MODEL NUMBER</t>
  </si>
  <si>
    <t>BODY IP RATING</t>
  </si>
  <si>
    <t>BODY EXPLOSION PROT. CERT.</t>
  </si>
  <si>
    <t>ACTUATOR TAG NUMBER</t>
  </si>
  <si>
    <t>ACTUATOR MANUFACTURER</t>
  </si>
  <si>
    <t>ACTUATOR MODEL NUMBER</t>
  </si>
  <si>
    <t>ACTUATOR IP RATING</t>
  </si>
  <si>
    <t>ACTUATOR EXPLOSION PROT. CERT.</t>
  </si>
  <si>
    <t>POSITIONER TAG NUMBER</t>
  </si>
  <si>
    <t>POSITIONER MANUFACTURER</t>
  </si>
  <si>
    <t>POSITIONER MODEL NUMBER</t>
  </si>
  <si>
    <t>POSITIONER IP RATING</t>
  </si>
  <si>
    <t>POSITIONER EXPLOSION PROT. CERT.</t>
  </si>
  <si>
    <t>SOLENOID VALVE TAG NUMBER</t>
  </si>
  <si>
    <t>SOLENOID VALVE MANUFACTURER</t>
  </si>
  <si>
    <t>SOLENOID VALVE MODEL NUMBER</t>
  </si>
  <si>
    <t>SOLENOID VALVE IP RATING</t>
  </si>
  <si>
    <t>SOLENOID VALVE EXPLOSION PROT. CERT.</t>
  </si>
  <si>
    <t>LIMIT SWITCH TAG NUMBER</t>
  </si>
  <si>
    <t>LIMIT SWITCH MANUFACTURER</t>
  </si>
  <si>
    <t>LIMIT SWITCH MODEL NUMBER</t>
  </si>
  <si>
    <t>LIMIT SWITCH IP RATING</t>
  </si>
  <si>
    <t>LIMIT SWITCH EXPLOSION PROT. CERT.</t>
  </si>
  <si>
    <t>AIR SET TAG NUMBER</t>
  </si>
  <si>
    <t>AIR SET MANUFACTURER</t>
  </si>
  <si>
    <t>AIR SET MODEL NUMBER</t>
  </si>
  <si>
    <t>AIR SET IP RATING</t>
  </si>
  <si>
    <t>AIR SET EXPLOSION PROT. CERT.</t>
  </si>
  <si>
    <t>MR Number</t>
  </si>
  <si>
    <t>Material Master Code</t>
  </si>
  <si>
    <t>INSTR_LIST_ID</t>
  </si>
  <si>
    <t>REV_NO</t>
  </si>
  <si>
    <t>TAG_NO</t>
  </si>
  <si>
    <t>SERVICE</t>
  </si>
  <si>
    <t>PID</t>
  </si>
  <si>
    <t>LINE_TAG_NO</t>
  </si>
  <si>
    <t>INLET_PIPE_SIZE</t>
  </si>
  <si>
    <t>OUT_PIPE_SIZE</t>
  </si>
  <si>
    <t>LINE_SPEC</t>
  </si>
  <si>
    <t>TIGHT_REQUIRE</t>
  </si>
  <si>
    <t>COM_AREA_CLASS</t>
  </si>
  <si>
    <t>COM_NACE_NACE</t>
  </si>
  <si>
    <t>ID_FLUID</t>
  </si>
  <si>
    <t>FLUID_DESC</t>
  </si>
  <si>
    <t>FLOWRATE_UOM</t>
  </si>
  <si>
    <t>FLOWRATE_MIN</t>
  </si>
  <si>
    <t>FLOWRATE_NOR</t>
  </si>
  <si>
    <t>FLOWRATE_MAX</t>
  </si>
  <si>
    <t>PRES_UOM</t>
  </si>
  <si>
    <t>PRES_OMIN</t>
  </si>
  <si>
    <t>PRES_ONOR</t>
  </si>
  <si>
    <t>PRES_OMAX</t>
  </si>
  <si>
    <t>DIFFER_PRES_UOM</t>
  </si>
  <si>
    <t>DIFFER_PRES_OMIN</t>
  </si>
  <si>
    <t>DIFFER_PRES_ONOR</t>
  </si>
  <si>
    <t>DIFFER_PRES_OMAX</t>
  </si>
  <si>
    <t>TEMP_UOM</t>
  </si>
  <si>
    <t>TEMP_OMIN</t>
  </si>
  <si>
    <t>TEMP_ONOR</t>
  </si>
  <si>
    <t>TEMP_OMAX</t>
  </si>
  <si>
    <t>VISCOSITY_UOM</t>
  </si>
  <si>
    <t>OPER_VISCOSITY_MIN</t>
  </si>
  <si>
    <t>OPER_VISCOSITY_NOR</t>
  </si>
  <si>
    <t>OPER_VISCOSITY_MAX</t>
  </si>
  <si>
    <t>VAP_PRES_UNIT</t>
  </si>
  <si>
    <t>PRES_VAPOR_MIN</t>
  </si>
  <si>
    <t>PRES_VAPOR_NOR</t>
  </si>
  <si>
    <t>PRES_VAPOR_MAX</t>
  </si>
  <si>
    <t>COM_TRAVEL_UOM</t>
  </si>
  <si>
    <t>COM_TRAVEL_MIN</t>
  </si>
  <si>
    <t>COM_TRAVEL_NOR</t>
  </si>
  <si>
    <t>COM_TRAVEL_MAX</t>
  </si>
  <si>
    <t>CALCUL_CV_MIN</t>
  </si>
  <si>
    <t>CALCUL_CV_NOR</t>
  </si>
  <si>
    <t>CALCUL_CV_MAX</t>
  </si>
  <si>
    <t>NOISE_UOM</t>
  </si>
  <si>
    <t>CALCUL_NOISE_MIN</t>
  </si>
  <si>
    <t>CALCUL_NOISE_NOR</t>
  </si>
  <si>
    <t>CALCUL_NOISE_MAX</t>
  </si>
  <si>
    <t>TEMP_DGN_UNIT</t>
  </si>
  <si>
    <t>TEMP_DGN_MIN</t>
  </si>
  <si>
    <t>TEMP_DGN_MAX</t>
  </si>
  <si>
    <t>PRES_DGN_UNIT</t>
  </si>
  <si>
    <t>PRES_DGN_MIN</t>
  </si>
  <si>
    <t>PRES_DGN_MAX</t>
  </si>
  <si>
    <t>TEMP_AMB_UOM</t>
  </si>
  <si>
    <t>TEMP_AMB_MIN</t>
  </si>
  <si>
    <t>TEMP_AMB_MAX</t>
  </si>
  <si>
    <t>COM_MIN_AIR_SUPP_UOM</t>
  </si>
  <si>
    <t>COM_MIN_AIR_SUPP</t>
  </si>
  <si>
    <t>COM_MAX_AIR_SUPP</t>
  </si>
  <si>
    <t>ALLOW_NOISE</t>
  </si>
  <si>
    <t>PRES_DIF_SHUTOFF_MAX_UOM</t>
  </si>
  <si>
    <t>PRES_DIF_SHUTOFF_MAX</t>
  </si>
  <si>
    <t>TEMP_CRITICAL</t>
  </si>
  <si>
    <t>PRES_CRITICAL</t>
  </si>
  <si>
    <t>OPER_DENSITY</t>
  </si>
  <si>
    <t>OPER_GRAVITY</t>
  </si>
  <si>
    <t>MOL_WEIGHT</t>
  </si>
  <si>
    <t>COMPRESSIBILITY_FACTOR</t>
  </si>
  <si>
    <t>CP_CV</t>
  </si>
  <si>
    <t>COM_BODY_TYPE</t>
  </si>
  <si>
    <t>COM_BODY_SIZE</t>
  </si>
  <si>
    <t>TRIM_SIZE</t>
  </si>
  <si>
    <t>COM_CV_REQUIRED</t>
  </si>
  <si>
    <t>COM_CV_SELECTED</t>
  </si>
  <si>
    <t>CHARACTER_OF_TRIM</t>
  </si>
  <si>
    <t>COM_PD_CONN_SIZE</t>
  </si>
  <si>
    <t>COM_PD_CONN_RAT</t>
  </si>
  <si>
    <t>FLOW_DIRECTION</t>
  </si>
  <si>
    <t>FLOW_ACT_TO</t>
  </si>
  <si>
    <t>NO_PORTS</t>
  </si>
  <si>
    <t>COM_LEAKAGE_CLASS</t>
  </si>
  <si>
    <t>COM_BONNET_TYPE</t>
  </si>
  <si>
    <t>TRIM_FORM</t>
  </si>
  <si>
    <t>COM_BODY_MAT</t>
  </si>
  <si>
    <t>COM_BONNET_MAT</t>
  </si>
  <si>
    <t>PLUG_DISC_MAT</t>
  </si>
  <si>
    <t>COM_SEAT_MAT</t>
  </si>
  <si>
    <t>CAGE_MAT</t>
  </si>
  <si>
    <t>STEM_MAT</t>
  </si>
  <si>
    <t>COM_GASK_MAT</t>
  </si>
  <si>
    <t>COM_PACK_MAT</t>
  </si>
  <si>
    <t>COM_ACTUA_TYPE</t>
  </si>
  <si>
    <t>COM_ACTUA_SIZE</t>
  </si>
  <si>
    <t>COM_ACTUA_AREA</t>
  </si>
  <si>
    <t>ACTUA_FAIL_POSITION</t>
  </si>
  <si>
    <t>COM_HANDWHEEL</t>
  </si>
  <si>
    <t>ACTUA_TRAVEL_STOP</t>
  </si>
  <si>
    <t>ACTUA_BENCH_RANGE</t>
  </si>
  <si>
    <t>ACTUA_PRESSURE_RANGE</t>
  </si>
  <si>
    <t>POSITIONER_TYPE</t>
  </si>
  <si>
    <t>POSI_ELEC_CONN</t>
  </si>
  <si>
    <t>POSI_POWER_SUPPLY</t>
  </si>
  <si>
    <t>POSI_ENCLOS_CLASS</t>
  </si>
  <si>
    <t>POSI_ACT_CHAM</t>
  </si>
  <si>
    <t>POSI_BYPASS</t>
  </si>
  <si>
    <t>POSI_GAUGE</t>
  </si>
  <si>
    <t>POSI_SIG_INLET</t>
  </si>
  <si>
    <t>POSI_SIG_OUTLET</t>
  </si>
  <si>
    <t>SOL_VALVE_TYPE</t>
  </si>
  <si>
    <t>SOL_VALVE_ELEC_CONN</t>
  </si>
  <si>
    <t>SOL_VALVE_POWER_SUPPLY</t>
  </si>
  <si>
    <t>SOL_VALVE_ENCLOSE_CLASS</t>
  </si>
  <si>
    <t>SOL_VALVE_BODY_MAT</t>
  </si>
  <si>
    <t>LIMIT_S_TYPE</t>
  </si>
  <si>
    <t>LIMIT_S_QTY</t>
  </si>
  <si>
    <t>LIMIT_S_ELEC_CONN</t>
  </si>
  <si>
    <t>LIMIT_S_ENCLO_CLASS</t>
  </si>
  <si>
    <t>LIMIT_S_CONT_RATING</t>
  </si>
  <si>
    <t>LIMIT_S_SWITCH_POSITION</t>
  </si>
  <si>
    <t>AIR_SET_PRESSURE</t>
  </si>
  <si>
    <t>AIR_SET_FILTER</t>
  </si>
  <si>
    <t>AIR_SET_GAUGE</t>
  </si>
  <si>
    <t>AIR_SET_PNEUM_CONN</t>
  </si>
  <si>
    <t>TEST_HYDRO_PRESSURE</t>
  </si>
  <si>
    <t>TEST_LEAKAGE</t>
  </si>
  <si>
    <t>COM_BODY_MFR</t>
  </si>
  <si>
    <t>COM_BODY_MODEL</t>
  </si>
  <si>
    <t>COM_BODY_IP_RATING</t>
  </si>
  <si>
    <t>COM_BODY_EXPLO_PROT_CERT</t>
  </si>
  <si>
    <t>ACTUA_TAG</t>
  </si>
  <si>
    <t>COM_ACCESS_MFR</t>
  </si>
  <si>
    <t>COM_ACTUA_MODEL</t>
  </si>
  <si>
    <t>ACTUA_IP_RATING</t>
  </si>
  <si>
    <t>ACTUA_EXPLO_PROT_CERT</t>
  </si>
  <si>
    <t>POSI_TAG</t>
  </si>
  <si>
    <t>POSI_MFR</t>
  </si>
  <si>
    <t>POSI_MODEL</t>
  </si>
  <si>
    <t>POSI_IP_RATING</t>
  </si>
  <si>
    <t>POSI_EXPLO_PROT_CERT</t>
  </si>
  <si>
    <t>SOL_VALVE_TAG</t>
  </si>
  <si>
    <t>SOL_VALVE_MFR</t>
  </si>
  <si>
    <t>SOL_VALVE_MODEL</t>
  </si>
  <si>
    <t>SOL_VALVE_IP_RATING</t>
  </si>
  <si>
    <t>SOL_VALVE_EXPLO_PROT_CERT</t>
  </si>
  <si>
    <t>LIMIT_S_TAG</t>
  </si>
  <si>
    <t>LIMIT_S_MFR</t>
  </si>
  <si>
    <t>LIMIT_S_MODEL</t>
  </si>
  <si>
    <t>LIMIT_S_IP_RATING</t>
  </si>
  <si>
    <t>LIMIT_S_EXPLO_PROT_CERT</t>
  </si>
  <si>
    <t>AIR_SET_TAG</t>
  </si>
  <si>
    <t>AIR_SET_MFR</t>
  </si>
  <si>
    <t>AIR_SET_MODEL</t>
  </si>
  <si>
    <t>AIR_SET_IP_RATING</t>
  </si>
  <si>
    <t>AIR_SET_EXPLO_PROT_CERT</t>
  </si>
  <si>
    <t>MR_NO</t>
  </si>
  <si>
    <t>MAT_MAS_CD</t>
  </si>
  <si>
    <t/>
  </si>
  <si>
    <t>10-FV-3041</t>
  </si>
  <si>
    <t>10-FV-3042</t>
  </si>
  <si>
    <t>10-FV-3121</t>
  </si>
  <si>
    <t>10-FV-3161</t>
  </si>
  <si>
    <t>10-FV-3162</t>
  </si>
  <si>
    <t>10-FV-3201</t>
  </si>
  <si>
    <t>10-FV-3221</t>
  </si>
  <si>
    <t>10-FV-3222</t>
  </si>
  <si>
    <t>10-FV-3223</t>
  </si>
  <si>
    <t>10-FV-3241</t>
  </si>
  <si>
    <t>10-FV-3261</t>
  </si>
  <si>
    <t>10-FV-3322</t>
  </si>
  <si>
    <t>10-FV-3342</t>
  </si>
  <si>
    <t>10-FV-3361</t>
  </si>
  <si>
    <t>10-FV-3362</t>
  </si>
  <si>
    <t>10-FV-3363</t>
  </si>
  <si>
    <t>10-FV-3441</t>
  </si>
  <si>
    <t>10-FV-3501</t>
  </si>
  <si>
    <t>10-FV-3502</t>
  </si>
  <si>
    <t>10-FV-3503</t>
  </si>
  <si>
    <t>10-FV-3504</t>
  </si>
  <si>
    <t>10-FV-3541</t>
  </si>
  <si>
    <t>10-FV-3544</t>
  </si>
  <si>
    <t>10-FV-3562</t>
  </si>
  <si>
    <t>10-FV-3563</t>
  </si>
  <si>
    <t>10-FV-3621</t>
  </si>
  <si>
    <t>10-FV-3622</t>
  </si>
  <si>
    <t>10-FV-3641</t>
  </si>
  <si>
    <t>10-FV-3642</t>
  </si>
  <si>
    <t>10-FV-3643</t>
  </si>
  <si>
    <t>10-FV-3661</t>
  </si>
  <si>
    <t>10-FV-3662</t>
  </si>
  <si>
    <t>10-FV-3681</t>
  </si>
  <si>
    <t>10-FV-3682</t>
  </si>
  <si>
    <t>10-FV-3701</t>
  </si>
  <si>
    <t>10-FV-3821</t>
  </si>
  <si>
    <t>10-FV-3981</t>
  </si>
  <si>
    <t>10-FV-4001</t>
  </si>
  <si>
    <t>10-FV-4021</t>
  </si>
  <si>
    <t>10-FV-4041</t>
  </si>
  <si>
    <t>10-FV-4061</t>
  </si>
  <si>
    <t>10-FV-4081</t>
  </si>
  <si>
    <t>10-FV-4082</t>
  </si>
  <si>
    <t>10-FV-4101</t>
  </si>
  <si>
    <t>10-FV-4102</t>
  </si>
  <si>
    <t>10-FV-4121</t>
  </si>
  <si>
    <t>10-FV-4122</t>
  </si>
  <si>
    <t>10-FV-4123</t>
  </si>
  <si>
    <t>10-FV-4181</t>
  </si>
  <si>
    <t>10-FV-4241</t>
  </si>
  <si>
    <t>10-FV-4262</t>
  </si>
  <si>
    <t>10-FV-4263</t>
  </si>
  <si>
    <t>10-FV-4264</t>
  </si>
  <si>
    <t>10-FV-5001</t>
  </si>
  <si>
    <t>10-FV-5021</t>
  </si>
  <si>
    <t>10-FV-5041</t>
  </si>
  <si>
    <t>10-FV-5042</t>
  </si>
  <si>
    <t>10-FV-5061</t>
  </si>
  <si>
    <t>10-FV-5062</t>
  </si>
  <si>
    <t>10-FV-5121</t>
  </si>
  <si>
    <t>10-FV-5122</t>
  </si>
  <si>
    <t>10-FV-5141</t>
  </si>
  <si>
    <t>10-FV-5242</t>
  </si>
  <si>
    <t>10-FV-5266</t>
  </si>
  <si>
    <t>LINE-105-BD-1-0014</t>
  </si>
  <si>
    <t>10-FV-5281</t>
  </si>
  <si>
    <t>LINE-105-BD-1-0015</t>
  </si>
  <si>
    <t>10-FV-6001</t>
  </si>
  <si>
    <t>LINE-106-BD-1-0001</t>
  </si>
  <si>
    <t>10-FV-6003</t>
  </si>
  <si>
    <t>10-FV-6031</t>
  </si>
  <si>
    <t>LINE-106-BD-1-0002</t>
  </si>
  <si>
    <t>10-FV-6061</t>
  </si>
  <si>
    <t>LINE-106-BD-1-0003</t>
  </si>
  <si>
    <t>10-FV-6062</t>
  </si>
  <si>
    <t>10-FV-6063</t>
  </si>
  <si>
    <t>10-FV-6064</t>
  </si>
  <si>
    <t>10-FV-6091</t>
  </si>
  <si>
    <t>LINE-106-BD-1-0004</t>
  </si>
  <si>
    <t>10-FV-6093</t>
  </si>
  <si>
    <t>10-FV-6094</t>
  </si>
  <si>
    <t>10-FV-6151</t>
  </si>
  <si>
    <t>LINE-106-BD-1-0006</t>
  </si>
  <si>
    <t>10-FV-6152</t>
  </si>
  <si>
    <t>10-FV-6153</t>
  </si>
  <si>
    <t>10-FV-6154</t>
  </si>
  <si>
    <t>10-FV-6181</t>
  </si>
  <si>
    <t>LINE-106-BD-1-0007</t>
  </si>
  <si>
    <t>10-FV-6211</t>
  </si>
  <si>
    <t>LINE-106-BD-1-0008</t>
  </si>
  <si>
    <t>10-FV-6271</t>
  </si>
  <si>
    <t>LINE-106-BD-1-0010</t>
  </si>
  <si>
    <t>10-FV-6331</t>
  </si>
  <si>
    <t>LINE-106-BD-1-0012</t>
  </si>
  <si>
    <t>10-FV-6361</t>
  </si>
  <si>
    <t>LINE-106-BD-1-0013</t>
  </si>
  <si>
    <t>10-FV-6391</t>
  </si>
  <si>
    <t>10-FV-6421</t>
  </si>
  <si>
    <t>LINE-106-BD-1-0015</t>
  </si>
  <si>
    <t>10-FV-6451</t>
  </si>
  <si>
    <t>10-FV-6453</t>
  </si>
  <si>
    <t>10-FV-6481</t>
  </si>
  <si>
    <t>LINE-106-BD-1-0021</t>
  </si>
  <si>
    <t>10-FV-6482</t>
  </si>
  <si>
    <t>10-FV-6511</t>
  </si>
  <si>
    <t>LINE-106-BD-1-0022</t>
  </si>
  <si>
    <t>LINE-106-BD-1-0023</t>
  </si>
  <si>
    <t>10-FV-6542</t>
  </si>
  <si>
    <t>10-FV-6571</t>
  </si>
  <si>
    <t>LINE-106-BD-1-0024</t>
  </si>
  <si>
    <t>10-FV-6601</t>
  </si>
  <si>
    <t>LINE-106-BD-1-0032</t>
  </si>
  <si>
    <t>LINE-106-BD-1-0033</t>
  </si>
  <si>
    <t>LINE-106-BD-1-0034</t>
  </si>
  <si>
    <t>10-FV-6631</t>
  </si>
  <si>
    <t>LINE-105-BD-1-0013</t>
  </si>
  <si>
    <t>10-LV-3042</t>
  </si>
  <si>
    <t>10-LV-3043</t>
  </si>
  <si>
    <t>10-LV-3082</t>
  </si>
  <si>
    <t>10-LV-3101</t>
  </si>
  <si>
    <t>10-LV-3204</t>
  </si>
  <si>
    <t>10-LV-3281</t>
  </si>
  <si>
    <t>10-LV-3283</t>
  </si>
  <si>
    <t>10-LV-3301</t>
  </si>
  <si>
    <t>10-LV-3321</t>
  </si>
  <si>
    <t>10-LV-3401</t>
  </si>
  <si>
    <t>10-LV-3403</t>
  </si>
  <si>
    <t>10-LV-3405</t>
  </si>
  <si>
    <t>10-LV-3441</t>
  </si>
  <si>
    <t>10-LV-3481</t>
  </si>
  <si>
    <t>10-LV-3521</t>
  </si>
  <si>
    <t>10-LV-3544</t>
  </si>
  <si>
    <t>10-LV-3547</t>
  </si>
  <si>
    <t>10-LV-3563</t>
  </si>
  <si>
    <t>10-LV-3601</t>
  </si>
  <si>
    <t>10-LV-3641</t>
  </si>
  <si>
    <t>10-LV-3681</t>
  </si>
  <si>
    <t>10-LV-3701</t>
  </si>
  <si>
    <t>10-LV-3821</t>
  </si>
  <si>
    <t>10-LV-3941</t>
  </si>
  <si>
    <t>10-LV-3943</t>
  </si>
  <si>
    <t>10-LV-3961</t>
  </si>
  <si>
    <t>10-LV-4022</t>
  </si>
  <si>
    <t>10-LV-4043</t>
  </si>
  <si>
    <t>10-LV-4086</t>
  </si>
  <si>
    <t>10-LV-4101</t>
  </si>
  <si>
    <t>10-LV-4182</t>
  </si>
  <si>
    <t>10-LV-5002</t>
  </si>
  <si>
    <t>10-LV-5021</t>
  </si>
  <si>
    <t>10-LV-5081</t>
  </si>
  <si>
    <t>10-LV-5101</t>
  </si>
  <si>
    <t>10-LV-5182</t>
  </si>
  <si>
    <t>10-LV-5221</t>
  </si>
  <si>
    <t>10-LV-5242B</t>
  </si>
  <si>
    <t>10-LV-5281</t>
  </si>
  <si>
    <t>10-LV-5284</t>
  </si>
  <si>
    <t>10-LV-6244</t>
  </si>
  <si>
    <t>LINE-106-BD-1-0009A</t>
  </si>
  <si>
    <t>10-LV-6512</t>
  </si>
  <si>
    <t>10-LV-6631</t>
  </si>
  <si>
    <t>10-LV-6661</t>
  </si>
  <si>
    <t>10-LV-6691</t>
  </si>
  <si>
    <t>10-PDV-3821</t>
  </si>
  <si>
    <t>10-PDV-3842</t>
  </si>
  <si>
    <t>10-PDV-3861</t>
  </si>
  <si>
    <t>10-PDV-4062</t>
  </si>
  <si>
    <t>10-PDV-5261</t>
  </si>
  <si>
    <t>10-PDV-6181</t>
  </si>
  <si>
    <t>10-PV-3281A</t>
  </si>
  <si>
    <t>10-PV-3281B</t>
  </si>
  <si>
    <t>10-PV-3401</t>
  </si>
  <si>
    <t>10-PV-3501</t>
  </si>
  <si>
    <t>10-PV-3522B</t>
  </si>
  <si>
    <t>10-PV-3563</t>
  </si>
  <si>
    <t>10-PV-3666</t>
  </si>
  <si>
    <t>10-PV-3981</t>
  </si>
  <si>
    <t>10-PV-4141B</t>
  </si>
  <si>
    <t>10-PV-4142</t>
  </si>
  <si>
    <t>10-PV-4183</t>
  </si>
  <si>
    <t>10-PV-4244</t>
  </si>
  <si>
    <t>10-PV-4245</t>
  </si>
  <si>
    <t>10-PV-4246</t>
  </si>
  <si>
    <t>10-PV-4262</t>
  </si>
  <si>
    <t>10-PV-4267</t>
  </si>
  <si>
    <t>10-PV-5001</t>
  </si>
  <si>
    <t>10-PV-5102B</t>
  </si>
  <si>
    <t>10-PV-5223</t>
  </si>
  <si>
    <t>10-PV-5265</t>
  </si>
  <si>
    <t>10-PV-6091A</t>
  </si>
  <si>
    <t>10-PV-6091B</t>
  </si>
  <si>
    <t>10-PV-6272</t>
  </si>
  <si>
    <t>10-PV-6302</t>
  </si>
  <si>
    <t>LINE-106-BD-1-0011</t>
  </si>
  <si>
    <t>10-PV-6453</t>
  </si>
  <si>
    <t>10-PV-6483</t>
  </si>
  <si>
    <t>10-PV-6691</t>
  </si>
  <si>
    <t>10-PV-6721</t>
  </si>
  <si>
    <t>LINE-106-BD-1-0036</t>
  </si>
  <si>
    <t>10-PV-6751</t>
  </si>
  <si>
    <t>LINE-109-BD-1-0007A</t>
  </si>
  <si>
    <t>10-TDV-3101</t>
  </si>
  <si>
    <t>10-TV-3142</t>
  </si>
  <si>
    <t>10-TV-3501</t>
  </si>
  <si>
    <t>10-TV-3502</t>
  </si>
  <si>
    <t>10-TV-3503</t>
  </si>
  <si>
    <t>10-TV-3504</t>
  </si>
  <si>
    <t>10-TV-3542</t>
  </si>
  <si>
    <t>10-TV-3821</t>
  </si>
  <si>
    <t>10-TV-3846</t>
  </si>
  <si>
    <t>10-TV-3866</t>
  </si>
  <si>
    <t>10-TV-5063</t>
  </si>
  <si>
    <t>10-TV-6002</t>
  </si>
  <si>
    <t>10-TV-6243</t>
  </si>
  <si>
    <t>10-LV-3143</t>
    <phoneticPr fontId="7" type="noConversion"/>
  </si>
  <si>
    <t>10-TV-3261</t>
    <phoneticPr fontId="7" type="noConversion"/>
  </si>
  <si>
    <t>10-FV-3341</t>
    <phoneticPr fontId="7" type="noConversion"/>
  </si>
  <si>
    <t>10-FV-3345</t>
    <phoneticPr fontId="7" type="noConversion"/>
  </si>
  <si>
    <t>10-FV-3346</t>
    <phoneticPr fontId="7" type="noConversion"/>
  </si>
  <si>
    <t>10-FV-3370</t>
    <phoneticPr fontId="7" type="noConversion"/>
  </si>
  <si>
    <t>10-HV-3821</t>
    <phoneticPr fontId="7" type="noConversion"/>
  </si>
  <si>
    <t>10-HV-3921</t>
    <phoneticPr fontId="7" type="noConversion"/>
  </si>
  <si>
    <t>10-HV-4241</t>
    <phoneticPr fontId="7" type="noConversion"/>
  </si>
  <si>
    <t>10-PV-4261B</t>
    <phoneticPr fontId="7" type="noConversion"/>
  </si>
  <si>
    <t>10-HV-5101</t>
    <phoneticPr fontId="7" type="noConversion"/>
  </si>
  <si>
    <t>10-PV-5127</t>
    <phoneticPr fontId="7" type="noConversion"/>
  </si>
  <si>
    <t>10-HV-5243</t>
    <phoneticPr fontId="7" type="noConversion"/>
  </si>
  <si>
    <t>10-FV-5201</t>
    <phoneticPr fontId="7" type="noConversion"/>
  </si>
  <si>
    <t>10-FV-5289</t>
    <phoneticPr fontId="7" type="noConversion"/>
  </si>
  <si>
    <t>10-LV-5290</t>
    <phoneticPr fontId="7" type="noConversion"/>
  </si>
  <si>
    <t>10-HV-6035</t>
    <phoneticPr fontId="7" type="noConversion"/>
  </si>
  <si>
    <t>10-HV-6544</t>
    <phoneticPr fontId="7" type="noConversion"/>
  </si>
  <si>
    <t>10-PV-6634</t>
    <phoneticPr fontId="7" type="noConversion"/>
  </si>
  <si>
    <t>10-PV-6663</t>
    <phoneticPr fontId="7" type="noConversion"/>
  </si>
  <si>
    <t>10-PV-6694</t>
    <phoneticPr fontId="7" type="noConversion"/>
  </si>
  <si>
    <t>10-FV-6635</t>
    <phoneticPr fontId="7" type="noConversion"/>
  </si>
  <si>
    <t>10-LV-6671</t>
    <phoneticPr fontId="7" type="noConversion"/>
  </si>
  <si>
    <t>10-PV-9401A</t>
    <phoneticPr fontId="7" type="noConversion"/>
  </si>
  <si>
    <t>10-PV-9401B</t>
    <phoneticPr fontId="7" type="noConversion"/>
  </si>
  <si>
    <t>10-PV-9402</t>
    <phoneticPr fontId="7" type="noConversion"/>
  </si>
  <si>
    <t>LINE-103-BD-1-0001</t>
    <phoneticPr fontId="7" type="noConversion"/>
  </si>
  <si>
    <t>LINE-103-BD-1-0002</t>
    <phoneticPr fontId="7" type="noConversion"/>
  </si>
  <si>
    <t>LINE-103-BD-1-0003</t>
    <phoneticPr fontId="7" type="noConversion"/>
  </si>
  <si>
    <t>LINE-103-BD-1-0003</t>
    <phoneticPr fontId="7" type="noConversion"/>
  </si>
  <si>
    <t>LINE-103-BD-1-0003</t>
    <phoneticPr fontId="7" type="noConversion"/>
  </si>
  <si>
    <t>LINE-103-BD-1-0005</t>
    <phoneticPr fontId="7" type="noConversion"/>
  </si>
  <si>
    <t>LINE-103-BD-1-0006</t>
    <phoneticPr fontId="7" type="noConversion"/>
  </si>
  <si>
    <t>LINE-103-BD-1-0006</t>
    <phoneticPr fontId="7" type="noConversion"/>
  </si>
  <si>
    <t>LINE-103-BD-1-0008</t>
    <phoneticPr fontId="7" type="noConversion"/>
  </si>
  <si>
    <t>LINE-103-BD-1-0008</t>
    <phoneticPr fontId="7" type="noConversion"/>
  </si>
  <si>
    <t>LINE-103-BD-1-0009</t>
    <phoneticPr fontId="7" type="noConversion"/>
  </si>
  <si>
    <t>LINE-103-BD-1-0011</t>
    <phoneticPr fontId="7" type="noConversion"/>
  </si>
  <si>
    <t>LINE-103-BD-1-0012</t>
    <phoneticPr fontId="7" type="noConversion"/>
  </si>
  <si>
    <t>LINE-103-BD-1-0012</t>
    <phoneticPr fontId="7" type="noConversion"/>
  </si>
  <si>
    <t>LINE-103-BD-1-0013</t>
    <phoneticPr fontId="7" type="noConversion"/>
  </si>
  <si>
    <t>LINE-103-BD-1-0014</t>
    <phoneticPr fontId="7" type="noConversion"/>
  </si>
  <si>
    <t>LINE-103-BD-1-0014</t>
    <phoneticPr fontId="7" type="noConversion"/>
  </si>
  <si>
    <t>LINE-103-BD-1-0015</t>
    <phoneticPr fontId="7" type="noConversion"/>
  </si>
  <si>
    <t>LINE-103-BD-1-0015</t>
    <phoneticPr fontId="7" type="noConversion"/>
  </si>
  <si>
    <t>LINE-103-BD-1-0015</t>
    <phoneticPr fontId="7" type="noConversion"/>
  </si>
  <si>
    <t>LINE-103-BD-1-0016</t>
    <phoneticPr fontId="7" type="noConversion"/>
  </si>
  <si>
    <t>LINE-103-BD-1-0017</t>
    <phoneticPr fontId="7" type="noConversion"/>
  </si>
  <si>
    <t>LINE-103-BD-1-0018</t>
    <phoneticPr fontId="7" type="noConversion"/>
  </si>
  <si>
    <t>LINE-103-BD-1-0018</t>
    <phoneticPr fontId="7" type="noConversion"/>
  </si>
  <si>
    <t>LINE-103-BD-1-0019</t>
    <phoneticPr fontId="7" type="noConversion"/>
  </si>
  <si>
    <t>LINE-103-BD-1-0019A</t>
    <phoneticPr fontId="7" type="noConversion"/>
  </si>
  <si>
    <t>LINE-103-BD-1-0021</t>
    <phoneticPr fontId="7" type="noConversion"/>
  </si>
  <si>
    <t>LINE-103-BD-1-0021</t>
    <phoneticPr fontId="7" type="noConversion"/>
  </si>
  <si>
    <t>LINE-103-BD-1-0021</t>
    <phoneticPr fontId="7" type="noConversion"/>
  </si>
  <si>
    <t>LINE-103-BD-1-0023</t>
    <phoneticPr fontId="7" type="noConversion"/>
  </si>
  <si>
    <t>LINE-103-BD-1-0025</t>
    <phoneticPr fontId="7" type="noConversion"/>
  </si>
  <si>
    <t>LINE-103-BD-1-0026</t>
    <phoneticPr fontId="7" type="noConversion"/>
  </si>
  <si>
    <t>LINE-103-BD-1-0026</t>
    <phoneticPr fontId="7" type="noConversion"/>
  </si>
  <si>
    <t>LINE-103-BD-1-0026</t>
    <phoneticPr fontId="7" type="noConversion"/>
  </si>
  <si>
    <t>LINE-103-BD-1-0027</t>
    <phoneticPr fontId="7" type="noConversion"/>
  </si>
  <si>
    <t>LINE-103-BD-1-0028</t>
    <phoneticPr fontId="7" type="noConversion"/>
  </si>
  <si>
    <t>LINE-103-BD-1-0028</t>
    <phoneticPr fontId="7" type="noConversion"/>
  </si>
  <si>
    <t>LINE-103-BD-1-0028</t>
    <phoneticPr fontId="7" type="noConversion"/>
  </si>
  <si>
    <t>LINE-103-BD-1-0029</t>
    <phoneticPr fontId="7" type="noConversion"/>
  </si>
  <si>
    <t>LINE-103-BD-1-0029</t>
    <phoneticPr fontId="7" type="noConversion"/>
  </si>
  <si>
    <t>LINE-103-BD-1-0031</t>
    <phoneticPr fontId="7" type="noConversion"/>
  </si>
  <si>
    <t>LINE-103-BD-1-0032</t>
    <phoneticPr fontId="7" type="noConversion"/>
  </si>
  <si>
    <t>LINE-103-BD-1-0033</t>
    <phoneticPr fontId="7" type="noConversion"/>
  </si>
  <si>
    <t>LINE-103-BD-1-0033A</t>
    <phoneticPr fontId="7" type="noConversion"/>
  </si>
  <si>
    <t>LINE-103-BD-1-0033A</t>
    <phoneticPr fontId="7" type="noConversion"/>
  </si>
  <si>
    <t>LINE-103-BD-1-0034</t>
    <phoneticPr fontId="7" type="noConversion"/>
  </si>
  <si>
    <t>LINE-103-BD-1-0035</t>
    <phoneticPr fontId="7" type="noConversion"/>
  </si>
  <si>
    <t>LINE-103-BD-1-0035A</t>
    <phoneticPr fontId="7" type="noConversion"/>
  </si>
  <si>
    <t>LINE-103-BD-1-0035A</t>
    <phoneticPr fontId="7" type="noConversion"/>
  </si>
  <si>
    <t>LINE-103-BD-1-0036</t>
    <phoneticPr fontId="7" type="noConversion"/>
  </si>
  <si>
    <t>LINE-103-BD-1-0042</t>
    <phoneticPr fontId="7" type="noConversion"/>
  </si>
  <si>
    <t>LINE-103-BD-1-0042</t>
    <phoneticPr fontId="7" type="noConversion"/>
  </si>
  <si>
    <t>LINE-103-BD-1-0043</t>
    <phoneticPr fontId="7" type="noConversion"/>
  </si>
  <si>
    <t>LINE-103-BD-1-0043</t>
    <phoneticPr fontId="7" type="noConversion"/>
  </si>
  <si>
    <t>LINE-103-BD-1-0044</t>
    <phoneticPr fontId="7" type="noConversion"/>
  </si>
  <si>
    <t>LINE-103-BD-1-0047</t>
    <phoneticPr fontId="7" type="noConversion"/>
  </si>
  <si>
    <t>LINE-103-BD-1-0048</t>
    <phoneticPr fontId="7" type="noConversion"/>
  </si>
  <si>
    <t>LINE-103-BD-1-0048</t>
    <phoneticPr fontId="7" type="noConversion"/>
  </si>
  <si>
    <t>LINE-103-BD-1-0049</t>
    <phoneticPr fontId="7" type="noConversion"/>
  </si>
  <si>
    <t>LINE-103-BD-1-0050</t>
    <phoneticPr fontId="7" type="noConversion"/>
  </si>
  <si>
    <t>LINE-104-BD-1-0001</t>
    <phoneticPr fontId="7" type="noConversion"/>
  </si>
  <si>
    <t>LINE-104-BD-1-0002</t>
    <phoneticPr fontId="7" type="noConversion"/>
  </si>
  <si>
    <t>LINE-104-BD-1-0002</t>
    <phoneticPr fontId="7" type="noConversion"/>
  </si>
  <si>
    <t>LINE-104-BD-1-0003</t>
    <phoneticPr fontId="7" type="noConversion"/>
  </si>
  <si>
    <t>LINE-104-BD-1-0003</t>
    <phoneticPr fontId="7" type="noConversion"/>
  </si>
  <si>
    <t>LINE-104-BD-1-0004</t>
    <phoneticPr fontId="7" type="noConversion"/>
  </si>
  <si>
    <t>LINE-104-BD-1-0004</t>
    <phoneticPr fontId="7" type="noConversion"/>
  </si>
  <si>
    <t>LINE-104-BD-1-0005</t>
    <phoneticPr fontId="7" type="noConversion"/>
  </si>
  <si>
    <t>LINE-104-BD-1-0006</t>
    <phoneticPr fontId="7" type="noConversion"/>
  </si>
  <si>
    <t>LINE-104-BD-1-0006</t>
    <phoneticPr fontId="7" type="noConversion"/>
  </si>
  <si>
    <t>LINE-104-BD-1-0006</t>
    <phoneticPr fontId="7" type="noConversion"/>
  </si>
  <si>
    <t>LINE-104-BD-1-0007</t>
    <phoneticPr fontId="7" type="noConversion"/>
  </si>
  <si>
    <t>LINE-104-BD-1-0007</t>
    <phoneticPr fontId="7" type="noConversion"/>
  </si>
  <si>
    <t>LINE-104-BD-1-0008</t>
    <phoneticPr fontId="7" type="noConversion"/>
  </si>
  <si>
    <t>LINE-104-BD-1-0010</t>
    <phoneticPr fontId="7" type="noConversion"/>
  </si>
  <si>
    <t>LINE-104-BD-1-0010</t>
    <phoneticPr fontId="7" type="noConversion"/>
  </si>
  <si>
    <t>LINE-104-BD-1-0013</t>
    <phoneticPr fontId="7" type="noConversion"/>
  </si>
  <si>
    <t>LINE-104-BD-1-0013</t>
    <phoneticPr fontId="7" type="noConversion"/>
  </si>
  <si>
    <t>LINE-104-BD-1-0013</t>
    <phoneticPr fontId="7" type="noConversion"/>
  </si>
  <si>
    <t>LINE-104-BD-1-0014</t>
    <phoneticPr fontId="7" type="noConversion"/>
  </si>
  <si>
    <t>LINE-104-BD-1-0014</t>
    <phoneticPr fontId="7" type="noConversion"/>
  </si>
  <si>
    <t>LINE-105-BD-1-0001</t>
    <phoneticPr fontId="7" type="noConversion"/>
  </si>
  <si>
    <t>LINE-105-BD-1-0002</t>
    <phoneticPr fontId="7" type="noConversion"/>
  </si>
  <si>
    <t>LINE-105-BD-1-0002</t>
    <phoneticPr fontId="7" type="noConversion"/>
  </si>
  <si>
    <t>LINE-105-BD-1-0003</t>
    <phoneticPr fontId="7" type="noConversion"/>
  </si>
  <si>
    <t>LINE-105-BD-1-0003</t>
    <phoneticPr fontId="7" type="noConversion"/>
  </si>
  <si>
    <t>LINE-105-BD-1-0003</t>
    <phoneticPr fontId="7" type="noConversion"/>
  </si>
  <si>
    <t>LINE-105-BD-1-0004</t>
    <phoneticPr fontId="7" type="noConversion"/>
  </si>
  <si>
    <t>LINE-105-BD-1-0004</t>
    <phoneticPr fontId="7" type="noConversion"/>
  </si>
  <si>
    <t>LINE-105-BD-1-0005</t>
    <phoneticPr fontId="7" type="noConversion"/>
  </si>
  <si>
    <t>LINE-105-BD-1-0005</t>
    <phoneticPr fontId="7" type="noConversion"/>
  </si>
  <si>
    <t>LINE-105-BD-1-0006</t>
    <phoneticPr fontId="7" type="noConversion"/>
  </si>
  <si>
    <t>LINE-105-BD-1-0006</t>
    <phoneticPr fontId="7" type="noConversion"/>
  </si>
  <si>
    <t>LINE-105-BD-1-0006</t>
    <phoneticPr fontId="7" type="noConversion"/>
  </si>
  <si>
    <t>LINE-105-BD-1-0007</t>
    <phoneticPr fontId="7" type="noConversion"/>
  </si>
  <si>
    <t>LINE-105-BD-1-0007</t>
    <phoneticPr fontId="7" type="noConversion"/>
  </si>
  <si>
    <t>LINE-105-BD-1-0008</t>
    <phoneticPr fontId="7" type="noConversion"/>
  </si>
  <si>
    <t>LINE-105-BD-1-0010</t>
    <phoneticPr fontId="7" type="noConversion"/>
  </si>
  <si>
    <t>LINE-105-BD-1-0011</t>
    <phoneticPr fontId="7" type="noConversion"/>
  </si>
  <si>
    <t>LINE-105-BD-1-0012</t>
    <phoneticPr fontId="7" type="noConversion"/>
  </si>
  <si>
    <t>LINE-105-BD-1-0012</t>
    <phoneticPr fontId="7" type="noConversion"/>
  </si>
  <si>
    <t>LINE-105-BD-1-0013</t>
    <phoneticPr fontId="7" type="noConversion"/>
  </si>
  <si>
    <t>LINE-105-BD-1-0102</t>
  </si>
  <si>
    <t>LINE-106-BD-1-0102</t>
  </si>
  <si>
    <t>L</t>
  </si>
  <si>
    <t>kg/hr</t>
    <phoneticPr fontId="7" type="noConversion"/>
  </si>
  <si>
    <t>kg/cm²-g</t>
  </si>
  <si>
    <t>ETHANE</t>
  </si>
  <si>
    <t>V</t>
  </si>
  <si>
    <t>21283 (3)</t>
  </si>
  <si>
    <t>kg/hr</t>
    <phoneticPr fontId="7" type="noConversion"/>
  </si>
  <si>
    <t>TBD</t>
    <phoneticPr fontId="7" type="noConversion"/>
  </si>
  <si>
    <t>QUENCH WATER</t>
  </si>
  <si>
    <t>kg/hr</t>
    <phoneticPr fontId="7" type="noConversion"/>
  </si>
  <si>
    <t>HYDROCARBON</t>
  </si>
  <si>
    <t>L</t>
    <phoneticPr fontId="7" type="noConversion"/>
  </si>
  <si>
    <t>LP STEAM</t>
  </si>
  <si>
    <t>LP CONDENSATE</t>
  </si>
  <si>
    <t>NITROGEN</t>
  </si>
  <si>
    <t>kg/hr</t>
    <phoneticPr fontId="7" type="noConversion"/>
  </si>
  <si>
    <t>FUEL GAS</t>
  </si>
  <si>
    <t>-</t>
    <phoneticPr fontId="7" type="noConversion"/>
  </si>
  <si>
    <t>-</t>
  </si>
  <si>
    <t>GASOLINE</t>
  </si>
  <si>
    <t>BOILER FEED WATER</t>
  </si>
  <si>
    <t>CONDENSATE</t>
  </si>
  <si>
    <t>CONDENSATE</t>
    <phoneticPr fontId="7" type="noConversion"/>
  </si>
  <si>
    <t>760 (1H)</t>
  </si>
  <si>
    <t>4770 (2)</t>
  </si>
  <si>
    <t>5247 (2)</t>
  </si>
  <si>
    <t>8533(2)</t>
  </si>
  <si>
    <t>52198(2)</t>
  </si>
  <si>
    <t>57520(2H)</t>
  </si>
  <si>
    <t>WEAK CAUSTIC</t>
  </si>
  <si>
    <t>SPENT CAUSTIC</t>
  </si>
  <si>
    <t>3751 (1)</t>
  </si>
  <si>
    <t>11000 (2)</t>
  </si>
  <si>
    <t>14300 (2)</t>
  </si>
  <si>
    <t>MEDIUM CAUSTIC</t>
  </si>
  <si>
    <t>STRONG CAUSTIC</t>
  </si>
  <si>
    <t>20% CAUSTIC</t>
  </si>
  <si>
    <t>1500 (1)</t>
  </si>
  <si>
    <t>2499(2)</t>
  </si>
  <si>
    <t>WATER WASH</t>
  </si>
  <si>
    <t>UNTREATED BFW</t>
    <phoneticPr fontId="7" type="noConversion"/>
  </si>
  <si>
    <t>-</t>
    <phoneticPr fontId="10" type="noConversion"/>
  </si>
  <si>
    <t>2359 (1)</t>
  </si>
  <si>
    <t>3932 (2)</t>
  </si>
  <si>
    <t>4325 (2)</t>
  </si>
  <si>
    <t>13017 (2)</t>
  </si>
  <si>
    <t>VENT GAS</t>
    <phoneticPr fontId="7" type="noConversion"/>
  </si>
  <si>
    <t>30(2)</t>
  </si>
  <si>
    <t>OILY WATER</t>
  </si>
  <si>
    <t>GASOLINE</t>
    <phoneticPr fontId="7" type="noConversion"/>
  </si>
  <si>
    <t>L</t>
    <phoneticPr fontId="7" type="noConversion"/>
  </si>
  <si>
    <t>3906 (2)</t>
  </si>
  <si>
    <t>4335(1)</t>
  </si>
  <si>
    <t>WASH OIL</t>
  </si>
  <si>
    <t>C9+</t>
    <phoneticPr fontId="7" type="noConversion"/>
  </si>
  <si>
    <t>WASH OIL</t>
    <phoneticPr fontId="7" type="noConversion"/>
  </si>
  <si>
    <t>C9+</t>
    <phoneticPr fontId="7" type="noConversion"/>
  </si>
  <si>
    <t>50% CAUSTIC</t>
  </si>
  <si>
    <t>PROPYLENE</t>
  </si>
  <si>
    <t>72060(3R)</t>
  </si>
  <si>
    <t>154962(3R)</t>
  </si>
  <si>
    <t>1210(1)</t>
  </si>
  <si>
    <t>2017(1)</t>
  </si>
  <si>
    <t>2219(1)</t>
  </si>
  <si>
    <t>154962 (3R)</t>
    <phoneticPr fontId="7" type="noConversion"/>
  </si>
  <si>
    <t>22102(1)</t>
  </si>
  <si>
    <t>56441(3)</t>
  </si>
  <si>
    <t>62085(3)</t>
  </si>
  <si>
    <t>2650(3)</t>
  </si>
  <si>
    <t>9000 (3)</t>
    <phoneticPr fontId="7" type="noConversion"/>
  </si>
  <si>
    <t>REGENERATION GAS</t>
  </si>
  <si>
    <t>1804 (1)</t>
  </si>
  <si>
    <t>1984 (1)</t>
  </si>
  <si>
    <t>12892 (1)</t>
  </si>
  <si>
    <t>14181 (1)</t>
  </si>
  <si>
    <t>49502 (1)</t>
  </si>
  <si>
    <t>54452 (1)</t>
  </si>
  <si>
    <t>8783 (1)</t>
  </si>
  <si>
    <t>9661 (1)</t>
  </si>
  <si>
    <t>TAIL GAS</t>
  </si>
  <si>
    <t>29701(3)</t>
  </si>
  <si>
    <t>49502 (3)</t>
    <phoneticPr fontId="7" type="noConversion"/>
  </si>
  <si>
    <t>54452 (3)</t>
    <phoneticPr fontId="7" type="noConversion"/>
  </si>
  <si>
    <t>HP STEAM</t>
  </si>
  <si>
    <t>C3 LPG</t>
  </si>
  <si>
    <t>6000(1)</t>
  </si>
  <si>
    <t>10000 (1)</t>
    <phoneticPr fontId="7" type="noConversion"/>
  </si>
  <si>
    <t>L</t>
    <phoneticPr fontId="7" type="noConversion"/>
  </si>
  <si>
    <t>10000(1)</t>
  </si>
  <si>
    <t>298 (3)</t>
  </si>
  <si>
    <t>2292 (LH)</t>
  </si>
  <si>
    <t>ETHYLENE</t>
  </si>
  <si>
    <t>1968 / 1216</t>
  </si>
  <si>
    <t>ETHYLENE / PROPYLENE</t>
  </si>
  <si>
    <t>50713 (1)</t>
  </si>
  <si>
    <t>89810 (2)</t>
  </si>
  <si>
    <t>98791 (2)</t>
  </si>
  <si>
    <t>LLP STEAM</t>
  </si>
  <si>
    <t>5434 (1)</t>
  </si>
  <si>
    <t>11740 (2)</t>
  </si>
  <si>
    <t>12914 (2)</t>
  </si>
  <si>
    <t>LLP CONDENSATE</t>
  </si>
  <si>
    <t>3874 (2)</t>
  </si>
  <si>
    <t>44433(1)</t>
  </si>
  <si>
    <t>96685(2)</t>
  </si>
  <si>
    <t>106353(2)</t>
  </si>
  <si>
    <t>26545 (1)</t>
  </si>
  <si>
    <t>57762(2)</t>
  </si>
  <si>
    <t>69314(2)</t>
  </si>
  <si>
    <t>6636 (1)</t>
  </si>
  <si>
    <t>13807 (3)</t>
  </si>
  <si>
    <t>15188 (3)</t>
  </si>
  <si>
    <t>4556 (3)</t>
  </si>
  <si>
    <t>10443(1)</t>
  </si>
  <si>
    <t>24977 (3)</t>
  </si>
  <si>
    <t>27475 (3)</t>
  </si>
  <si>
    <t>41445(3R)</t>
  </si>
  <si>
    <t>HYDROCARBON</t>
    <phoneticPr fontId="7" type="noConversion"/>
  </si>
  <si>
    <t>500 (2)</t>
    <phoneticPr fontId="7" type="noConversion"/>
  </si>
  <si>
    <t>204644(3)</t>
  </si>
  <si>
    <t>364818(3)</t>
  </si>
  <si>
    <t>401300(3)</t>
    <phoneticPr fontId="7" type="noConversion"/>
  </si>
  <si>
    <t>PROCESS GAS</t>
  </si>
  <si>
    <t>401300(3)</t>
  </si>
  <si>
    <t>44419(3R)</t>
  </si>
  <si>
    <t>81259(3R)</t>
  </si>
  <si>
    <t>51504(1R)</t>
  </si>
  <si>
    <t>102392(3R)</t>
  </si>
  <si>
    <t>93486 (3)</t>
  </si>
  <si>
    <t>160100 (3)</t>
  </si>
  <si>
    <t>176110 (3)</t>
  </si>
  <si>
    <t>65808 (2)</t>
  </si>
  <si>
    <t>125630 (3)</t>
  </si>
  <si>
    <t>138193 (3)</t>
  </si>
  <si>
    <t>166727(3R)</t>
  </si>
  <si>
    <t>43201 (1R)</t>
  </si>
  <si>
    <t>75952 (2R)</t>
  </si>
  <si>
    <t>83547 (2R)</t>
  </si>
  <si>
    <t>52164 (1R)</t>
  </si>
  <si>
    <t>91098 (2R)</t>
  </si>
  <si>
    <t>100208 (2R)</t>
  </si>
  <si>
    <t>ETHYLENE REFRIGERANT</t>
  </si>
  <si>
    <t>29552 (1R)</t>
  </si>
  <si>
    <t>53869 (3)</t>
  </si>
  <si>
    <t>12041 (1R)</t>
  </si>
  <si>
    <t>22901 (3R)</t>
  </si>
  <si>
    <t>25191 (3R)</t>
  </si>
  <si>
    <t>16370 (1)</t>
  </si>
  <si>
    <t>31929 (3)</t>
  </si>
  <si>
    <t>512784 (1)</t>
  </si>
  <si>
    <t>1032200 (3R)</t>
  </si>
  <si>
    <t>15569 (2R)</t>
  </si>
  <si>
    <t>26761 (3R)</t>
  </si>
  <si>
    <t>32113 (3R)</t>
  </si>
  <si>
    <t>10275 (1R)</t>
  </si>
  <si>
    <t>17470 (3)</t>
  </si>
  <si>
    <t>45725 (2R)</t>
  </si>
  <si>
    <t>96661 (3R)</t>
  </si>
  <si>
    <t>106327 (3R)</t>
  </si>
  <si>
    <t>27300 (2R)</t>
  </si>
  <si>
    <t>42800 (2R)</t>
  </si>
  <si>
    <t>47080 (2R)</t>
  </si>
  <si>
    <t>13889 (2)</t>
  </si>
  <si>
    <t>29278 (3R)</t>
  </si>
  <si>
    <t>H2 + METHANE</t>
  </si>
  <si>
    <t>450 (1R)</t>
  </si>
  <si>
    <t>750 (3)</t>
  </si>
  <si>
    <t>13217 (1R)</t>
  </si>
  <si>
    <t>27517 (3HB)</t>
  </si>
  <si>
    <t>30269 (3HB)</t>
  </si>
  <si>
    <t>3722 (1R)</t>
  </si>
  <si>
    <t>7771 (3R)</t>
  </si>
  <si>
    <t>8548 (3R)</t>
  </si>
  <si>
    <t>2900 (3HB)</t>
  </si>
  <si>
    <t>3190 (3HB)</t>
  </si>
  <si>
    <t>27917 (2)</t>
  </si>
  <si>
    <t>49981 (3)</t>
  </si>
  <si>
    <t>59693 (3HB)</t>
  </si>
  <si>
    <t>49981 (3R)</t>
  </si>
  <si>
    <t>747 (3HB)</t>
  </si>
  <si>
    <t>58502 (3R)</t>
  </si>
  <si>
    <t>21283 (3R)</t>
  </si>
  <si>
    <t>HYDROGEN</t>
  </si>
  <si>
    <t>5547 (3R)</t>
  </si>
  <si>
    <t>TAIL GAS</t>
    <phoneticPr fontId="7" type="noConversion"/>
  </si>
  <si>
    <t>508 (1R)</t>
  </si>
  <si>
    <t>1706 (3R)</t>
  </si>
  <si>
    <t>1877 (3R)</t>
  </si>
  <si>
    <t>948 (3R)</t>
  </si>
  <si>
    <t>1581 (3R)</t>
  </si>
  <si>
    <t>1739 (3R)</t>
  </si>
  <si>
    <t>2539 (1R)</t>
  </si>
  <si>
    <t>6102 (3R)</t>
  </si>
  <si>
    <t>1594 (1R)</t>
  </si>
  <si>
    <t>3488 (3R)</t>
  </si>
  <si>
    <t>3837 (3R)</t>
  </si>
  <si>
    <t>2058 (3)</t>
  </si>
  <si>
    <t>24142 (1R)</t>
  </si>
  <si>
    <t>45108 (3)</t>
  </si>
  <si>
    <t>54130 (3)</t>
  </si>
  <si>
    <t>191490 (3)</t>
  </si>
  <si>
    <t>27791 (1)</t>
  </si>
  <si>
    <t>54194 (3)</t>
  </si>
  <si>
    <t>66766 (3)</t>
  </si>
  <si>
    <t>ETHYLENE REFRIGERENT</t>
  </si>
  <si>
    <t>53241 (1R)</t>
  </si>
  <si>
    <t>108860 (3)</t>
  </si>
  <si>
    <t>102504 (3)</t>
  </si>
  <si>
    <t>176270 (1)</t>
  </si>
  <si>
    <t>192997 (1)</t>
  </si>
  <si>
    <t>29546 (1R)</t>
  </si>
  <si>
    <t>55248 (3)</t>
  </si>
  <si>
    <t>24218 (1)</t>
  </si>
  <si>
    <t>46808 (3R)</t>
  </si>
  <si>
    <t>18680 (1)</t>
  </si>
  <si>
    <t>23411 (3)</t>
  </si>
  <si>
    <t>151945 (1)</t>
  </si>
  <si>
    <t>319652 (3R)</t>
  </si>
  <si>
    <t>178553 (1R)</t>
  </si>
  <si>
    <t>316690 (3R)</t>
  </si>
  <si>
    <t>HYDROCARBON</t>
    <phoneticPr fontId="7" type="noConversion"/>
  </si>
  <si>
    <t>1000 (3R)</t>
  </si>
  <si>
    <t>267970 (3)</t>
  </si>
  <si>
    <t>89244 (1)</t>
  </si>
  <si>
    <t>249790 (2)</t>
  </si>
  <si>
    <t>274769 (2)</t>
  </si>
  <si>
    <t>115 (3)</t>
  </si>
  <si>
    <t>251 (2)</t>
  </si>
  <si>
    <t>276 (2)</t>
  </si>
  <si>
    <t>HYDROCARBON</t>
    <phoneticPr fontId="7" type="noConversion"/>
  </si>
  <si>
    <t>PLANT AIR</t>
  </si>
  <si>
    <t>MAPD EFFLUENT</t>
  </si>
  <si>
    <t>43596 (2)</t>
  </si>
  <si>
    <t>72660 (2)</t>
  </si>
  <si>
    <t>103030 (4)</t>
  </si>
  <si>
    <t>34200 (3)</t>
  </si>
  <si>
    <t>177130 (2)</t>
  </si>
  <si>
    <t>194843 (2)</t>
  </si>
  <si>
    <t>600 (2)</t>
  </si>
  <si>
    <t>3000 (2)</t>
  </si>
  <si>
    <t>PROPANE</t>
  </si>
  <si>
    <t>2651 (1)</t>
  </si>
  <si>
    <t>23342 (3)</t>
  </si>
  <si>
    <t>37417 (4)</t>
  </si>
  <si>
    <t>840 (3)</t>
  </si>
  <si>
    <t>1400 (3)</t>
  </si>
  <si>
    <t>1540 (3)</t>
  </si>
  <si>
    <t>547614 (1)</t>
  </si>
  <si>
    <t>1076700 (3)</t>
  </si>
  <si>
    <t>1292040 (3)</t>
  </si>
  <si>
    <t>214452 (1)</t>
  </si>
  <si>
    <t>357420 (3)</t>
  </si>
  <si>
    <t>393162 (3)</t>
  </si>
  <si>
    <t>556980 (1)</t>
  </si>
  <si>
    <t>1084100 (3)</t>
  </si>
  <si>
    <t>1300920 (3)</t>
  </si>
  <si>
    <t>600 (1)</t>
  </si>
  <si>
    <t>1500 (3)</t>
  </si>
  <si>
    <t>1650 (3)</t>
  </si>
  <si>
    <t>9000 (3)</t>
  </si>
  <si>
    <t>15000 (1)</t>
  </si>
  <si>
    <t>16500 (1)</t>
  </si>
  <si>
    <t>30421 (3)</t>
  </si>
  <si>
    <t>50732 (1)</t>
  </si>
  <si>
    <t>15000 (3)</t>
  </si>
  <si>
    <t>60451 (3)</t>
  </si>
  <si>
    <t>72451 (3)</t>
  </si>
  <si>
    <t>7505 (1)</t>
  </si>
  <si>
    <t>16247 (1)</t>
  </si>
  <si>
    <t>18356 (2)</t>
  </si>
  <si>
    <t>20906 (1)</t>
  </si>
  <si>
    <t>46095 (2)</t>
  </si>
  <si>
    <t>55314 (2)</t>
  </si>
  <si>
    <t>FUEL GAS</t>
    <phoneticPr fontId="7" type="noConversion"/>
  </si>
  <si>
    <t>3.8</t>
    <phoneticPr fontId="7" type="noConversion"/>
  </si>
  <si>
    <t>23527 (1)</t>
  </si>
  <si>
    <t>57104 (3)</t>
  </si>
  <si>
    <t>62814 (3)</t>
  </si>
  <si>
    <t>245430 (1)</t>
  </si>
  <si>
    <t>477587 (3)</t>
  </si>
  <si>
    <t>V</t>
    <phoneticPr fontId="7" type="noConversion"/>
  </si>
  <si>
    <t>194046 (1)</t>
  </si>
  <si>
    <t>377428 (3)</t>
  </si>
  <si>
    <t>330642 (1)</t>
  </si>
  <si>
    <t>665110 (3R)</t>
  </si>
  <si>
    <t>189699 (1)</t>
  </si>
  <si>
    <t>372312 (3)</t>
  </si>
  <si>
    <t>131300 (3)</t>
  </si>
  <si>
    <t>141900 (4RD)</t>
  </si>
  <si>
    <t>V</t>
    <phoneticPr fontId="7" type="noConversion"/>
  </si>
  <si>
    <t>NITROGEN</t>
    <phoneticPr fontId="7" type="noConversion"/>
  </si>
  <si>
    <t>METHANOL</t>
    <phoneticPr fontId="7" type="noConversion"/>
  </si>
  <si>
    <t>kg/cm²</t>
    <phoneticPr fontId="7" type="noConversion"/>
  </si>
  <si>
    <t>ºC</t>
    <phoneticPr fontId="7" type="noConversion"/>
  </si>
  <si>
    <t>cP</t>
    <phoneticPr fontId="7" type="noConversion"/>
  </si>
  <si>
    <t>kg/cm²-a</t>
  </si>
  <si>
    <t>kg/cm²</t>
    <phoneticPr fontId="7" type="noConversion"/>
  </si>
  <si>
    <t>ºC</t>
    <phoneticPr fontId="7" type="noConversion"/>
  </si>
  <si>
    <t>ºC</t>
    <phoneticPr fontId="7" type="noConversion"/>
  </si>
  <si>
    <t>cP</t>
    <phoneticPr fontId="7" type="noConversion"/>
  </si>
  <si>
    <t>kg/cm²</t>
    <phoneticPr fontId="7" type="noConversion"/>
  </si>
  <si>
    <t>cP</t>
    <phoneticPr fontId="7" type="noConversion"/>
  </si>
  <si>
    <t>cP</t>
    <phoneticPr fontId="7" type="noConversion"/>
  </si>
  <si>
    <t>cP</t>
  </si>
  <si>
    <t>ºC</t>
    <phoneticPr fontId="7" type="noConversion"/>
  </si>
  <si>
    <t>kg/cm²</t>
    <phoneticPr fontId="7" type="noConversion"/>
  </si>
  <si>
    <t>cP</t>
    <phoneticPr fontId="7" type="noConversion"/>
  </si>
  <si>
    <t>AMB</t>
  </si>
  <si>
    <t>kg/cm²</t>
    <phoneticPr fontId="7" type="noConversion"/>
  </si>
  <si>
    <t>kg/cm²</t>
    <phoneticPr fontId="7" type="noConversion"/>
  </si>
  <si>
    <t>cP</t>
    <phoneticPr fontId="7" type="noConversion"/>
  </si>
  <si>
    <t>ºC</t>
    <phoneticPr fontId="7" type="noConversion"/>
  </si>
  <si>
    <t>ºC</t>
    <phoneticPr fontId="7" type="noConversion"/>
  </si>
  <si>
    <t>cP</t>
    <phoneticPr fontId="7" type="noConversion"/>
  </si>
  <si>
    <t>cP</t>
    <phoneticPr fontId="7" type="noConversion"/>
  </si>
  <si>
    <t>ºC</t>
    <phoneticPr fontId="7" type="noConversion"/>
  </si>
  <si>
    <t>cP</t>
    <phoneticPr fontId="7" type="noConversion"/>
  </si>
  <si>
    <t>ºC</t>
    <phoneticPr fontId="7" type="noConversion"/>
  </si>
  <si>
    <t>0.7</t>
    <phoneticPr fontId="7" type="noConversion"/>
  </si>
  <si>
    <t>kg/cm²</t>
  </si>
  <si>
    <t>-</t>
    <phoneticPr fontId="10" type="noConversion"/>
  </si>
  <si>
    <t>ºC</t>
  </si>
  <si>
    <t>ºC</t>
    <phoneticPr fontId="7" type="noConversion"/>
  </si>
  <si>
    <t>AMB</t>
    <phoneticPr fontId="7" type="noConversion"/>
  </si>
  <si>
    <t>1.88</t>
    <phoneticPr fontId="7" type="noConversion"/>
  </si>
  <si>
    <t>1.03</t>
    <phoneticPr fontId="7" type="noConversion"/>
  </si>
  <si>
    <t>0.9</t>
    <phoneticPr fontId="7" type="noConversion"/>
  </si>
  <si>
    <t>0.3</t>
    <phoneticPr fontId="7" type="noConversion"/>
  </si>
  <si>
    <t>2.05</t>
    <phoneticPr fontId="7" type="noConversion"/>
  </si>
  <si>
    <t>1.55</t>
    <phoneticPr fontId="7" type="noConversion"/>
  </si>
  <si>
    <t>cP</t>
    <phoneticPr fontId="7" type="noConversion"/>
  </si>
  <si>
    <t>kg/cm²</t>
    <phoneticPr fontId="7" type="noConversion"/>
  </si>
  <si>
    <t>4.9</t>
    <phoneticPr fontId="7" type="noConversion"/>
  </si>
  <si>
    <t>38.33</t>
    <phoneticPr fontId="7" type="noConversion"/>
  </si>
  <si>
    <t>0.61</t>
    <phoneticPr fontId="7" type="noConversion"/>
  </si>
  <si>
    <t>0.21</t>
    <phoneticPr fontId="7" type="noConversion"/>
  </si>
  <si>
    <t>0.11</t>
    <phoneticPr fontId="7" type="noConversion"/>
  </si>
  <si>
    <t>0.01</t>
    <phoneticPr fontId="7" type="noConversion"/>
  </si>
  <si>
    <t>20.3</t>
    <phoneticPr fontId="7" type="noConversion"/>
  </si>
  <si>
    <t>10.5</t>
    <phoneticPr fontId="7" type="noConversion"/>
  </si>
  <si>
    <t>4</t>
    <phoneticPr fontId="7" type="noConversion"/>
  </si>
  <si>
    <t>10.0</t>
    <phoneticPr fontId="7" type="noConversion"/>
  </si>
  <si>
    <t>2.2</t>
    <phoneticPr fontId="7" type="noConversion"/>
  </si>
  <si>
    <t>39.5</t>
    <phoneticPr fontId="7" type="noConversion"/>
  </si>
  <si>
    <t>0.009</t>
    <phoneticPr fontId="7" type="noConversion"/>
  </si>
  <si>
    <t>kg/cm²-g</t>
    <phoneticPr fontId="7" type="noConversion"/>
  </si>
  <si>
    <t>-</t>
    <phoneticPr fontId="7" type="noConversion"/>
  </si>
  <si>
    <t>kg/cm²-g</t>
    <phoneticPr fontId="7" type="noConversion"/>
  </si>
  <si>
    <t>-</t>
    <phoneticPr fontId="7" type="noConversion"/>
  </si>
  <si>
    <t>-</t>
    <phoneticPr fontId="7" type="noConversion"/>
  </si>
  <si>
    <t>kg/cm²-g</t>
    <phoneticPr fontId="7" type="noConversion"/>
  </si>
  <si>
    <t>kg/cm²-g</t>
    <phoneticPr fontId="7" type="noConversion"/>
  </si>
  <si>
    <t>75</t>
    <phoneticPr fontId="7" type="noConversion"/>
  </si>
  <si>
    <t>-</t>
    <phoneticPr fontId="7" type="noConversion"/>
  </si>
  <si>
    <t>1</t>
    <phoneticPr fontId="7" type="noConversion"/>
  </si>
  <si>
    <t>0.968</t>
    <phoneticPr fontId="7" type="noConversion"/>
  </si>
  <si>
    <t>0.996</t>
    <phoneticPr fontId="7" type="noConversion"/>
  </si>
  <si>
    <t>0.968</t>
    <phoneticPr fontId="7" type="noConversion"/>
  </si>
  <si>
    <t>0.875</t>
    <phoneticPr fontId="7" type="noConversion"/>
  </si>
  <si>
    <t>1.001</t>
    <phoneticPr fontId="7" type="noConversion"/>
  </si>
  <si>
    <t>0.933</t>
    <phoneticPr fontId="7" type="noConversion"/>
  </si>
  <si>
    <t>0.996</t>
    <phoneticPr fontId="7" type="noConversion"/>
  </si>
  <si>
    <t>0.927</t>
    <phoneticPr fontId="7" type="noConversion"/>
  </si>
  <si>
    <t>0.965</t>
    <phoneticPr fontId="7" type="noConversion"/>
  </si>
  <si>
    <t>0.918</t>
    <phoneticPr fontId="7" type="noConversion"/>
  </si>
  <si>
    <t>0.928</t>
    <phoneticPr fontId="7" type="noConversion"/>
  </si>
  <si>
    <t>0.916</t>
    <phoneticPr fontId="7" type="noConversion"/>
  </si>
  <si>
    <t>0.916</t>
    <phoneticPr fontId="7" type="noConversion"/>
  </si>
  <si>
    <t>0.872</t>
    <phoneticPr fontId="7" type="noConversion"/>
  </si>
  <si>
    <t>0.623</t>
    <phoneticPr fontId="7" type="noConversion"/>
  </si>
  <si>
    <t>0.924</t>
    <phoneticPr fontId="7" type="noConversion"/>
  </si>
  <si>
    <t>0.995</t>
    <phoneticPr fontId="7" type="noConversion"/>
  </si>
  <si>
    <t>1.02</t>
    <phoneticPr fontId="7" type="noConversion"/>
  </si>
  <si>
    <t>1.019</t>
    <phoneticPr fontId="7" type="noConversion"/>
  </si>
  <si>
    <t>1.019</t>
    <phoneticPr fontId="7" type="noConversion"/>
  </si>
  <si>
    <t>1.002</t>
    <phoneticPr fontId="7" type="noConversion"/>
  </si>
  <si>
    <t>0.909</t>
    <phoneticPr fontId="7" type="noConversion"/>
  </si>
  <si>
    <t>0.879</t>
    <phoneticPr fontId="7" type="noConversion"/>
  </si>
  <si>
    <t>0.898</t>
    <phoneticPr fontId="7" type="noConversion"/>
  </si>
  <si>
    <t>0.917</t>
    <phoneticPr fontId="7" type="noConversion"/>
  </si>
  <si>
    <t>1.016</t>
    <phoneticPr fontId="7" type="noConversion"/>
  </si>
  <si>
    <t>0.743</t>
    <phoneticPr fontId="7" type="noConversion"/>
  </si>
  <si>
    <t>0.998</t>
    <phoneticPr fontId="7" type="noConversion"/>
  </si>
  <si>
    <t>0.713</t>
    <phoneticPr fontId="7" type="noConversion"/>
  </si>
  <si>
    <t>0.763</t>
    <phoneticPr fontId="7" type="noConversion"/>
  </si>
  <si>
    <t>0.893</t>
    <phoneticPr fontId="7" type="noConversion"/>
  </si>
  <si>
    <t>55.2</t>
    <phoneticPr fontId="7" type="noConversion"/>
  </si>
  <si>
    <t>0.813</t>
    <phoneticPr fontId="7" type="noConversion"/>
  </si>
  <si>
    <t>Y</t>
    <phoneticPr fontId="7" type="noConversion"/>
  </si>
  <si>
    <t>Y</t>
    <phoneticPr fontId="7" type="noConversion"/>
  </si>
  <si>
    <t>Y</t>
    <phoneticPr fontId="7" type="noConversion"/>
  </si>
  <si>
    <t>Y</t>
    <phoneticPr fontId="7" type="noConversion"/>
  </si>
  <si>
    <t>PROCESS CONDITION</t>
    <phoneticPr fontId="6" type="noConversion"/>
  </si>
  <si>
    <t>Y
(Toluene / Benzene)</t>
    <phoneticPr fontId="7" type="noConversion"/>
  </si>
  <si>
    <t>Y
(Caustic)</t>
    <phoneticPr fontId="7" type="noConversion"/>
  </si>
  <si>
    <t>Y
(Caustic)</t>
    <phoneticPr fontId="7" type="noConversion"/>
  </si>
  <si>
    <t>Y
(Hydrogen)</t>
    <phoneticPr fontId="7" type="noConversion"/>
  </si>
  <si>
    <t>Y
(Hydrogen)</t>
    <phoneticPr fontId="7" type="noConversion"/>
  </si>
  <si>
    <t xml:space="preserve">SEVERE SERVICE </t>
    <phoneticPr fontId="6" type="noConversion"/>
  </si>
  <si>
    <t xml:space="preserve">PARTICLE SIZE </t>
    <phoneticPr fontId="6" type="noConversion"/>
  </si>
  <si>
    <t>2.93 / 1.98</t>
    <phoneticPr fontId="6" type="noConversion"/>
  </si>
  <si>
    <t>0.209 / 0.233</t>
    <phoneticPr fontId="6" type="noConversion"/>
  </si>
  <si>
    <t>932.8 / 943.4</t>
    <phoneticPr fontId="6" type="noConversion"/>
  </si>
  <si>
    <t>10-PV-4124B</t>
    <phoneticPr fontId="6" type="noConversion"/>
  </si>
  <si>
    <t>-</t>
    <phoneticPr fontId="6" type="noConversion"/>
  </si>
  <si>
    <t>0.883</t>
    <phoneticPr fontId="6" type="noConversion"/>
  </si>
  <si>
    <t>kg/cm²-a</t>
    <phoneticPr fontId="6" type="noConversion"/>
  </si>
  <si>
    <t>kg/cm²-g</t>
    <phoneticPr fontId="7" type="noConversion"/>
  </si>
  <si>
    <t>LINE-105-BD-1-0013</t>
    <phoneticPr fontId="7" type="noConversion"/>
  </si>
  <si>
    <t>ETHYLENE</t>
    <phoneticPr fontId="6" type="noConversion"/>
  </si>
  <si>
    <t>V</t>
    <phoneticPr fontId="6" type="noConversion"/>
  </si>
  <si>
    <t>kg/hr</t>
    <phoneticPr fontId="7" type="noConversion"/>
  </si>
  <si>
    <t>cP</t>
    <phoneticPr fontId="6" type="noConversion"/>
  </si>
  <si>
    <t>10-HV-5242</t>
    <phoneticPr fontId="6" type="noConversion"/>
  </si>
  <si>
    <t>0.98</t>
    <phoneticPr fontId="6" type="noConversion"/>
  </si>
  <si>
    <t>3.32</t>
    <phoneticPr fontId="7" type="noConversion"/>
  </si>
  <si>
    <t>5.82</t>
    <phoneticPr fontId="7" type="noConversion"/>
  </si>
  <si>
    <t>-</t>
    <phoneticPr fontId="6" type="noConversion"/>
  </si>
  <si>
    <t>16.76</t>
    <phoneticPr fontId="6" type="noConversion"/>
  </si>
  <si>
    <t>3.38</t>
    <phoneticPr fontId="6" type="noConversion"/>
  </si>
  <si>
    <t>V</t>
    <phoneticPr fontId="10" type="noConversion"/>
  </si>
  <si>
    <t>RECYCLE ETHANE</t>
    <phoneticPr fontId="10" type="noConversion"/>
  </si>
  <si>
    <t>-</t>
    <phoneticPr fontId="6" type="noConversion"/>
  </si>
  <si>
    <t>10-HV-4242</t>
    <phoneticPr fontId="6" type="noConversion"/>
  </si>
  <si>
    <t>LINE-104-BD-1-0013</t>
    <phoneticPr fontId="7" type="noConversion"/>
  </si>
  <si>
    <t>kg/hr</t>
    <phoneticPr fontId="7" type="noConversion"/>
  </si>
  <si>
    <t>21283 (3R)</t>
    <phoneticPr fontId="6" type="noConversion"/>
  </si>
  <si>
    <t>kg/cm²</t>
    <phoneticPr fontId="7" type="noConversion"/>
  </si>
  <si>
    <t>33.54</t>
    <phoneticPr fontId="7" type="noConversion"/>
  </si>
  <si>
    <t>33.55</t>
    <phoneticPr fontId="7" type="noConversion"/>
  </si>
  <si>
    <t>33.58</t>
    <phoneticPr fontId="7" type="noConversion"/>
  </si>
  <si>
    <t>31.4</t>
    <phoneticPr fontId="7" type="noConversion"/>
  </si>
  <si>
    <t>-</t>
    <phoneticPr fontId="7" type="noConversion"/>
  </si>
  <si>
    <t>-</t>
    <phoneticPr fontId="7" type="noConversion"/>
  </si>
  <si>
    <t>806</t>
    <phoneticPr fontId="7" type="noConversion"/>
  </si>
  <si>
    <t>38.5</t>
    <phoneticPr fontId="7" type="noConversion"/>
  </si>
  <si>
    <t>38.0</t>
    <phoneticPr fontId="7" type="noConversion"/>
  </si>
  <si>
    <t>AMB</t>
    <phoneticPr fontId="7" type="noConversion"/>
  </si>
  <si>
    <t>26109 (1)</t>
    <phoneticPr fontId="7" type="noConversion"/>
  </si>
  <si>
    <t>10-HV-6545</t>
    <phoneticPr fontId="7" type="noConversion"/>
  </si>
  <si>
    <t>3.5</t>
    <phoneticPr fontId="7" type="noConversion"/>
  </si>
  <si>
    <t>10-PV-5142</t>
    <phoneticPr fontId="6" type="noConversion"/>
  </si>
  <si>
    <t>0.5</t>
    <phoneticPr fontId="7" type="noConversion"/>
  </si>
  <si>
    <t>-</t>
    <phoneticPr fontId="7" type="noConversion"/>
  </si>
  <si>
    <t>0.8</t>
    <phoneticPr fontId="7" type="noConversion"/>
  </si>
  <si>
    <t>0.9</t>
    <phoneticPr fontId="7" type="noConversion"/>
  </si>
  <si>
    <t>0.75</t>
    <phoneticPr fontId="7" type="noConversion"/>
  </si>
  <si>
    <t>0.24</t>
    <phoneticPr fontId="7" type="noConversion"/>
  </si>
  <si>
    <t>0.23</t>
    <phoneticPr fontId="7" type="noConversion"/>
  </si>
  <si>
    <t>0.25</t>
    <phoneticPr fontId="7" type="noConversion"/>
  </si>
  <si>
    <t>0.1</t>
    <phoneticPr fontId="7" type="noConversion"/>
  </si>
  <si>
    <t>0.6</t>
    <phoneticPr fontId="7" type="noConversion"/>
  </si>
  <si>
    <t>10-FV-3001</t>
    <phoneticPr fontId="7" type="noConversion"/>
  </si>
  <si>
    <t>0.8</t>
    <phoneticPr fontId="7" type="noConversion"/>
  </si>
  <si>
    <t>1.1</t>
    <phoneticPr fontId="7" type="noConversion"/>
  </si>
  <si>
    <t>0.37</t>
    <phoneticPr fontId="7" type="noConversion"/>
  </si>
  <si>
    <t>1.17</t>
    <phoneticPr fontId="7" type="noConversion"/>
  </si>
  <si>
    <t>1.19</t>
    <phoneticPr fontId="7" type="noConversion"/>
  </si>
  <si>
    <t>1.28</t>
    <phoneticPr fontId="7" type="noConversion"/>
  </si>
  <si>
    <t>Y</t>
    <phoneticPr fontId="7" type="noConversion"/>
  </si>
  <si>
    <t>2.95</t>
    <phoneticPr fontId="7" type="noConversion"/>
  </si>
  <si>
    <t>2.96</t>
    <phoneticPr fontId="7" type="noConversion"/>
  </si>
  <si>
    <t>3.05</t>
    <phoneticPr fontId="7" type="noConversion"/>
  </si>
  <si>
    <t>OTHERS</t>
    <phoneticPr fontId="7" type="noConversion"/>
  </si>
  <si>
    <t>PROCESS CONDITIONS_OTHERS</t>
    <phoneticPr fontId="7" type="noConversion"/>
  </si>
  <si>
    <t>10-PV-3421</t>
    <phoneticPr fontId="7" type="noConversion"/>
  </si>
  <si>
    <t>LINE-103-BD-1-0022</t>
    <phoneticPr fontId="7" type="noConversion"/>
  </si>
  <si>
    <t>PROCESS GAS</t>
    <phoneticPr fontId="7" type="noConversion"/>
  </si>
  <si>
    <t>V</t>
    <phoneticPr fontId="7" type="noConversion"/>
  </si>
  <si>
    <t>kg/hr</t>
  </si>
  <si>
    <t>No</t>
    <phoneticPr fontId="22" type="noConversion"/>
  </si>
  <si>
    <t>Time
(min)</t>
    <phoneticPr fontId="22" type="noConversion"/>
  </si>
  <si>
    <t>Control Valve Inlet Pressure</t>
    <phoneticPr fontId="22" type="noConversion"/>
  </si>
  <si>
    <t>Flow Rate
(kg/hr)</t>
    <phoneticPr fontId="22" type="noConversion"/>
  </si>
  <si>
    <t>Inital Pressure
(kg/cm2g)</t>
    <phoneticPr fontId="22" type="noConversion"/>
  </si>
  <si>
    <t>Final Pressure
(kg/cm2g)</t>
    <phoneticPr fontId="22" type="noConversion"/>
  </si>
  <si>
    <t>Note</t>
    <phoneticPr fontId="22" type="noConversion"/>
  </si>
  <si>
    <t>3. 0.3 kg/cm2 pressure difference at max opening case is considered for valve sizing.</t>
    <phoneticPr fontId="22" type="noConversion"/>
  </si>
  <si>
    <t>=Control Valve Outlet Pressure</t>
    <phoneticPr fontId="6" type="noConversion"/>
  </si>
  <si>
    <t>VESSEL CONDITION</t>
    <phoneticPr fontId="22" type="noConversion"/>
  </si>
  <si>
    <t>Mass in vessel</t>
    <phoneticPr fontId="6" type="noConversion"/>
  </si>
  <si>
    <t>kg</t>
    <phoneticPr fontId="6" type="noConversion"/>
  </si>
  <si>
    <t>kg</t>
    <phoneticPr fontId="6" type="noConversion"/>
  </si>
  <si>
    <t>1. Pressurized volume is assumed to be 50% of reactor nominal volume including piping vol. (546.2 m3 x 40%)</t>
    <phoneticPr fontId="22" type="noConversion"/>
  </si>
  <si>
    <t>0.952</t>
    <phoneticPr fontId="7" type="noConversion"/>
  </si>
  <si>
    <t>Regen. Design Condition (DP/DT) : 
7.5 kg/cm2g &amp; 260 degC</t>
    <phoneticPr fontId="7" type="noConversion"/>
  </si>
  <si>
    <t>-</t>
    <phoneticPr fontId="7" type="noConversion"/>
  </si>
  <si>
    <t>10-PV-3423</t>
    <phoneticPr fontId="7" type="noConversion"/>
  </si>
  <si>
    <t>10-PV-3435</t>
    <phoneticPr fontId="7" type="noConversion"/>
  </si>
  <si>
    <t>No</t>
    <phoneticPr fontId="22" type="noConversion"/>
  </si>
  <si>
    <t>Time
(min)</t>
    <phoneticPr fontId="22" type="noConversion"/>
  </si>
  <si>
    <t>Vessel Pressure</t>
    <phoneticPr fontId="22" type="noConversion"/>
  </si>
  <si>
    <t>Control Valve Inlet Pressure</t>
    <phoneticPr fontId="22" type="noConversion"/>
  </si>
  <si>
    <t>Control Valve Outlet Pressure</t>
    <phoneticPr fontId="22" type="noConversion"/>
  </si>
  <si>
    <t>Flow Rate
(kg/hr)</t>
    <phoneticPr fontId="22" type="noConversion"/>
  </si>
  <si>
    <t>Inital Pressure
(kg/cm2g)</t>
    <phoneticPr fontId="22" type="noConversion"/>
  </si>
  <si>
    <t>Final Pressure
(kg/cm2g)</t>
    <phoneticPr fontId="22" type="noConversion"/>
  </si>
  <si>
    <t>1. 10-PV-3421, 10-PV-3423 (Gas Dryer_R-301A/B) -Repressuring Valve</t>
    <phoneticPr fontId="22" type="noConversion"/>
  </si>
  <si>
    <t>2. 10-PV-3435 (Gas Dryer_R-301A/B) -Depressuring Valve</t>
    <phoneticPr fontId="22" type="noConversion"/>
  </si>
  <si>
    <t>(kg/hr)</t>
    <phoneticPr fontId="6" type="noConversion"/>
  </si>
  <si>
    <r>
      <t>2. Flow rate is calculated based on ejecting a constant flow rate by modulating CV to vessel for</t>
    </r>
    <r>
      <rPr>
        <b/>
        <sz val="11"/>
        <color theme="1"/>
        <rFont val="맑은 고딕"/>
        <family val="3"/>
        <charset val="129"/>
        <scheme val="minor"/>
      </rPr>
      <t xml:space="preserve"> 20 min</t>
    </r>
    <r>
      <rPr>
        <sz val="11"/>
        <rFont val="맑은 고딕"/>
        <family val="2"/>
        <scheme val="minor"/>
      </rPr>
      <t xml:space="preserve"> depressuring time.</t>
    </r>
    <phoneticPr fontId="22" type="noConversion"/>
  </si>
  <si>
    <t>HOLD
여부</t>
    <phoneticPr fontId="7" type="noConversion"/>
  </si>
  <si>
    <t>HOLD
사유</t>
    <phoneticPr fontId="7" type="noConversion"/>
  </si>
  <si>
    <r>
      <t>2. Flow rate is calculated based on injecting a constant flow rate by modulating CV to vessel for</t>
    </r>
    <r>
      <rPr>
        <b/>
        <sz val="11"/>
        <color theme="1"/>
        <rFont val="맑은 고딕"/>
        <family val="3"/>
        <charset val="129"/>
        <scheme val="minor"/>
      </rPr>
      <t xml:space="preserve"> 20 min</t>
    </r>
    <r>
      <rPr>
        <sz val="11"/>
        <rFont val="맑은 고딕"/>
        <family val="2"/>
        <scheme val="minor"/>
      </rPr>
      <t xml:space="preserve"> pressuring time.</t>
    </r>
    <phoneticPr fontId="22" type="noConversion"/>
  </si>
  <si>
    <t>10-HV-3469</t>
    <phoneticPr fontId="7" type="noConversion"/>
  </si>
  <si>
    <t>LINE-103-BD-1-0024</t>
    <phoneticPr fontId="7" type="noConversion"/>
  </si>
  <si>
    <t>PROCESS LIQUID</t>
    <phoneticPr fontId="7" type="noConversion"/>
  </si>
  <si>
    <t>L</t>
    <phoneticPr fontId="7" type="noConversion"/>
  </si>
  <si>
    <t>-</t>
    <phoneticPr fontId="7" type="noConversion"/>
  </si>
  <si>
    <t>3.9</t>
    <phoneticPr fontId="7" type="noConversion"/>
  </si>
  <si>
    <t>75 / 260</t>
    <phoneticPr fontId="7" type="noConversion"/>
  </si>
  <si>
    <t>18.7 / 7.5</t>
    <phoneticPr fontId="7" type="noConversion"/>
  </si>
  <si>
    <t>14.7 / 7.5</t>
    <phoneticPr fontId="7" type="noConversion"/>
  </si>
  <si>
    <t>N</t>
    <phoneticPr fontId="7" type="noConversion"/>
  </si>
  <si>
    <t>-</t>
    <phoneticPr fontId="7" type="noConversion"/>
  </si>
  <si>
    <t>10-HV-3470</t>
    <phoneticPr fontId="7" type="noConversion"/>
  </si>
  <si>
    <t>10-PV-3470</t>
    <phoneticPr fontId="7" type="noConversion"/>
  </si>
  <si>
    <t>4.8</t>
    <phoneticPr fontId="7" type="noConversion"/>
  </si>
  <si>
    <t>-</t>
    <phoneticPr fontId="7" type="noConversion"/>
  </si>
  <si>
    <t>10-PV-3471</t>
    <phoneticPr fontId="7" type="noConversion"/>
  </si>
  <si>
    <t>10-PV-3463</t>
    <phoneticPr fontId="7" type="noConversion"/>
  </si>
  <si>
    <t>-</t>
    <phoneticPr fontId="7" type="noConversion"/>
  </si>
  <si>
    <t>10-HV-3465</t>
    <phoneticPr fontId="7" type="noConversion"/>
  </si>
  <si>
    <t>Line Size Valve
Regen. Design Condition (DP/DT) : 
7.5 kg/cm2g &amp; 260 degC</t>
    <phoneticPr fontId="7" type="noConversion"/>
  </si>
  <si>
    <t>To be Minimized</t>
    <phoneticPr fontId="7" type="noConversion"/>
  </si>
  <si>
    <t>10-HV-3467</t>
    <phoneticPr fontId="7" type="noConversion"/>
  </si>
  <si>
    <t>10-HV-3466</t>
    <phoneticPr fontId="7" type="noConversion"/>
  </si>
  <si>
    <t>10-HV-3468</t>
    <phoneticPr fontId="7" type="noConversion"/>
  </si>
  <si>
    <t>10-HV-3471</t>
    <phoneticPr fontId="7" type="noConversion"/>
  </si>
  <si>
    <t>10-PV-3464</t>
    <phoneticPr fontId="7" type="noConversion"/>
  </si>
  <si>
    <t>V</t>
    <phoneticPr fontId="7" type="noConversion"/>
  </si>
  <si>
    <t>Regen. Design Condition (DP/DT) : 
7.5 kg/cm2g &amp; 260 degC</t>
    <phoneticPr fontId="7" type="noConversion"/>
  </si>
  <si>
    <t>Regen. Design Condition (DP/DT) : 
7.5 kg/cm2g &amp; 260 degC</t>
    <phoneticPr fontId="7" type="noConversion"/>
  </si>
  <si>
    <t>10-PV-3925</t>
    <phoneticPr fontId="7" type="noConversion"/>
  </si>
  <si>
    <t>LINE-103-BD-1-0047</t>
    <phoneticPr fontId="7" type="noConversion"/>
  </si>
  <si>
    <t>10-PV-3924</t>
    <phoneticPr fontId="7" type="noConversion"/>
  </si>
  <si>
    <t>260 / 170</t>
    <phoneticPr fontId="7" type="noConversion"/>
  </si>
  <si>
    <t>7.5 / 48</t>
    <phoneticPr fontId="7" type="noConversion"/>
  </si>
  <si>
    <t>0.88</t>
    <phoneticPr fontId="7" type="noConversion"/>
  </si>
  <si>
    <t>Y
(Hydrogen)</t>
  </si>
  <si>
    <t>0.3</t>
    <phoneticPr fontId="7" type="noConversion"/>
  </si>
  <si>
    <t>LINE-103-BD-1-0018</t>
    <phoneticPr fontId="7" type="noConversion"/>
  </si>
  <si>
    <t>HYDROCARBON</t>
    <phoneticPr fontId="7" type="noConversion"/>
  </si>
  <si>
    <t>V</t>
    <phoneticPr fontId="7" type="noConversion"/>
  </si>
  <si>
    <t>kg/cm²-g</t>
    <phoneticPr fontId="7" type="noConversion"/>
  </si>
  <si>
    <t>-</t>
    <phoneticPr fontId="7" type="noConversion"/>
  </si>
  <si>
    <t>-</t>
    <phoneticPr fontId="7" type="noConversion"/>
  </si>
  <si>
    <t>ºC</t>
    <phoneticPr fontId="7" type="noConversion"/>
  </si>
  <si>
    <t>AMB</t>
    <phoneticPr fontId="7" type="noConversion"/>
  </si>
  <si>
    <t>cP</t>
    <phoneticPr fontId="7" type="noConversion"/>
  </si>
  <si>
    <t>kg/cm²-a</t>
    <phoneticPr fontId="7" type="noConversion"/>
  </si>
  <si>
    <t>kg/cm²-g</t>
    <phoneticPr fontId="7" type="noConversion"/>
  </si>
  <si>
    <t>10-PV-3374</t>
    <phoneticPr fontId="7" type="noConversion"/>
  </si>
  <si>
    <t>10-PV-3362</t>
    <phoneticPr fontId="7" type="noConversion"/>
  </si>
  <si>
    <t>0.998</t>
    <phoneticPr fontId="7" type="noConversion"/>
  </si>
  <si>
    <t>LINE-103-BD-1-0019</t>
    <phoneticPr fontId="7" type="noConversion"/>
  </si>
  <si>
    <t>LINE-103-BD-1-0019A</t>
    <phoneticPr fontId="7" type="noConversion"/>
  </si>
  <si>
    <t>10-PV-3342</t>
    <phoneticPr fontId="7" type="noConversion"/>
  </si>
  <si>
    <t>LINE-106-BD-1-0023</t>
    <phoneticPr fontId="7" type="noConversion"/>
  </si>
  <si>
    <t>10-HV-3602</t>
    <phoneticPr fontId="7" type="noConversion"/>
  </si>
  <si>
    <t>OFF SPEC MIXED C4</t>
    <phoneticPr fontId="7" type="noConversion"/>
  </si>
  <si>
    <t>L</t>
    <phoneticPr fontId="7" type="noConversion"/>
  </si>
  <si>
    <t>kg/hr</t>
    <phoneticPr fontId="7" type="noConversion"/>
  </si>
  <si>
    <t>10-FV-3282</t>
    <phoneticPr fontId="7" type="noConversion"/>
  </si>
  <si>
    <t>L</t>
    <phoneticPr fontId="7" type="noConversion"/>
  </si>
  <si>
    <t>GASOLINE</t>
    <phoneticPr fontId="7" type="noConversion"/>
  </si>
  <si>
    <t>kg/cm²-g</t>
    <phoneticPr fontId="7" type="noConversion"/>
  </si>
  <si>
    <t>10-PV-3524</t>
    <phoneticPr fontId="7" type="noConversion"/>
  </si>
  <si>
    <t>LINE-103-BD-1-0027</t>
    <phoneticPr fontId="7" type="noConversion"/>
  </si>
  <si>
    <t>LINE-103-BD-1-0027</t>
    <phoneticPr fontId="7" type="noConversion"/>
  </si>
  <si>
    <t>10-PV-3541</t>
    <phoneticPr fontId="7" type="noConversion"/>
  </si>
  <si>
    <t>LINE-103-BD-1-0028</t>
    <phoneticPr fontId="7" type="noConversion"/>
  </si>
  <si>
    <t>10-PV-3702</t>
    <phoneticPr fontId="7" type="noConversion"/>
  </si>
  <si>
    <t>10-FV-3702</t>
    <phoneticPr fontId="7" type="noConversion"/>
  </si>
  <si>
    <t>10-LV-3703B</t>
    <phoneticPr fontId="7" type="noConversion"/>
  </si>
  <si>
    <t>LINE-103-BD-1-0036</t>
    <phoneticPr fontId="7" type="noConversion"/>
  </si>
  <si>
    <t>LINE-103-BD-1-0102</t>
    <phoneticPr fontId="7" type="noConversion"/>
  </si>
  <si>
    <t>10-LV-3983</t>
    <phoneticPr fontId="7" type="noConversion"/>
  </si>
  <si>
    <t>10-FV-3988</t>
    <phoneticPr fontId="7" type="noConversion"/>
  </si>
  <si>
    <t>10-HV-5001</t>
    <phoneticPr fontId="7" type="noConversion"/>
  </si>
  <si>
    <t>10-FV-6541</t>
    <phoneticPr fontId="7" type="noConversion"/>
  </si>
  <si>
    <t>10-FV-6700</t>
    <phoneticPr fontId="7" type="noConversion"/>
  </si>
  <si>
    <t>10-LV-6572</t>
    <phoneticPr fontId="7" type="noConversion"/>
  </si>
  <si>
    <t>kg/cm²-g</t>
    <phoneticPr fontId="7" type="noConversion"/>
  </si>
  <si>
    <t>6.50</t>
    <phoneticPr fontId="7" type="noConversion"/>
  </si>
  <si>
    <t>ºC</t>
    <phoneticPr fontId="7" type="noConversion"/>
  </si>
  <si>
    <t>-</t>
    <phoneticPr fontId="7" type="noConversion"/>
  </si>
  <si>
    <t>-</t>
    <phoneticPr fontId="7" type="noConversion"/>
  </si>
  <si>
    <t>-</t>
    <phoneticPr fontId="7" type="noConversion"/>
  </si>
  <si>
    <t>-</t>
    <phoneticPr fontId="7" type="noConversion"/>
  </si>
  <si>
    <t>cP</t>
    <phoneticPr fontId="7" type="noConversion"/>
  </si>
  <si>
    <t>kg/cm²-a</t>
    <phoneticPr fontId="7" type="noConversion"/>
  </si>
  <si>
    <t>80 / -45</t>
    <phoneticPr fontId="7" type="noConversion"/>
  </si>
  <si>
    <t>-</t>
    <phoneticPr fontId="7" type="noConversion"/>
  </si>
  <si>
    <t>ºC</t>
    <phoneticPr fontId="7" type="noConversion"/>
  </si>
  <si>
    <t>ºC</t>
    <phoneticPr fontId="7" type="noConversion"/>
  </si>
  <si>
    <t>kg/cm²-a</t>
    <phoneticPr fontId="7" type="noConversion"/>
  </si>
  <si>
    <t>55.0</t>
    <phoneticPr fontId="7" type="noConversion"/>
  </si>
  <si>
    <t>ºC</t>
    <phoneticPr fontId="7" type="noConversion"/>
  </si>
  <si>
    <t>-</t>
    <phoneticPr fontId="7" type="noConversion"/>
  </si>
  <si>
    <t>-</t>
    <phoneticPr fontId="7" type="noConversion"/>
  </si>
  <si>
    <t>-</t>
    <phoneticPr fontId="7" type="noConversion"/>
  </si>
  <si>
    <t>H.V</t>
    <phoneticPr fontId="7" type="noConversion"/>
  </si>
  <si>
    <t>933.0</t>
    <phoneticPr fontId="7" type="noConversion"/>
  </si>
  <si>
    <t>-</t>
    <phoneticPr fontId="10" type="noConversion"/>
  </si>
  <si>
    <t>2017</t>
    <phoneticPr fontId="7" type="noConversion"/>
  </si>
  <si>
    <t>225.5</t>
    <phoneticPr fontId="7" type="noConversion"/>
  </si>
  <si>
    <t>1010.4</t>
    <phoneticPr fontId="7" type="noConversion"/>
  </si>
  <si>
    <t>9.43</t>
    <phoneticPr fontId="7" type="noConversion"/>
  </si>
  <si>
    <t>Y</t>
    <phoneticPr fontId="7" type="noConversion"/>
  </si>
  <si>
    <t>0.8</t>
    <phoneticPr fontId="7" type="noConversion"/>
  </si>
  <si>
    <t>3.2</t>
    <phoneticPr fontId="7" type="noConversion"/>
  </si>
  <si>
    <t>0.882 / 
0.818</t>
    <phoneticPr fontId="7" type="noConversion"/>
  </si>
  <si>
    <t>V</t>
    <phoneticPr fontId="7" type="noConversion"/>
  </si>
  <si>
    <t>HYDROCARBON</t>
    <phoneticPr fontId="7" type="noConversion"/>
  </si>
  <si>
    <t>-</t>
    <phoneticPr fontId="7" type="noConversion"/>
  </si>
  <si>
    <t>-</t>
    <phoneticPr fontId="7" type="noConversion"/>
  </si>
  <si>
    <t>L</t>
    <phoneticPr fontId="7" type="noConversion"/>
  </si>
  <si>
    <t>kg/hr</t>
    <phoneticPr fontId="7" type="noConversion"/>
  </si>
  <si>
    <t>HYDROCARBON</t>
    <phoneticPr fontId="7" type="noConversion"/>
  </si>
  <si>
    <t>2.3</t>
    <phoneticPr fontId="7" type="noConversion"/>
  </si>
  <si>
    <t>-</t>
    <phoneticPr fontId="7" type="noConversion"/>
  </si>
  <si>
    <t>V</t>
    <phoneticPr fontId="7" type="noConversion"/>
  </si>
  <si>
    <t>L</t>
    <phoneticPr fontId="7" type="noConversion"/>
  </si>
  <si>
    <t>LP CONDENSATE</t>
    <phoneticPr fontId="7" type="noConversion"/>
  </si>
  <si>
    <t>kg/cm²-g</t>
    <phoneticPr fontId="7" type="noConversion"/>
  </si>
  <si>
    <t>kg/cm²</t>
    <phoneticPr fontId="7" type="noConversion"/>
  </si>
  <si>
    <t>ºC</t>
    <phoneticPr fontId="7" type="noConversion"/>
  </si>
  <si>
    <t>ºC</t>
    <phoneticPr fontId="7" type="noConversion"/>
  </si>
  <si>
    <t>cP</t>
    <phoneticPr fontId="7" type="noConversion"/>
  </si>
  <si>
    <t>kg/cm²-a</t>
    <phoneticPr fontId="7" type="noConversion"/>
  </si>
  <si>
    <t>ºC</t>
    <phoneticPr fontId="7" type="noConversion"/>
  </si>
  <si>
    <t>ºC</t>
    <phoneticPr fontId="7" type="noConversion"/>
  </si>
  <si>
    <t>0.7</t>
    <phoneticPr fontId="7" type="noConversion"/>
  </si>
  <si>
    <t>-</t>
    <phoneticPr fontId="7" type="noConversion"/>
  </si>
  <si>
    <t>WARM FLARE</t>
    <phoneticPr fontId="7" type="noConversion"/>
  </si>
  <si>
    <t>-</t>
    <phoneticPr fontId="7" type="noConversion"/>
  </si>
  <si>
    <t>0.554</t>
    <phoneticPr fontId="7" type="noConversion"/>
  </si>
  <si>
    <t>81.4</t>
    <phoneticPr fontId="7" type="noConversion"/>
  </si>
  <si>
    <t>-</t>
    <phoneticPr fontId="7" type="noConversion"/>
  </si>
  <si>
    <t>-</t>
    <phoneticPr fontId="7" type="noConversion"/>
  </si>
  <si>
    <t>0.7</t>
    <phoneticPr fontId="10" type="noConversion"/>
  </si>
  <si>
    <t>-</t>
    <phoneticPr fontId="7" type="noConversion"/>
  </si>
  <si>
    <t>-</t>
    <phoneticPr fontId="10" type="noConversion"/>
  </si>
  <si>
    <t>-</t>
    <phoneticPr fontId="7" type="noConversion"/>
  </si>
  <si>
    <t>1550.0</t>
    <phoneticPr fontId="7" type="noConversion"/>
  </si>
  <si>
    <t>CHOCKED FLOW</t>
    <phoneticPr fontId="7" type="noConversion"/>
  </si>
  <si>
    <t>2.4</t>
    <phoneticPr fontId="7" type="noConversion"/>
  </si>
  <si>
    <t>1.97</t>
    <phoneticPr fontId="7" type="noConversion"/>
  </si>
  <si>
    <t>2.51</t>
    <phoneticPr fontId="7" type="noConversion"/>
  </si>
  <si>
    <t>-</t>
    <phoneticPr fontId="7" type="noConversion"/>
  </si>
  <si>
    <t>-</t>
    <phoneticPr fontId="7" type="noConversion"/>
  </si>
  <si>
    <t>1.3090</t>
    <phoneticPr fontId="7" type="noConversion"/>
  </si>
  <si>
    <t>1.3118</t>
    <phoneticPr fontId="7" type="noConversion"/>
  </si>
  <si>
    <t>1.2982</t>
    <phoneticPr fontId="7" type="noConversion"/>
  </si>
  <si>
    <t>0.9957</t>
    <phoneticPr fontId="7" type="noConversion"/>
  </si>
  <si>
    <t>0.9968</t>
    <phoneticPr fontId="7" type="noConversion"/>
  </si>
  <si>
    <t>10-FV-3561</t>
    <phoneticPr fontId="7" type="noConversion"/>
  </si>
  <si>
    <t>10-HV-3982</t>
    <phoneticPr fontId="7" type="noConversion"/>
  </si>
  <si>
    <t>LINE-103-BD-1-0050</t>
    <phoneticPr fontId="7" type="noConversion"/>
  </si>
  <si>
    <t>0.7</t>
    <phoneticPr fontId="7" type="noConversion"/>
  </si>
  <si>
    <t>kg/cm²-a</t>
    <phoneticPr fontId="7" type="noConversion"/>
  </si>
  <si>
    <t>Y
(Hydrogen)</t>
    <phoneticPr fontId="7" type="noConversion"/>
  </si>
  <si>
    <t>-</t>
    <phoneticPr fontId="7" type="noConversion"/>
  </si>
  <si>
    <t>115 / 150</t>
    <phoneticPr fontId="7" type="noConversion"/>
  </si>
  <si>
    <t>H.V</t>
    <phoneticPr fontId="7" type="noConversion"/>
  </si>
  <si>
    <t>0.990</t>
    <phoneticPr fontId="7" type="noConversion"/>
  </si>
  <si>
    <t>0.990</t>
    <phoneticPr fontId="7" type="noConversion"/>
  </si>
  <si>
    <t>75 / 150</t>
    <phoneticPr fontId="7" type="noConversion"/>
  </si>
  <si>
    <t>0.970</t>
    <phoneticPr fontId="7" type="noConversion"/>
  </si>
  <si>
    <t>0.967</t>
    <phoneticPr fontId="7" type="noConversion"/>
  </si>
  <si>
    <t>0.967</t>
    <phoneticPr fontId="7" type="noConversion"/>
  </si>
  <si>
    <t>105 / 170</t>
    <phoneticPr fontId="7" type="noConversion"/>
  </si>
  <si>
    <t>0.663</t>
    <phoneticPr fontId="7" type="noConversion"/>
  </si>
  <si>
    <t>0.916</t>
    <phoneticPr fontId="7" type="noConversion"/>
  </si>
  <si>
    <t>0.912</t>
    <phoneticPr fontId="7" type="noConversion"/>
  </si>
  <si>
    <t>0.916</t>
    <phoneticPr fontId="7" type="noConversion"/>
  </si>
  <si>
    <t>0.663</t>
    <phoneticPr fontId="7" type="noConversion"/>
  </si>
  <si>
    <t>10-FV-3021</t>
    <phoneticPr fontId="7" type="noConversion"/>
  </si>
  <si>
    <t>10-FV-3021</t>
    <phoneticPr fontId="7" type="noConversion"/>
  </si>
  <si>
    <t>10-FV-3081</t>
    <phoneticPr fontId="7" type="noConversion"/>
  </si>
  <si>
    <t>10-FV-3081</t>
    <phoneticPr fontId="7" type="noConversion"/>
  </si>
  <si>
    <t>10-FV-3081</t>
    <phoneticPr fontId="7" type="noConversion"/>
  </si>
  <si>
    <t>10-FV-3081</t>
    <phoneticPr fontId="7" type="noConversion"/>
  </si>
  <si>
    <t>10-FV-3121</t>
    <phoneticPr fontId="7" type="noConversion"/>
  </si>
  <si>
    <t>24926</t>
    <phoneticPr fontId="7" type="noConversion"/>
  </si>
  <si>
    <t>44183</t>
    <phoneticPr fontId="7" type="noConversion"/>
  </si>
  <si>
    <t>32404</t>
    <phoneticPr fontId="7" type="noConversion"/>
  </si>
  <si>
    <t>57438</t>
    <phoneticPr fontId="7" type="noConversion"/>
  </si>
  <si>
    <t>0.954</t>
    <phoneticPr fontId="7" type="noConversion"/>
  </si>
  <si>
    <t>kg/cm131-a</t>
  </si>
  <si>
    <t>kg/cm132-a</t>
  </si>
  <si>
    <t>kg/cm133-a</t>
  </si>
  <si>
    <t>kg/cm134-a</t>
  </si>
  <si>
    <t>0.897</t>
    <phoneticPr fontId="7" type="noConversion"/>
  </si>
  <si>
    <t>0.886</t>
    <phoneticPr fontId="7" type="noConversion"/>
  </si>
  <si>
    <t>10-FV-6602</t>
    <phoneticPr fontId="7" type="noConversion"/>
  </si>
  <si>
    <t>10-FV-6603</t>
    <phoneticPr fontId="7" type="noConversion"/>
  </si>
  <si>
    <t>kg/cm²-a</t>
    <phoneticPr fontId="7" type="noConversion"/>
  </si>
  <si>
    <t>LINE-106-BD-1-0033</t>
    <phoneticPr fontId="7" type="noConversion"/>
  </si>
  <si>
    <t>LINE-106-BD-1-0034</t>
    <phoneticPr fontId="7" type="noConversion"/>
  </si>
  <si>
    <t>-</t>
    <phoneticPr fontId="7" type="noConversion"/>
  </si>
  <si>
    <t>28.33</t>
    <phoneticPr fontId="7" type="noConversion"/>
  </si>
  <si>
    <t>18.33</t>
    <phoneticPr fontId="7" type="noConversion"/>
  </si>
  <si>
    <t>8.33</t>
    <phoneticPr fontId="7" type="noConversion"/>
  </si>
  <si>
    <t>0.9952</t>
    <phoneticPr fontId="7" type="noConversion"/>
  </si>
  <si>
    <t>10-LV-3002</t>
    <phoneticPr fontId="7" type="noConversion"/>
  </si>
  <si>
    <t>10-HV-3302</t>
    <phoneticPr fontId="7" type="noConversion"/>
  </si>
  <si>
    <t>75 / -</t>
    <phoneticPr fontId="6" type="noConversion"/>
  </si>
  <si>
    <t>75 / -</t>
    <phoneticPr fontId="6" type="noConversion"/>
  </si>
  <si>
    <t>LINE-103-BD-1-0031</t>
    <phoneticPr fontId="7" type="noConversion"/>
  </si>
  <si>
    <t>10-LV-3502</t>
    <phoneticPr fontId="7" type="noConversion"/>
  </si>
  <si>
    <t>10-PV-3521A</t>
    <phoneticPr fontId="7" type="noConversion"/>
  </si>
  <si>
    <t>10-PV-3521B</t>
    <phoneticPr fontId="7" type="noConversion"/>
  </si>
  <si>
    <t>132 /
119.3</t>
  </si>
  <si>
    <t>28.05 /
42.05</t>
  </si>
  <si>
    <t>1.3 /
1.32</t>
  </si>
  <si>
    <t>25 / 48</t>
    <phoneticPr fontId="7" type="noConversion"/>
  </si>
  <si>
    <t>25 / 48</t>
    <phoneticPr fontId="7" type="noConversion"/>
  </si>
  <si>
    <t>25 / 48</t>
    <phoneticPr fontId="7" type="noConversion"/>
  </si>
  <si>
    <t>10-HV-3702</t>
    <phoneticPr fontId="7" type="noConversion"/>
  </si>
  <si>
    <t>ETHYLENE
REFRIGERANT</t>
  </si>
  <si>
    <t>10-PV-4124A</t>
    <phoneticPr fontId="6" type="noConversion"/>
  </si>
  <si>
    <t>10-PV-5241</t>
    <phoneticPr fontId="7" type="noConversion"/>
  </si>
  <si>
    <t>LINE-106-BD-1-0014</t>
    <phoneticPr fontId="7" type="noConversion"/>
  </si>
  <si>
    <t>LINE-106-BD-1-0016</t>
    <phoneticPr fontId="7" type="noConversion"/>
  </si>
  <si>
    <t>10-PV-6541</t>
    <phoneticPr fontId="7" type="noConversion"/>
  </si>
  <si>
    <t>-34 / -11 / -
3.8</t>
  </si>
  <si>
    <t>0.154 / 0.12
/ 0.103</t>
  </si>
  <si>
    <t>0.8 / 3.1
/ 5.6</t>
  </si>
  <si>
    <t>592 / 562 /
540</t>
  </si>
  <si>
    <t>10-LV-6752A</t>
    <phoneticPr fontId="7" type="noConversion"/>
  </si>
  <si>
    <t>10-LV-6752B</t>
    <phoneticPr fontId="7" type="noConversion"/>
  </si>
  <si>
    <t>10-LV-5290A</t>
    <phoneticPr fontId="7" type="noConversion"/>
  </si>
  <si>
    <t>10-LV-5290B</t>
    <phoneticPr fontId="7" type="noConversion"/>
  </si>
  <si>
    <t>10-LV-3983A</t>
    <phoneticPr fontId="7" type="noConversion"/>
  </si>
  <si>
    <t>10-LV-3983B</t>
    <phoneticPr fontId="7" type="noConversion"/>
  </si>
  <si>
    <t>10-FV-6332</t>
    <phoneticPr fontId="7" type="noConversion"/>
  </si>
  <si>
    <t>HYDROCARBON</t>
    <phoneticPr fontId="7" type="noConversion"/>
  </si>
  <si>
    <t>L</t>
    <phoneticPr fontId="7" type="noConversion"/>
  </si>
  <si>
    <t>kg/hr</t>
    <phoneticPr fontId="7" type="noConversion"/>
  </si>
  <si>
    <t>kg/cm²-g</t>
    <phoneticPr fontId="7" type="noConversion"/>
  </si>
  <si>
    <t>kg/cm²</t>
    <phoneticPr fontId="7" type="noConversion"/>
  </si>
  <si>
    <t>ºC</t>
    <phoneticPr fontId="7" type="noConversion"/>
  </si>
  <si>
    <t>ºC</t>
    <phoneticPr fontId="7" type="noConversion"/>
  </si>
  <si>
    <t>cP</t>
    <phoneticPr fontId="7" type="noConversion"/>
  </si>
  <si>
    <t>kg/cm²-a</t>
    <phoneticPr fontId="7" type="noConversion"/>
  </si>
  <si>
    <t>ºC</t>
    <phoneticPr fontId="7" type="noConversion"/>
  </si>
  <si>
    <t>ºC</t>
    <phoneticPr fontId="7" type="noConversion"/>
  </si>
  <si>
    <t>Y</t>
    <phoneticPr fontId="7" type="noConversion"/>
  </si>
  <si>
    <t>Y</t>
    <phoneticPr fontId="7" type="noConversion"/>
  </si>
  <si>
    <t>FUEL GAS</t>
    <phoneticPr fontId="7" type="noConversion"/>
  </si>
  <si>
    <t>V</t>
    <phoneticPr fontId="7" type="noConversion"/>
  </si>
  <si>
    <t>cP</t>
    <phoneticPr fontId="7" type="noConversion"/>
  </si>
  <si>
    <t>kg/cm²-g</t>
    <phoneticPr fontId="7" type="noConversion"/>
  </si>
  <si>
    <t>0.996</t>
    <phoneticPr fontId="7" type="noConversion"/>
  </si>
  <si>
    <t>kg/cm²</t>
    <phoneticPr fontId="7" type="noConversion"/>
  </si>
  <si>
    <t>ºC</t>
    <phoneticPr fontId="7" type="noConversion"/>
  </si>
  <si>
    <t>NATURAL GAS</t>
    <phoneticPr fontId="7" type="noConversion"/>
  </si>
  <si>
    <t>0.1</t>
    <phoneticPr fontId="7" type="noConversion"/>
  </si>
  <si>
    <t>0.3</t>
    <phoneticPr fontId="7" type="noConversion"/>
  </si>
  <si>
    <t>0.05</t>
    <phoneticPr fontId="7" type="noConversion"/>
  </si>
  <si>
    <t>0.2</t>
    <phoneticPr fontId="7" type="noConversion"/>
  </si>
  <si>
    <t>13.6</t>
    <phoneticPr fontId="7" type="noConversion"/>
  </si>
  <si>
    <t>18.2</t>
    <phoneticPr fontId="7" type="noConversion"/>
  </si>
  <si>
    <t>Y</t>
    <phoneticPr fontId="7" type="noConversion"/>
  </si>
  <si>
    <t>Y</t>
    <phoneticPr fontId="7" type="noConversion"/>
  </si>
  <si>
    <t>10-FV-8005</t>
    <phoneticPr fontId="7" type="noConversion"/>
  </si>
  <si>
    <t>V</t>
    <phoneticPr fontId="7" type="noConversion"/>
  </si>
  <si>
    <t>0.5</t>
    <phoneticPr fontId="7" type="noConversion"/>
  </si>
  <si>
    <t>0.55</t>
    <phoneticPr fontId="7" type="noConversion"/>
  </si>
  <si>
    <t>0.45</t>
    <phoneticPr fontId="7" type="noConversion"/>
  </si>
  <si>
    <t>0.909</t>
    <phoneticPr fontId="7" type="noConversion"/>
  </si>
  <si>
    <t>1.2</t>
    <phoneticPr fontId="7" type="noConversion"/>
  </si>
  <si>
    <t>HV</t>
    <phoneticPr fontId="7" type="noConversion"/>
  </si>
  <si>
    <t>0.2</t>
    <phoneticPr fontId="7" type="noConversion"/>
  </si>
  <si>
    <t>0.33</t>
    <phoneticPr fontId="7" type="noConversion"/>
  </si>
  <si>
    <t>0.27</t>
    <phoneticPr fontId="7" type="noConversion"/>
  </si>
  <si>
    <t>0.18</t>
    <phoneticPr fontId="7" type="noConversion"/>
  </si>
  <si>
    <t>249790</t>
    <phoneticPr fontId="7" type="noConversion"/>
  </si>
  <si>
    <t>5.4 (3R)</t>
    <phoneticPr fontId="7" type="noConversion"/>
  </si>
  <si>
    <t>9 (2R)</t>
    <phoneticPr fontId="7" type="noConversion"/>
  </si>
  <si>
    <t>3.0</t>
    <phoneticPr fontId="7" type="noConversion"/>
  </si>
  <si>
    <r>
      <t>115 /</t>
    </r>
    <r>
      <rPr>
        <sz val="11"/>
        <color rgb="FFFF0000"/>
        <rFont val="맑은 고딕"/>
        <family val="3"/>
        <charset val="129"/>
        <scheme val="minor"/>
      </rPr>
      <t xml:space="preserve"> 150</t>
    </r>
    <phoneticPr fontId="7" type="noConversion"/>
  </si>
  <si>
    <t>HV</t>
    <phoneticPr fontId="7" type="noConversion"/>
  </si>
  <si>
    <t>FV</t>
    <phoneticPr fontId="7" type="noConversion"/>
  </si>
  <si>
    <t>90 / 150</t>
    <phoneticPr fontId="7" type="noConversion"/>
  </si>
  <si>
    <r>
      <t>90</t>
    </r>
    <r>
      <rPr>
        <sz val="11"/>
        <color rgb="FFFF0000"/>
        <rFont val="맑은 고딕"/>
        <family val="3"/>
        <charset val="129"/>
        <scheme val="minor"/>
      </rPr>
      <t xml:space="preserve"> / 150</t>
    </r>
    <phoneticPr fontId="7" type="noConversion"/>
  </si>
  <si>
    <t>100 / 150</t>
    <phoneticPr fontId="7" type="noConversion"/>
  </si>
  <si>
    <r>
      <t>65</t>
    </r>
    <r>
      <rPr>
        <sz val="11"/>
        <color rgb="FFFF0000"/>
        <rFont val="맑은 고딕"/>
        <family val="3"/>
        <charset val="129"/>
        <scheme val="minor"/>
      </rPr>
      <t xml:space="preserve"> / 150</t>
    </r>
    <phoneticPr fontId="7" type="noConversion"/>
  </si>
  <si>
    <r>
      <t xml:space="preserve">65 </t>
    </r>
    <r>
      <rPr>
        <sz val="11"/>
        <color rgb="FFFF0000"/>
        <rFont val="맑은 고딕"/>
        <family val="3"/>
        <charset val="129"/>
        <scheme val="minor"/>
      </rPr>
      <t>/ 150</t>
    </r>
    <phoneticPr fontId="7" type="noConversion"/>
  </si>
  <si>
    <t>20</t>
    <phoneticPr fontId="7" type="noConversion"/>
  </si>
  <si>
    <t>19</t>
    <phoneticPr fontId="7" type="noConversion"/>
  </si>
  <si>
    <t>21</t>
    <phoneticPr fontId="7" type="noConversion"/>
  </si>
  <si>
    <t>FV</t>
    <phoneticPr fontId="7" type="noConversion"/>
  </si>
  <si>
    <r>
      <rPr>
        <sz val="11"/>
        <rFont val="맑은 고딕"/>
        <family val="3"/>
        <charset val="129"/>
        <scheme val="minor"/>
      </rPr>
      <t>75 /</t>
    </r>
    <r>
      <rPr>
        <sz val="11"/>
        <color rgb="FFFF0000"/>
        <rFont val="맑은 고딕"/>
        <family val="3"/>
        <charset val="129"/>
        <scheme val="minor"/>
      </rPr>
      <t xml:space="preserve"> 150</t>
    </r>
    <phoneticPr fontId="7" type="noConversion"/>
  </si>
  <si>
    <r>
      <t>100 /</t>
    </r>
    <r>
      <rPr>
        <sz val="11"/>
        <color rgb="FFFF0000"/>
        <rFont val="맑은 고딕"/>
        <family val="3"/>
        <charset val="129"/>
        <scheme val="minor"/>
      </rPr>
      <t xml:space="preserve"> 150</t>
    </r>
    <phoneticPr fontId="7" type="noConversion"/>
  </si>
  <si>
    <t>100 /150</t>
    <phoneticPr fontId="7" type="noConversion"/>
  </si>
  <si>
    <t>150</t>
    <phoneticPr fontId="7" type="noConversion"/>
  </si>
  <si>
    <t>L</t>
    <phoneticPr fontId="7" type="noConversion"/>
  </si>
  <si>
    <t>1.31</t>
    <phoneticPr fontId="7" type="noConversion"/>
  </si>
  <si>
    <t>13.2</t>
    <phoneticPr fontId="7" type="noConversion"/>
  </si>
  <si>
    <t>4.8</t>
    <phoneticPr fontId="7" type="noConversion"/>
  </si>
  <si>
    <t>24 / 24 / 24 / 24</t>
    <phoneticPr fontId="6" type="noConversion"/>
  </si>
  <si>
    <t>22.03 / 19.31 / 
17.23 / 6.13</t>
    <phoneticPr fontId="7" type="noConversion"/>
  </si>
  <si>
    <t>7.54</t>
    <phoneticPr fontId="7" type="noConversion"/>
  </si>
  <si>
    <t>4.98</t>
    <phoneticPr fontId="7" type="noConversion"/>
  </si>
  <si>
    <t>13.01</t>
    <phoneticPr fontId="7" type="noConversion"/>
  </si>
  <si>
    <t>5.49</t>
    <phoneticPr fontId="7" type="noConversion"/>
  </si>
  <si>
    <t>8.79</t>
    <phoneticPr fontId="7" type="noConversion"/>
  </si>
  <si>
    <t>8.03</t>
    <phoneticPr fontId="7" type="noConversion"/>
  </si>
  <si>
    <t>7.9</t>
    <phoneticPr fontId="7" type="noConversion"/>
  </si>
  <si>
    <t>5.7</t>
    <phoneticPr fontId="7" type="noConversion"/>
  </si>
  <si>
    <t>8</t>
    <phoneticPr fontId="7" type="noConversion"/>
  </si>
  <si>
    <t>7</t>
    <phoneticPr fontId="7" type="noConversion"/>
  </si>
  <si>
    <t>-95.1</t>
    <phoneticPr fontId="7" type="noConversion"/>
  </si>
  <si>
    <t>246099</t>
    <phoneticPr fontId="7" type="noConversion"/>
  </si>
  <si>
    <t>582638</t>
    <phoneticPr fontId="7" type="noConversion"/>
  </si>
  <si>
    <t>18.86</t>
    <phoneticPr fontId="7" type="noConversion"/>
  </si>
  <si>
    <t>Vendor clarification 에 의한 수정</t>
    <phoneticPr fontId="6" type="noConversion"/>
  </si>
  <si>
    <t>Pump hydraulic check 에 의한 수정</t>
    <phoneticPr fontId="6" type="noConversion"/>
  </si>
  <si>
    <t>Vendor data sheet check 후 수정</t>
    <phoneticPr fontId="6" type="noConversion"/>
  </si>
  <si>
    <t>초기 data 수정</t>
    <phoneticPr fontId="6" type="noConversion"/>
  </si>
  <si>
    <t>8.21</t>
    <phoneticPr fontId="7" type="noConversion"/>
  </si>
  <si>
    <t>9.8</t>
    <phoneticPr fontId="7" type="noConversion"/>
  </si>
  <si>
    <t>8.6</t>
    <phoneticPr fontId="7" type="noConversion"/>
  </si>
  <si>
    <t>4.03</t>
    <phoneticPr fontId="7" type="noConversion"/>
  </si>
  <si>
    <t>4.75</t>
    <phoneticPr fontId="7" type="noConversion"/>
  </si>
  <si>
    <t>1</t>
    <phoneticPr fontId="7" type="noConversion"/>
  </si>
  <si>
    <t>6.27</t>
    <phoneticPr fontId="7" type="noConversion"/>
  </si>
  <si>
    <t>7.83</t>
    <phoneticPr fontId="7" type="noConversion"/>
  </si>
  <si>
    <t>추가 수정 (유량 검토 등)</t>
    <phoneticPr fontId="6" type="noConversion"/>
  </si>
  <si>
    <t>35.26</t>
    <phoneticPr fontId="7" type="noConversion"/>
  </si>
  <si>
    <t>35.42</t>
    <phoneticPr fontId="7" type="noConversion"/>
  </si>
  <si>
    <t>30.67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</si>
</sst>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_(* #,##0_);_(* \(#,##0\);_(* &quot;-&quot;_);_(@_)"/>
    <numFmt numFmtId="177" formatCode="0.0"/>
    <numFmt numFmtId="178" formatCode="0.000"/>
    <numFmt numFmtId="179" formatCode="0.0000"/>
    <numFmt numFmtId="180" formatCode="0.0;[Red]0.0"/>
    <numFmt numFmtId="181" formatCode="0.00_);[Red]\(0.00\)"/>
    <numFmt numFmtId="182" formatCode="0.00_ "/>
    <numFmt numFmtId="183" formatCode="0_ "/>
    <numFmt numFmtId="184" formatCode="0.0_);[Red]\(0.0\)"/>
    <numFmt numFmtId="185" formatCode="0_);[Red]\(0\)"/>
    <numFmt numFmtId="186" formatCode="0.0_ "/>
  </numFmts>
  <fonts count="29" x14ac:knownFonts="1">
    <font>
      <sz val="1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Tahoma"/>
      <family val="2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0000"/>
      <name val="Times New Roman"/>
      <family val="1"/>
    </font>
    <font>
      <strike/>
      <sz val="11"/>
      <color rgb="FFFF0000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sz val="9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 style="thin">
        <color auto="1"/>
      </top>
      <bottom style="thin">
        <color auto="1"/>
      </bottom>
      <diagonal/>
    </border>
    <border>
      <left/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/>
      <right style="thin">
        <color rgb="FF80808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15" fillId="0" borderId="0"/>
    <xf numFmtId="176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07">
    <xf numFmtId="0" fontId="0" fillId="0" borderId="0" xfId="0"/>
    <xf numFmtId="0" fontId="0" fillId="0" borderId="0" xfId="0" applyFont="1"/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49" fontId="8" fillId="0" borderId="4" xfId="1" applyNumberFormat="1" applyFont="1" applyFill="1" applyBorder="1" applyAlignment="1">
      <alignment horizontal="center" vertical="center" shrinkToFit="1"/>
    </xf>
    <xf numFmtId="0" fontId="11" fillId="2" borderId="5" xfId="0" applyFont="1" applyFill="1" applyBorder="1" applyAlignment="1">
      <alignment horizontal="center" vertical="center" wrapText="1"/>
    </xf>
    <xf numFmtId="49" fontId="11" fillId="2" borderId="4" xfId="1" applyNumberFormat="1" applyFont="1" applyFill="1" applyBorder="1" applyAlignment="1">
      <alignment horizontal="center" vertical="center" shrinkToFit="1"/>
    </xf>
    <xf numFmtId="1" fontId="11" fillId="2" borderId="5" xfId="0" applyNumberFormat="1" applyFont="1" applyFill="1" applyBorder="1" applyAlignment="1">
      <alignment horizontal="center" vertical="center" shrinkToFit="1"/>
    </xf>
    <xf numFmtId="178" fontId="11" fillId="2" borderId="5" xfId="0" applyNumberFormat="1" applyFont="1" applyFill="1" applyBorder="1" applyAlignment="1">
      <alignment horizontal="center" vertical="center" shrinkToFit="1"/>
    </xf>
    <xf numFmtId="177" fontId="11" fillId="2" borderId="5" xfId="0" applyNumberFormat="1" applyFont="1" applyFill="1" applyBorder="1" applyAlignment="1">
      <alignment horizontal="center" vertical="center" shrinkToFit="1"/>
    </xf>
    <xf numFmtId="177" fontId="8" fillId="0" borderId="5" xfId="0" applyNumberFormat="1" applyFont="1" applyFill="1" applyBorder="1" applyAlignment="1">
      <alignment horizontal="center" vertical="center" shrinkToFit="1"/>
    </xf>
    <xf numFmtId="177" fontId="8" fillId="0" borderId="5" xfId="0" applyNumberFormat="1" applyFont="1" applyFill="1" applyBorder="1" applyAlignment="1">
      <alignment horizontal="center" vertical="center" wrapText="1"/>
    </xf>
    <xf numFmtId="2" fontId="11" fillId="2" borderId="5" xfId="0" applyNumberFormat="1" applyFont="1" applyFill="1" applyBorder="1" applyAlignment="1">
      <alignment horizontal="center" vertical="center" shrinkToFit="1"/>
    </xf>
    <xf numFmtId="49" fontId="8" fillId="0" borderId="4" xfId="1" applyNumberFormat="1" applyFont="1" applyFill="1" applyBorder="1" applyAlignment="1">
      <alignment horizontal="center" vertical="center" wrapText="1" shrinkToFi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1" fillId="2" borderId="1" xfId="0" quotePrefix="1" applyFont="1" applyFill="1" applyBorder="1" applyAlignment="1">
      <alignment horizontal="center"/>
    </xf>
    <xf numFmtId="0" fontId="11" fillId="2" borderId="11" xfId="0" quotePrefix="1" applyFont="1" applyFill="1" applyBorder="1" applyAlignment="1">
      <alignment horizontal="center"/>
    </xf>
    <xf numFmtId="0" fontId="11" fillId="2" borderId="12" xfId="0" quotePrefix="1" applyFont="1" applyFill="1" applyBorder="1" applyAlignment="1">
      <alignment horizontal="center"/>
    </xf>
    <xf numFmtId="49" fontId="11" fillId="2" borderId="4" xfId="1" applyNumberFormat="1" applyFont="1" applyFill="1" applyBorder="1" applyAlignment="1">
      <alignment horizontal="center" vertical="center" wrapText="1" shrinkToFit="1"/>
    </xf>
    <xf numFmtId="0" fontId="11" fillId="2" borderId="0" xfId="0" applyFont="1" applyFill="1"/>
    <xf numFmtId="179" fontId="11" fillId="2" borderId="5" xfId="0" applyNumberFormat="1" applyFont="1" applyFill="1" applyBorder="1" applyAlignment="1">
      <alignment horizontal="center" vertical="center" shrinkToFit="1"/>
    </xf>
    <xf numFmtId="0" fontId="11" fillId="2" borderId="5" xfId="0" quotePrefix="1" applyFont="1" applyFill="1" applyBorder="1" applyAlignment="1">
      <alignment horizontal="center" vertical="center" wrapText="1"/>
    </xf>
    <xf numFmtId="1" fontId="11" fillId="2" borderId="5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8" fillId="0" borderId="1" xfId="0" quotePrefix="1" applyFont="1" applyFill="1" applyBorder="1" applyAlignment="1">
      <alignment horizontal="center"/>
    </xf>
    <xf numFmtId="0" fontId="8" fillId="0" borderId="11" xfId="0" quotePrefix="1" applyFont="1" applyFill="1" applyBorder="1" applyAlignment="1">
      <alignment horizontal="center"/>
    </xf>
    <xf numFmtId="0" fontId="8" fillId="0" borderId="12" xfId="0" quotePrefix="1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1" xfId="0" quotePrefix="1" applyFont="1" applyFill="1" applyBorder="1" applyAlignment="1">
      <alignment horizontal="center"/>
    </xf>
    <xf numFmtId="49" fontId="16" fillId="2" borderId="4" xfId="1" applyNumberFormat="1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shrinkToFit="1"/>
    </xf>
    <xf numFmtId="177" fontId="16" fillId="2" borderId="5" xfId="0" applyNumberFormat="1" applyFont="1" applyFill="1" applyBorder="1" applyAlignment="1">
      <alignment horizontal="center" vertical="center" shrinkToFit="1"/>
    </xf>
    <xf numFmtId="179" fontId="16" fillId="2" borderId="5" xfId="0" applyNumberFormat="1" applyFont="1" applyFill="1" applyBorder="1" applyAlignment="1">
      <alignment horizontal="center" vertical="center" shrinkToFit="1"/>
    </xf>
    <xf numFmtId="1" fontId="16" fillId="2" borderId="5" xfId="0" applyNumberFormat="1" applyFont="1" applyFill="1" applyBorder="1" applyAlignment="1">
      <alignment horizontal="center" vertical="center" shrinkToFit="1"/>
    </xf>
    <xf numFmtId="0" fontId="16" fillId="2" borderId="11" xfId="0" quotePrefix="1" applyFont="1" applyFill="1" applyBorder="1" applyAlignment="1">
      <alignment horizontal="center"/>
    </xf>
    <xf numFmtId="0" fontId="16" fillId="2" borderId="12" xfId="0" quotePrefix="1" applyFont="1" applyFill="1" applyBorder="1" applyAlignment="1">
      <alignment horizontal="center"/>
    </xf>
    <xf numFmtId="0" fontId="16" fillId="2" borderId="0" xfId="0" applyFont="1" applyFill="1"/>
    <xf numFmtId="0" fontId="11" fillId="2" borderId="1" xfId="0" applyFont="1" applyFill="1" applyBorder="1"/>
    <xf numFmtId="0" fontId="16" fillId="2" borderId="1" xfId="0" applyFont="1" applyFill="1" applyBorder="1"/>
    <xf numFmtId="178" fontId="16" fillId="2" borderId="5" xfId="0" applyNumberFormat="1" applyFont="1" applyFill="1" applyBorder="1" applyAlignment="1">
      <alignment horizontal="center" vertical="center" shrinkToFit="1"/>
    </xf>
    <xf numFmtId="2" fontId="16" fillId="2" borderId="5" xfId="0" applyNumberFormat="1" applyFont="1" applyFill="1" applyBorder="1" applyAlignment="1">
      <alignment horizontal="center" vertical="center" wrapText="1"/>
    </xf>
    <xf numFmtId="0" fontId="11" fillId="3" borderId="0" xfId="0" applyFont="1" applyFill="1"/>
    <xf numFmtId="49" fontId="11" fillId="2" borderId="0" xfId="1" applyNumberFormat="1" applyFont="1" applyFill="1" applyBorder="1" applyAlignment="1">
      <alignment horizontal="center" vertical="center" shrinkToFit="1"/>
    </xf>
    <xf numFmtId="0" fontId="21" fillId="0" borderId="0" xfId="5" applyFont="1">
      <alignment vertical="center"/>
    </xf>
    <xf numFmtId="0" fontId="2" fillId="0" borderId="0" xfId="5">
      <alignment vertical="center"/>
    </xf>
    <xf numFmtId="0" fontId="23" fillId="0" borderId="0" xfId="5" applyFont="1">
      <alignment vertical="center"/>
    </xf>
    <xf numFmtId="0" fontId="23" fillId="0" borderId="18" xfId="5" applyFont="1" applyBorder="1" applyAlignment="1">
      <alignment vertical="center" wrapText="1"/>
    </xf>
    <xf numFmtId="0" fontId="23" fillId="0" borderId="27" xfId="5" applyFont="1" applyBorder="1" applyAlignment="1">
      <alignment vertical="center" wrapText="1"/>
    </xf>
    <xf numFmtId="0" fontId="2" fillId="0" borderId="4" xfId="5" applyBorder="1" applyAlignment="1">
      <alignment horizontal="center" vertical="center"/>
    </xf>
    <xf numFmtId="0" fontId="2" fillId="0" borderId="4" xfId="5" applyBorder="1">
      <alignment vertical="center"/>
    </xf>
    <xf numFmtId="0" fontId="2" fillId="0" borderId="19" xfId="5" applyBorder="1">
      <alignment vertical="center"/>
    </xf>
    <xf numFmtId="182" fontId="2" fillId="0" borderId="28" xfId="5" applyNumberFormat="1" applyFill="1" applyBorder="1">
      <alignment vertical="center"/>
    </xf>
    <xf numFmtId="182" fontId="2" fillId="0" borderId="27" xfId="5" applyNumberFormat="1" applyFill="1" applyBorder="1">
      <alignment vertical="center"/>
    </xf>
    <xf numFmtId="0" fontId="2" fillId="0" borderId="28" xfId="5" applyFill="1" applyBorder="1">
      <alignment vertical="center"/>
    </xf>
    <xf numFmtId="182" fontId="2" fillId="0" borderId="29" xfId="5" applyNumberFormat="1" applyFill="1" applyBorder="1">
      <alignment vertical="center"/>
    </xf>
    <xf numFmtId="0" fontId="23" fillId="0" borderId="4" xfId="5" applyFont="1" applyBorder="1" applyAlignment="1">
      <alignment vertical="center" wrapText="1"/>
    </xf>
    <xf numFmtId="0" fontId="23" fillId="0" borderId="19" xfId="5" applyFont="1" applyBorder="1" applyAlignment="1">
      <alignment vertical="center" wrapText="1"/>
    </xf>
    <xf numFmtId="182" fontId="2" fillId="0" borderId="18" xfId="5" applyNumberFormat="1" applyFill="1" applyBorder="1">
      <alignment vertical="center"/>
    </xf>
    <xf numFmtId="182" fontId="2" fillId="0" borderId="19" xfId="5" applyNumberFormat="1" applyFill="1" applyBorder="1">
      <alignment vertical="center"/>
    </xf>
    <xf numFmtId="0" fontId="23" fillId="0" borderId="25" xfId="5" quotePrefix="1" applyFont="1" applyBorder="1" applyAlignment="1">
      <alignment vertical="center" wrapText="1"/>
    </xf>
    <xf numFmtId="0" fontId="23" fillId="0" borderId="32" xfId="5" applyFont="1" applyBorder="1" applyAlignment="1">
      <alignment vertical="center" wrapText="1"/>
    </xf>
    <xf numFmtId="0" fontId="23" fillId="0" borderId="26" xfId="5" quotePrefix="1" applyFont="1" applyBorder="1" applyAlignment="1">
      <alignment vertical="center" wrapText="1"/>
    </xf>
    <xf numFmtId="0" fontId="23" fillId="0" borderId="17" xfId="5" applyFont="1" applyBorder="1" applyAlignment="1">
      <alignment horizontal="center" vertical="center" wrapText="1"/>
    </xf>
    <xf numFmtId="0" fontId="23" fillId="0" borderId="22" xfId="5" applyFont="1" applyBorder="1" applyAlignment="1">
      <alignment horizontal="center" vertical="center" wrapText="1"/>
    </xf>
    <xf numFmtId="0" fontId="23" fillId="0" borderId="26" xfId="5" applyFont="1" applyBorder="1" applyAlignment="1">
      <alignment horizontal="center" vertical="center" wrapText="1"/>
    </xf>
    <xf numFmtId="182" fontId="2" fillId="0" borderId="34" xfId="5" applyNumberFormat="1" applyFill="1" applyBorder="1">
      <alignment vertical="center"/>
    </xf>
    <xf numFmtId="176" fontId="2" fillId="0" borderId="28" xfId="4" applyFont="1" applyFill="1" applyBorder="1">
      <alignment vertical="center"/>
    </xf>
    <xf numFmtId="182" fontId="2" fillId="0" borderId="35" xfId="5" applyNumberFormat="1" applyFill="1" applyBorder="1">
      <alignment vertical="center"/>
    </xf>
    <xf numFmtId="176" fontId="2" fillId="0" borderId="29" xfId="4" applyFont="1" applyFill="1" applyBorder="1">
      <alignment vertical="center"/>
    </xf>
    <xf numFmtId="0" fontId="23" fillId="0" borderId="36" xfId="5" applyFont="1" applyBorder="1" applyAlignment="1">
      <alignment vertical="center" wrapText="1"/>
    </xf>
    <xf numFmtId="182" fontId="2" fillId="0" borderId="4" xfId="5" applyNumberFormat="1" applyFill="1" applyBorder="1">
      <alignment vertical="center"/>
    </xf>
    <xf numFmtId="0" fontId="2" fillId="0" borderId="36" xfId="5" applyBorder="1">
      <alignment vertical="center"/>
    </xf>
    <xf numFmtId="182" fontId="2" fillId="0" borderId="4" xfId="5" applyNumberFormat="1" applyBorder="1">
      <alignment vertical="center"/>
    </xf>
    <xf numFmtId="182" fontId="2" fillId="0" borderId="0" xfId="5" applyNumberFormat="1">
      <alignment vertical="center"/>
    </xf>
    <xf numFmtId="0" fontId="1" fillId="0" borderId="0" xfId="5" applyFont="1">
      <alignment vertical="center"/>
    </xf>
    <xf numFmtId="0" fontId="11" fillId="2" borderId="0" xfId="0" applyFont="1" applyFill="1" applyAlignment="1">
      <alignment horizontal="center" vertical="center"/>
    </xf>
    <xf numFmtId="49" fontId="16" fillId="2" borderId="4" xfId="1" applyNumberFormat="1" applyFont="1" applyFill="1" applyBorder="1" applyAlignment="1">
      <alignment horizontal="center" vertical="center" wrapText="1" shrinkToFit="1"/>
    </xf>
    <xf numFmtId="0" fontId="16" fillId="2" borderId="0" xfId="0" applyFont="1" applyFill="1" applyAlignment="1">
      <alignment horizontal="center" vertical="center"/>
    </xf>
    <xf numFmtId="0" fontId="11" fillId="2" borderId="4" xfId="1" applyNumberFormat="1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0" xfId="0" applyFont="1" applyFill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8" fillId="0" borderId="0" xfId="0" applyFont="1" applyFill="1"/>
    <xf numFmtId="0" fontId="8" fillId="0" borderId="0" xfId="0" applyFont="1" applyFill="1" applyAlignment="1">
      <alignment horizontal="center" vertical="center"/>
    </xf>
    <xf numFmtId="49" fontId="8" fillId="0" borderId="18" xfId="1" applyNumberFormat="1" applyFont="1" applyFill="1" applyBorder="1" applyAlignment="1">
      <alignment horizontal="center" vertical="center" shrinkToFit="1"/>
    </xf>
    <xf numFmtId="49" fontId="8" fillId="0" borderId="23" xfId="1" applyNumberFormat="1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center" vertical="center"/>
    </xf>
    <xf numFmtId="0" fontId="24" fillId="0" borderId="0" xfId="0" applyFont="1" applyFill="1" applyAlignment="1">
      <alignment wrapText="1"/>
    </xf>
    <xf numFmtId="49" fontId="8" fillId="0" borderId="4" xfId="1" quotePrefix="1" applyNumberFormat="1" applyFont="1" applyFill="1" applyBorder="1" applyAlignment="1">
      <alignment horizontal="center" vertical="center" shrinkToFit="1"/>
    </xf>
    <xf numFmtId="0" fontId="8" fillId="0" borderId="4" xfId="1" applyNumberFormat="1" applyFont="1" applyFill="1" applyBorder="1" applyAlignment="1">
      <alignment horizontal="center" vertical="center" shrinkToFit="1"/>
    </xf>
    <xf numFmtId="49" fontId="8" fillId="0" borderId="5" xfId="1" applyNumberFormat="1" applyFont="1" applyFill="1" applyBorder="1" applyAlignment="1">
      <alignment horizontal="center" vertical="center" shrinkToFit="1"/>
    </xf>
    <xf numFmtId="2" fontId="8" fillId="0" borderId="4" xfId="1" applyNumberFormat="1" applyFont="1" applyFill="1" applyBorder="1" applyAlignment="1">
      <alignment horizontal="center" vertical="center" shrinkToFit="1"/>
    </xf>
    <xf numFmtId="181" fontId="8" fillId="0" borderId="4" xfId="1" applyNumberFormat="1" applyFont="1" applyFill="1" applyBorder="1" applyAlignment="1">
      <alignment horizontal="center" vertical="center" shrinkToFit="1"/>
    </xf>
    <xf numFmtId="49" fontId="8" fillId="0" borderId="0" xfId="1" applyNumberFormat="1" applyFont="1" applyFill="1" applyBorder="1" applyAlignment="1">
      <alignment horizontal="center" vertical="center" shrinkToFit="1"/>
    </xf>
    <xf numFmtId="2" fontId="8" fillId="0" borderId="5" xfId="0" applyNumberFormat="1" applyFont="1" applyFill="1" applyBorder="1" applyAlignment="1">
      <alignment horizontal="center" vertical="center" shrinkToFit="1"/>
    </xf>
    <xf numFmtId="1" fontId="8" fillId="0" borderId="5" xfId="0" applyNumberFormat="1" applyFont="1" applyFill="1" applyBorder="1" applyAlignment="1">
      <alignment horizontal="center" vertical="center" shrinkToFit="1"/>
    </xf>
    <xf numFmtId="0" fontId="8" fillId="0" borderId="5" xfId="0" quotePrefix="1" applyFont="1" applyFill="1" applyBorder="1" applyAlignment="1">
      <alignment horizontal="center" vertical="center" wrapText="1"/>
    </xf>
    <xf numFmtId="178" fontId="8" fillId="0" borderId="5" xfId="0" applyNumberFormat="1" applyFont="1" applyFill="1" applyBorder="1" applyAlignment="1">
      <alignment horizontal="center" vertical="center" shrinkToFit="1"/>
    </xf>
    <xf numFmtId="2" fontId="8" fillId="0" borderId="5" xfId="0" quotePrefix="1" applyNumberFormat="1" applyFont="1" applyFill="1" applyBorder="1" applyAlignment="1">
      <alignment horizontal="center" vertical="center" shrinkToFit="1"/>
    </xf>
    <xf numFmtId="1" fontId="8" fillId="0" borderId="5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179" fontId="8" fillId="0" borderId="5" xfId="0" applyNumberFormat="1" applyFont="1" applyFill="1" applyBorder="1" applyAlignment="1">
      <alignment horizontal="center" vertical="center" shrinkToFit="1"/>
    </xf>
    <xf numFmtId="178" fontId="8" fillId="0" borderId="5" xfId="0" quotePrefix="1" applyNumberFormat="1" applyFont="1" applyFill="1" applyBorder="1" applyAlignment="1">
      <alignment horizontal="center" vertical="center" shrinkToFit="1"/>
    </xf>
    <xf numFmtId="1" fontId="8" fillId="0" borderId="5" xfId="0" quotePrefix="1" applyNumberFormat="1" applyFont="1" applyFill="1" applyBorder="1" applyAlignment="1">
      <alignment horizontal="center" vertical="center" shrinkToFit="1"/>
    </xf>
    <xf numFmtId="177" fontId="8" fillId="0" borderId="5" xfId="0" quotePrefix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0" fontId="25" fillId="0" borderId="1" xfId="0" applyFont="1" applyFill="1" applyBorder="1"/>
    <xf numFmtId="0" fontId="25" fillId="0" borderId="1" xfId="0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 wrapText="1"/>
    </xf>
    <xf numFmtId="49" fontId="25" fillId="0" borderId="4" xfId="1" applyNumberFormat="1" applyFont="1" applyFill="1" applyBorder="1" applyAlignment="1">
      <alignment horizontal="center" vertical="center" shrinkToFit="1"/>
    </xf>
    <xf numFmtId="0" fontId="25" fillId="0" borderId="5" xfId="0" applyFont="1" applyFill="1" applyBorder="1" applyAlignment="1">
      <alignment horizontal="center" vertical="center" wrapText="1"/>
    </xf>
    <xf numFmtId="2" fontId="25" fillId="0" borderId="5" xfId="0" applyNumberFormat="1" applyFont="1" applyFill="1" applyBorder="1" applyAlignment="1">
      <alignment horizontal="center" vertical="center" shrinkToFit="1"/>
    </xf>
    <xf numFmtId="177" fontId="25" fillId="0" borderId="5" xfId="0" applyNumberFormat="1" applyFont="1" applyFill="1" applyBorder="1" applyAlignment="1">
      <alignment horizontal="center" vertical="center" shrinkToFit="1"/>
    </xf>
    <xf numFmtId="178" fontId="25" fillId="0" borderId="5" xfId="0" applyNumberFormat="1" applyFont="1" applyFill="1" applyBorder="1" applyAlignment="1">
      <alignment horizontal="center" vertical="center" shrinkToFit="1"/>
    </xf>
    <xf numFmtId="1" fontId="25" fillId="0" borderId="5" xfId="0" applyNumberFormat="1" applyFont="1" applyFill="1" applyBorder="1" applyAlignment="1">
      <alignment horizontal="center" vertical="center" shrinkToFit="1"/>
    </xf>
    <xf numFmtId="49" fontId="25" fillId="0" borderId="4" xfId="1" applyNumberFormat="1" applyFont="1" applyFill="1" applyBorder="1" applyAlignment="1">
      <alignment horizontal="center" vertical="center" wrapText="1" shrinkToFit="1"/>
    </xf>
    <xf numFmtId="0" fontId="25" fillId="0" borderId="0" xfId="0" applyFont="1" applyFill="1" applyAlignment="1">
      <alignment horizontal="center" vertical="center"/>
    </xf>
    <xf numFmtId="178" fontId="8" fillId="0" borderId="0" xfId="0" quotePrefix="1" applyNumberFormat="1" applyFont="1" applyFill="1" applyBorder="1" applyAlignment="1">
      <alignment horizontal="center" vertical="center" shrinkToFit="1"/>
    </xf>
    <xf numFmtId="49" fontId="8" fillId="0" borderId="0" xfId="1" quotePrefix="1" applyNumberFormat="1" applyFont="1" applyFill="1" applyBorder="1" applyAlignment="1">
      <alignment horizontal="center" vertical="center" shrinkToFit="1"/>
    </xf>
    <xf numFmtId="177" fontId="8" fillId="0" borderId="39" xfId="0" applyNumberFormat="1" applyFont="1" applyFill="1" applyBorder="1" applyAlignment="1">
      <alignment horizontal="center" vertical="center" shrinkToFit="1"/>
    </xf>
    <xf numFmtId="178" fontId="8" fillId="0" borderId="1" xfId="0" quotePrefix="1" applyNumberFormat="1" applyFont="1" applyFill="1" applyBorder="1" applyAlignment="1">
      <alignment horizontal="center" vertical="center" shrinkToFit="1"/>
    </xf>
    <xf numFmtId="49" fontId="8" fillId="0" borderId="1" xfId="1" quotePrefix="1" applyNumberFormat="1" applyFont="1" applyFill="1" applyBorder="1" applyAlignment="1">
      <alignment horizontal="center" vertical="center" shrinkToFit="1"/>
    </xf>
    <xf numFmtId="177" fontId="8" fillId="0" borderId="38" xfId="0" applyNumberFormat="1" applyFont="1" applyFill="1" applyBorder="1" applyAlignment="1">
      <alignment horizontal="center" vertical="center" shrinkToFit="1"/>
    </xf>
    <xf numFmtId="3" fontId="8" fillId="0" borderId="5" xfId="0" applyNumberFormat="1" applyFont="1" applyFill="1" applyBorder="1" applyAlignment="1">
      <alignment horizontal="center" vertical="center" wrapText="1"/>
    </xf>
    <xf numFmtId="0" fontId="8" fillId="0" borderId="38" xfId="0" applyFont="1" applyFill="1" applyBorder="1" applyAlignment="1">
      <alignment horizontal="center" vertical="center" wrapText="1"/>
    </xf>
    <xf numFmtId="183" fontId="8" fillId="0" borderId="5" xfId="0" applyNumberFormat="1" applyFont="1" applyFill="1" applyBorder="1" applyAlignment="1">
      <alignment horizontal="center" vertical="center" shrinkToFit="1"/>
    </xf>
    <xf numFmtId="2" fontId="8" fillId="0" borderId="0" xfId="0" applyNumberFormat="1" applyFont="1" applyFill="1" applyBorder="1" applyAlignment="1">
      <alignment horizontal="center" vertical="center" shrinkToFit="1"/>
    </xf>
    <xf numFmtId="1" fontId="8" fillId="0" borderId="0" xfId="0" applyNumberFormat="1" applyFont="1" applyFill="1" applyBorder="1" applyAlignment="1">
      <alignment horizontal="center" vertical="center" shrinkToFit="1"/>
    </xf>
    <xf numFmtId="177" fontId="8" fillId="0" borderId="0" xfId="0" applyNumberFormat="1" applyFont="1" applyFill="1" applyBorder="1" applyAlignment="1">
      <alignment horizontal="center" vertical="center" shrinkToFit="1"/>
    </xf>
    <xf numFmtId="185" fontId="8" fillId="0" borderId="4" xfId="1" applyNumberFormat="1" applyFont="1" applyFill="1" applyBorder="1" applyAlignment="1">
      <alignment horizontal="center" vertical="center" shrinkToFit="1"/>
    </xf>
    <xf numFmtId="1" fontId="8" fillId="0" borderId="2" xfId="0" applyNumberFormat="1" applyFont="1" applyFill="1" applyBorder="1" applyAlignment="1">
      <alignment horizontal="center" vertical="center" shrinkToFit="1"/>
    </xf>
    <xf numFmtId="184" fontId="8" fillId="0" borderId="4" xfId="1" applyNumberFormat="1" applyFont="1" applyFill="1" applyBorder="1" applyAlignment="1">
      <alignment horizontal="center" vertical="center" shrinkToFit="1"/>
    </xf>
    <xf numFmtId="179" fontId="25" fillId="0" borderId="5" xfId="0" applyNumberFormat="1" applyFont="1" applyFill="1" applyBorder="1" applyAlignment="1">
      <alignment horizontal="center" vertical="center" shrinkToFit="1"/>
    </xf>
    <xf numFmtId="0" fontId="25" fillId="0" borderId="4" xfId="0" applyFont="1" applyFill="1" applyBorder="1" applyAlignment="1">
      <alignment horizontal="center" vertical="center"/>
    </xf>
    <xf numFmtId="177" fontId="8" fillId="0" borderId="40" xfId="0" applyNumberFormat="1" applyFont="1" applyFill="1" applyBorder="1" applyAlignment="1">
      <alignment horizontal="center" vertical="center" shrinkToFit="1"/>
    </xf>
    <xf numFmtId="178" fontId="8" fillId="0" borderId="40" xfId="0" applyNumberFormat="1" applyFont="1" applyFill="1" applyBorder="1" applyAlignment="1">
      <alignment horizontal="center" vertical="center" shrinkToFit="1"/>
    </xf>
    <xf numFmtId="0" fontId="8" fillId="0" borderId="41" xfId="0" applyFont="1" applyFill="1" applyBorder="1" applyAlignment="1">
      <alignment horizontal="center" vertical="center" wrapText="1"/>
    </xf>
    <xf numFmtId="178" fontId="8" fillId="0" borderId="38" xfId="0" applyNumberFormat="1" applyFont="1" applyFill="1" applyBorder="1" applyAlignment="1">
      <alignment horizontal="center" vertical="center" shrinkToFit="1"/>
    </xf>
    <xf numFmtId="2" fontId="8" fillId="0" borderId="13" xfId="0" applyNumberFormat="1" applyFont="1" applyFill="1" applyBorder="1" applyAlignment="1">
      <alignment horizontal="center" vertical="center" shrinkToFit="1"/>
    </xf>
    <xf numFmtId="2" fontId="8" fillId="0" borderId="4" xfId="0" applyNumberFormat="1" applyFont="1" applyFill="1" applyBorder="1" applyAlignment="1">
      <alignment horizontal="center" vertical="center" shrinkToFit="1"/>
    </xf>
    <xf numFmtId="178" fontId="8" fillId="0" borderId="4" xfId="0" applyNumberFormat="1" applyFont="1" applyFill="1" applyBorder="1" applyAlignment="1">
      <alignment horizontal="center" vertical="center" shrinkToFit="1"/>
    </xf>
    <xf numFmtId="0" fontId="25" fillId="0" borderId="1" xfId="0" quotePrefix="1" applyFont="1" applyFill="1" applyBorder="1" applyAlignment="1">
      <alignment horizontal="center"/>
    </xf>
    <xf numFmtId="0" fontId="25" fillId="0" borderId="12" xfId="0" quotePrefix="1" applyFont="1" applyFill="1" applyBorder="1" applyAlignment="1">
      <alignment horizontal="center"/>
    </xf>
    <xf numFmtId="0" fontId="25" fillId="0" borderId="11" xfId="0" quotePrefix="1" applyFont="1" applyFill="1" applyBorder="1" applyAlignment="1">
      <alignment horizontal="center"/>
    </xf>
    <xf numFmtId="177" fontId="8" fillId="0" borderId="4" xfId="0" applyNumberFormat="1" applyFont="1" applyFill="1" applyBorder="1" applyAlignment="1">
      <alignment horizontal="center" vertical="center" shrinkToFit="1"/>
    </xf>
    <xf numFmtId="2" fontId="25" fillId="0" borderId="5" xfId="0" applyNumberFormat="1" applyFont="1" applyFill="1" applyBorder="1" applyAlignment="1">
      <alignment horizontal="center" vertical="center" wrapText="1"/>
    </xf>
    <xf numFmtId="49" fontId="25" fillId="0" borderId="5" xfId="1" applyNumberFormat="1" applyFont="1" applyFill="1" applyBorder="1" applyAlignment="1">
      <alignment horizontal="center" vertical="center" shrinkToFit="1"/>
    </xf>
    <xf numFmtId="2" fontId="25" fillId="0" borderId="4" xfId="1" applyNumberFormat="1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wrapText="1"/>
    </xf>
    <xf numFmtId="2" fontId="16" fillId="2" borderId="4" xfId="0" applyNumberFormat="1" applyFont="1" applyFill="1" applyBorder="1" applyAlignment="1">
      <alignment horizontal="center" vertical="center" shrinkToFit="1"/>
    </xf>
    <xf numFmtId="177" fontId="16" fillId="2" borderId="4" xfId="0" applyNumberFormat="1" applyFont="1" applyFill="1" applyBorder="1" applyAlignment="1">
      <alignment horizontal="center" vertical="center" shrinkToFit="1"/>
    </xf>
    <xf numFmtId="179" fontId="16" fillId="2" borderId="4" xfId="0" applyNumberFormat="1" applyFont="1" applyFill="1" applyBorder="1" applyAlignment="1">
      <alignment horizontal="center" vertical="center" shrinkToFit="1"/>
    </xf>
    <xf numFmtId="1" fontId="16" fillId="2" borderId="4" xfId="0" applyNumberFormat="1" applyFont="1" applyFill="1" applyBorder="1" applyAlignment="1">
      <alignment horizontal="center" vertical="center" shrinkToFit="1"/>
    </xf>
    <xf numFmtId="180" fontId="16" fillId="2" borderId="5" xfId="0" applyNumberFormat="1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/>
    </xf>
    <xf numFmtId="182" fontId="16" fillId="2" borderId="0" xfId="1" applyNumberFormat="1" applyFont="1" applyFill="1" applyBorder="1" applyAlignment="1">
      <alignment horizontal="center" vertical="center" shrinkToFit="1"/>
    </xf>
    <xf numFmtId="0" fontId="16" fillId="2" borderId="5" xfId="0" quotePrefix="1" applyFont="1" applyFill="1" applyBorder="1" applyAlignment="1">
      <alignment horizontal="center" vertical="center" wrapText="1"/>
    </xf>
    <xf numFmtId="1" fontId="16" fillId="2" borderId="5" xfId="0" applyNumberFormat="1" applyFont="1" applyFill="1" applyBorder="1" applyAlignment="1">
      <alignment horizontal="center" vertical="center" wrapText="1"/>
    </xf>
    <xf numFmtId="186" fontId="16" fillId="2" borderId="4" xfId="1" applyNumberFormat="1" applyFont="1" applyFill="1" applyBorder="1" applyAlignment="1">
      <alignment horizontal="center" vertical="center" shrinkToFit="1"/>
    </xf>
    <xf numFmtId="49" fontId="16" fillId="2" borderId="0" xfId="1" applyNumberFormat="1" applyFont="1" applyFill="1" applyBorder="1" applyAlignment="1">
      <alignment horizontal="center" vertical="center" shrinkToFit="1"/>
    </xf>
    <xf numFmtId="2" fontId="16" fillId="2" borderId="5" xfId="0" quotePrefix="1" applyNumberFormat="1" applyFont="1" applyFill="1" applyBorder="1" applyAlignment="1">
      <alignment horizontal="center" vertical="center" shrinkToFit="1"/>
    </xf>
    <xf numFmtId="49" fontId="16" fillId="2" borderId="4" xfId="1" quotePrefix="1" applyNumberFormat="1" applyFont="1" applyFill="1" applyBorder="1" applyAlignment="1">
      <alignment horizontal="center" vertical="center" shrinkToFit="1"/>
    </xf>
    <xf numFmtId="180" fontId="11" fillId="2" borderId="5" xfId="0" applyNumberFormat="1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/>
    </xf>
    <xf numFmtId="0" fontId="8" fillId="4" borderId="0" xfId="0" applyFont="1" applyFill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quotePrefix="1" applyFont="1" applyFill="1" applyBorder="1" applyAlignment="1">
      <alignment horizontal="center"/>
    </xf>
    <xf numFmtId="49" fontId="8" fillId="4" borderId="4" xfId="1" applyNumberFormat="1" applyFont="1" applyFill="1" applyBorder="1" applyAlignment="1">
      <alignment horizontal="center" vertical="center" shrinkToFit="1"/>
    </xf>
    <xf numFmtId="0" fontId="11" fillId="4" borderId="5" xfId="0" applyFont="1" applyFill="1" applyBorder="1" applyAlignment="1">
      <alignment horizontal="center" vertical="center" wrapText="1"/>
    </xf>
    <xf numFmtId="49" fontId="11" fillId="4" borderId="4" xfId="1" applyNumberFormat="1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center" shrinkToFit="1"/>
    </xf>
    <xf numFmtId="2" fontId="8" fillId="4" borderId="5" xfId="0" applyNumberFormat="1" applyFont="1" applyFill="1" applyBorder="1" applyAlignment="1">
      <alignment horizontal="center" vertical="center" shrinkToFit="1"/>
    </xf>
    <xf numFmtId="177" fontId="11" fillId="4" borderId="5" xfId="0" applyNumberFormat="1" applyFont="1" applyFill="1" applyBorder="1" applyAlignment="1">
      <alignment horizontal="center" vertical="center" shrinkToFit="1"/>
    </xf>
    <xf numFmtId="179" fontId="8" fillId="4" borderId="5" xfId="0" applyNumberFormat="1" applyFont="1" applyFill="1" applyBorder="1" applyAlignment="1">
      <alignment horizontal="center" vertical="center" shrinkToFit="1"/>
    </xf>
    <xf numFmtId="178" fontId="11" fillId="4" borderId="5" xfId="0" applyNumberFormat="1" applyFont="1" applyFill="1" applyBorder="1" applyAlignment="1">
      <alignment horizontal="center" vertical="center" shrinkToFit="1"/>
    </xf>
    <xf numFmtId="0" fontId="8" fillId="4" borderId="12" xfId="0" quotePrefix="1" applyFont="1" applyFill="1" applyBorder="1" applyAlignment="1">
      <alignment horizontal="center"/>
    </xf>
    <xf numFmtId="0" fontId="8" fillId="4" borderId="11" xfId="0" quotePrefix="1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11" fillId="4" borderId="0" xfId="0" applyFont="1" applyFill="1"/>
    <xf numFmtId="0" fontId="11" fillId="4" borderId="2" xfId="0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/>
    </xf>
    <xf numFmtId="0" fontId="8" fillId="0" borderId="39" xfId="0" applyFont="1" applyFill="1" applyBorder="1" applyAlignment="1">
      <alignment horizontal="center" vertical="center" wrapText="1"/>
    </xf>
    <xf numFmtId="0" fontId="25" fillId="0" borderId="38" xfId="0" applyFont="1" applyFill="1" applyBorder="1" applyAlignment="1">
      <alignment horizontal="center" vertical="center" wrapText="1"/>
    </xf>
    <xf numFmtId="1" fontId="26" fillId="2" borderId="4" xfId="0" applyNumberFormat="1" applyFont="1" applyFill="1" applyBorder="1" applyAlignment="1">
      <alignment horizontal="center" vertical="center"/>
    </xf>
    <xf numFmtId="2" fontId="26" fillId="2" borderId="4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/>
    </xf>
    <xf numFmtId="49" fontId="11" fillId="3" borderId="4" xfId="1" applyNumberFormat="1" applyFont="1" applyFill="1" applyBorder="1" applyAlignment="1">
      <alignment horizontal="center" vertical="center" shrinkToFit="1"/>
    </xf>
    <xf numFmtId="0" fontId="11" fillId="3" borderId="5" xfId="0" applyFont="1" applyFill="1" applyBorder="1" applyAlignment="1">
      <alignment horizontal="center" vertical="center" wrapText="1"/>
    </xf>
    <xf numFmtId="2" fontId="11" fillId="3" borderId="5" xfId="0" applyNumberFormat="1" applyFont="1" applyFill="1" applyBorder="1" applyAlignment="1">
      <alignment horizontal="center" vertical="center" shrinkToFit="1"/>
    </xf>
    <xf numFmtId="177" fontId="11" fillId="3" borderId="5" xfId="0" applyNumberFormat="1" applyFont="1" applyFill="1" applyBorder="1" applyAlignment="1">
      <alignment horizontal="center" vertical="center" shrinkToFit="1"/>
    </xf>
    <xf numFmtId="179" fontId="11" fillId="3" borderId="5" xfId="0" applyNumberFormat="1" applyFont="1" applyFill="1" applyBorder="1" applyAlignment="1">
      <alignment horizontal="center" vertical="center" shrinkToFit="1"/>
    </xf>
    <xf numFmtId="178" fontId="11" fillId="3" borderId="5" xfId="0" applyNumberFormat="1" applyFont="1" applyFill="1" applyBorder="1" applyAlignment="1">
      <alignment horizontal="center" vertical="center" shrinkToFit="1"/>
    </xf>
    <xf numFmtId="1" fontId="11" fillId="3" borderId="5" xfId="0" applyNumberFormat="1" applyFont="1" applyFill="1" applyBorder="1" applyAlignment="1">
      <alignment horizontal="center" vertical="center" shrinkToFit="1"/>
    </xf>
    <xf numFmtId="0" fontId="11" fillId="3" borderId="12" xfId="0" quotePrefix="1" applyFont="1" applyFill="1" applyBorder="1" applyAlignment="1">
      <alignment horizontal="center"/>
    </xf>
    <xf numFmtId="0" fontId="11" fillId="3" borderId="11" xfId="0" quotePrefix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2" fontId="11" fillId="4" borderId="5" xfId="0" applyNumberFormat="1" applyFont="1" applyFill="1" applyBorder="1" applyAlignment="1">
      <alignment horizontal="center" vertical="center" shrinkToFit="1"/>
    </xf>
    <xf numFmtId="1" fontId="11" fillId="4" borderId="5" xfId="0" applyNumberFormat="1" applyFont="1" applyFill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shrinkToFit="1"/>
    </xf>
    <xf numFmtId="0" fontId="16" fillId="4" borderId="5" xfId="0" quotePrefix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1" fillId="4" borderId="5" xfId="0" quotePrefix="1" applyFont="1" applyFill="1" applyBorder="1" applyAlignment="1">
      <alignment horizontal="center" vertical="center" wrapText="1"/>
    </xf>
    <xf numFmtId="2" fontId="11" fillId="4" borderId="5" xfId="0" quotePrefix="1" applyNumberFormat="1" applyFont="1" applyFill="1" applyBorder="1" applyAlignment="1">
      <alignment horizontal="center" vertical="center" shrinkToFit="1"/>
    </xf>
    <xf numFmtId="49" fontId="11" fillId="4" borderId="4" xfId="1" quotePrefix="1" applyNumberFormat="1" applyFont="1" applyFill="1" applyBorder="1" applyAlignment="1">
      <alignment horizontal="center" vertical="center" shrinkToFit="1"/>
    </xf>
    <xf numFmtId="2" fontId="11" fillId="5" borderId="5" xfId="0" applyNumberFormat="1" applyFont="1" applyFill="1" applyBorder="1" applyAlignment="1">
      <alignment horizontal="center" vertical="center" shrinkToFit="1"/>
    </xf>
    <xf numFmtId="49" fontId="8" fillId="5" borderId="4" xfId="1" applyNumberFormat="1" applyFont="1" applyFill="1" applyBorder="1" applyAlignment="1">
      <alignment horizontal="center" vertical="center" shrinkToFit="1"/>
    </xf>
    <xf numFmtId="0" fontId="0" fillId="0" borderId="0" xfId="0" applyFill="1"/>
    <xf numFmtId="177" fontId="11" fillId="4" borderId="5" xfId="0" applyNumberFormat="1" applyFont="1" applyFill="1" applyBorder="1" applyAlignment="1">
      <alignment horizontal="center" vertical="center" wrapText="1"/>
    </xf>
    <xf numFmtId="2" fontId="8" fillId="5" borderId="5" xfId="0" applyNumberFormat="1" applyFont="1" applyFill="1" applyBorder="1" applyAlignment="1">
      <alignment horizontal="center" vertical="center" shrinkToFi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4" xfId="1" quotePrefix="1" applyNumberFormat="1" applyFont="1" applyFill="1" applyBorder="1" applyAlignment="1">
      <alignment horizontal="center" vertical="center" shrinkToFit="1"/>
    </xf>
    <xf numFmtId="0" fontId="8" fillId="5" borderId="4" xfId="1" applyNumberFormat="1" applyFont="1" applyFill="1" applyBorder="1" applyAlignment="1">
      <alignment horizontal="center" vertical="center" shrinkToFit="1"/>
    </xf>
    <xf numFmtId="1" fontId="8" fillId="5" borderId="5" xfId="0" applyNumberFormat="1" applyFont="1" applyFill="1" applyBorder="1" applyAlignment="1">
      <alignment horizontal="center" vertical="center" wrapText="1"/>
    </xf>
    <xf numFmtId="181" fontId="8" fillId="5" borderId="4" xfId="1" applyNumberFormat="1" applyFont="1" applyFill="1" applyBorder="1" applyAlignment="1">
      <alignment horizontal="center" vertical="center" shrinkToFit="1"/>
    </xf>
    <xf numFmtId="49" fontId="8" fillId="5" borderId="4" xfId="1" applyNumberFormat="1" applyFont="1" applyFill="1" applyBorder="1" applyAlignment="1">
      <alignment horizontal="center" vertical="center" wrapText="1" shrinkToFi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4" xfId="1" applyNumberFormat="1" applyFont="1" applyFill="1" applyBorder="1" applyAlignment="1">
      <alignment horizontal="center" vertical="center" shrinkToFit="1"/>
    </xf>
    <xf numFmtId="182" fontId="11" fillId="5" borderId="0" xfId="1" applyNumberFormat="1" applyFont="1" applyFill="1" applyBorder="1" applyAlignment="1">
      <alignment horizontal="center" vertical="center" shrinkToFit="1"/>
    </xf>
    <xf numFmtId="1" fontId="8" fillId="5" borderId="5" xfId="0" applyNumberFormat="1" applyFont="1" applyFill="1" applyBorder="1" applyAlignment="1">
      <alignment horizontal="center" vertical="center" shrinkToFit="1"/>
    </xf>
    <xf numFmtId="1" fontId="8" fillId="5" borderId="38" xfId="0" applyNumberFormat="1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2" fontId="8" fillId="5" borderId="5" xfId="0" applyNumberFormat="1" applyFont="1" applyFill="1" applyBorder="1" applyAlignment="1">
      <alignment horizontal="center" vertical="center" wrapText="1"/>
    </xf>
    <xf numFmtId="182" fontId="0" fillId="0" borderId="0" xfId="0" applyNumberFormat="1"/>
    <xf numFmtId="182" fontId="11" fillId="2" borderId="4" xfId="1" applyNumberFormat="1" applyFont="1" applyFill="1" applyBorder="1" applyAlignment="1">
      <alignment horizontal="center" vertical="center" shrinkToFit="1"/>
    </xf>
    <xf numFmtId="0" fontId="11" fillId="3" borderId="5" xfId="2" applyFont="1" applyFill="1" applyBorder="1" applyAlignment="1">
      <alignment horizontal="center" vertical="center" wrapText="1"/>
    </xf>
    <xf numFmtId="1" fontId="11" fillId="3" borderId="5" xfId="2" quotePrefix="1" applyNumberFormat="1" applyFont="1" applyFill="1" applyBorder="1" applyAlignment="1">
      <alignment horizontal="center" vertical="center" shrinkToFit="1"/>
    </xf>
    <xf numFmtId="177" fontId="11" fillId="3" borderId="5" xfId="2" applyNumberFormat="1" applyFont="1" applyFill="1" applyBorder="1" applyAlignment="1">
      <alignment horizontal="center" vertical="center" shrinkToFit="1"/>
    </xf>
    <xf numFmtId="185" fontId="11" fillId="3" borderId="4" xfId="1" applyNumberFormat="1" applyFont="1" applyFill="1" applyBorder="1" applyAlignment="1">
      <alignment horizontal="center" vertical="center" shrinkToFit="1"/>
    </xf>
    <xf numFmtId="2" fontId="11" fillId="3" borderId="5" xfId="2" applyNumberFormat="1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 vertical="center" shrinkToFit="1"/>
    </xf>
    <xf numFmtId="178" fontId="11" fillId="3" borderId="5" xfId="2" applyNumberFormat="1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 vertical="center" wrapText="1"/>
    </xf>
    <xf numFmtId="0" fontId="28" fillId="0" borderId="0" xfId="0" applyFont="1"/>
    <xf numFmtId="0" fontId="28" fillId="3" borderId="0" xfId="0" applyFont="1" applyFill="1"/>
    <xf numFmtId="0" fontId="28" fillId="5" borderId="0" xfId="0" applyFont="1" applyFill="1"/>
    <xf numFmtId="14" fontId="28" fillId="0" borderId="0" xfId="0" applyNumberFormat="1" applyFont="1"/>
    <xf numFmtId="0" fontId="28" fillId="4" borderId="0" xfId="0" applyFont="1" applyFill="1"/>
    <xf numFmtId="0" fontId="28" fillId="2" borderId="0" xfId="0" applyFont="1" applyFill="1"/>
    <xf numFmtId="182" fontId="8" fillId="5" borderId="0" xfId="1" applyNumberFormat="1" applyFont="1" applyFill="1" applyBorder="1" applyAlignment="1">
      <alignment horizontal="center" vertical="center" shrinkToFit="1"/>
    </xf>
    <xf numFmtId="49" fontId="8" fillId="5" borderId="4" xfId="1" quotePrefix="1" applyNumberFormat="1" applyFont="1" applyFill="1" applyBorder="1" applyAlignment="1">
      <alignment horizontal="center" vertical="center" shrinkToFit="1"/>
    </xf>
    <xf numFmtId="2" fontId="8" fillId="5" borderId="5" xfId="0" quotePrefix="1" applyNumberFormat="1" applyFont="1" applyFill="1" applyBorder="1" applyAlignment="1">
      <alignment horizontal="center" vertical="center" shrinkToFit="1"/>
    </xf>
    <xf numFmtId="49" fontId="11" fillId="5" borderId="4" xfId="1" applyNumberFormat="1" applyFont="1" applyFill="1" applyBorder="1" applyAlignment="1">
      <alignment horizontal="center" vertical="center" shrinkToFit="1"/>
    </xf>
    <xf numFmtId="1" fontId="11" fillId="5" borderId="39" xfId="0" applyNumberFormat="1" applyFont="1" applyFill="1" applyBorder="1" applyAlignment="1">
      <alignment horizontal="center" vertical="center" wrapText="1"/>
    </xf>
    <xf numFmtId="0" fontId="11" fillId="5" borderId="39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49" fontId="16" fillId="5" borderId="4" xfId="1" applyNumberFormat="1" applyFont="1" applyFill="1" applyBorder="1" applyAlignment="1">
      <alignment horizontal="center" vertical="center" shrinkToFit="1"/>
    </xf>
    <xf numFmtId="0" fontId="16" fillId="5" borderId="5" xfId="0" applyFont="1" applyFill="1" applyBorder="1" applyAlignment="1">
      <alignment horizontal="center" vertical="center" wrapText="1"/>
    </xf>
    <xf numFmtId="1" fontId="16" fillId="5" borderId="5" xfId="0" applyNumberFormat="1" applyFont="1" applyFill="1" applyBorder="1" applyAlignment="1">
      <alignment horizontal="center" vertical="center" shrinkToFit="1"/>
    </xf>
    <xf numFmtId="2" fontId="16" fillId="5" borderId="5" xfId="0" applyNumberFormat="1" applyFont="1" applyFill="1" applyBorder="1" applyAlignment="1">
      <alignment horizontal="center" vertical="center" shrinkToFit="1"/>
    </xf>
    <xf numFmtId="177" fontId="16" fillId="5" borderId="5" xfId="0" applyNumberFormat="1" applyFont="1" applyFill="1" applyBorder="1" applyAlignment="1">
      <alignment horizontal="center" vertical="center" shrinkToFit="1"/>
    </xf>
    <xf numFmtId="1" fontId="16" fillId="5" borderId="2" xfId="0" applyNumberFormat="1" applyFont="1" applyFill="1" applyBorder="1" applyAlignment="1">
      <alignment horizontal="center" vertical="center" shrinkToFit="1"/>
    </xf>
    <xf numFmtId="0" fontId="16" fillId="5" borderId="0" xfId="0" applyFont="1" applyFill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1" fontId="11" fillId="6" borderId="5" xfId="0" applyNumberFormat="1" applyFont="1" applyFill="1" applyBorder="1" applyAlignment="1">
      <alignment horizontal="center" vertical="center" shrinkToFit="1"/>
    </xf>
    <xf numFmtId="0" fontId="28" fillId="6" borderId="0" xfId="0" applyFont="1" applyFill="1"/>
    <xf numFmtId="0" fontId="16" fillId="6" borderId="2" xfId="0" applyFont="1" applyFill="1" applyBorder="1" applyAlignment="1">
      <alignment horizontal="center" vertical="center" wrapText="1"/>
    </xf>
    <xf numFmtId="49" fontId="16" fillId="6" borderId="4" xfId="1" applyNumberFormat="1" applyFont="1" applyFill="1" applyBorder="1" applyAlignment="1">
      <alignment horizontal="center" vertical="center" shrinkToFit="1"/>
    </xf>
    <xf numFmtId="0" fontId="16" fillId="6" borderId="5" xfId="0" applyFont="1" applyFill="1" applyBorder="1" applyAlignment="1">
      <alignment horizontal="center" vertical="center" wrapText="1"/>
    </xf>
    <xf numFmtId="49" fontId="16" fillId="6" borderId="5" xfId="1" applyNumberFormat="1" applyFont="1" applyFill="1" applyBorder="1" applyAlignment="1">
      <alignment horizontal="center" vertical="center" shrinkToFit="1"/>
    </xf>
    <xf numFmtId="177" fontId="16" fillId="6" borderId="5" xfId="0" applyNumberFormat="1" applyFont="1" applyFill="1" applyBorder="1" applyAlignment="1">
      <alignment horizontal="center" vertical="center" shrinkToFit="1"/>
    </xf>
    <xf numFmtId="2" fontId="16" fillId="6" borderId="5" xfId="0" applyNumberFormat="1" applyFont="1" applyFill="1" applyBorder="1" applyAlignment="1">
      <alignment horizontal="center" vertical="center" shrinkToFit="1"/>
    </xf>
    <xf numFmtId="0" fontId="16" fillId="6" borderId="0" xfId="0" applyFont="1" applyFill="1" applyAlignment="1">
      <alignment horizontal="center" vertical="center"/>
    </xf>
    <xf numFmtId="0" fontId="16" fillId="6" borderId="0" xfId="0" applyFont="1" applyFill="1"/>
    <xf numFmtId="1" fontId="11" fillId="5" borderId="5" xfId="0" applyNumberFormat="1" applyFont="1" applyFill="1" applyBorder="1" applyAlignment="1">
      <alignment horizontal="center" vertical="center" shrinkToFit="1"/>
    </xf>
    <xf numFmtId="49" fontId="11" fillId="6" borderId="4" xfId="1" applyNumberFormat="1" applyFont="1" applyFill="1" applyBorder="1" applyAlignment="1">
      <alignment horizontal="center" vertical="center" shrinkToFit="1"/>
    </xf>
    <xf numFmtId="0" fontId="3" fillId="0" borderId="42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wrapText="1"/>
    </xf>
    <xf numFmtId="0" fontId="8" fillId="0" borderId="37" xfId="0" applyFont="1" applyFill="1" applyBorder="1" applyAlignment="1">
      <alignment horizontal="center"/>
    </xf>
    <xf numFmtId="0" fontId="23" fillId="0" borderId="17" xfId="5" applyFont="1" applyBorder="1" applyAlignment="1">
      <alignment horizontal="center" vertical="center" wrapText="1"/>
    </xf>
    <xf numFmtId="0" fontId="23" fillId="0" borderId="22" xfId="5" applyFont="1" applyBorder="1" applyAlignment="1">
      <alignment horizontal="center" vertical="center" wrapText="1"/>
    </xf>
    <xf numFmtId="0" fontId="23" fillId="0" borderId="33" xfId="5" applyFont="1" applyBorder="1" applyAlignment="1">
      <alignment horizontal="center" vertical="center" wrapText="1"/>
    </xf>
    <xf numFmtId="0" fontId="23" fillId="0" borderId="14" xfId="5" applyFont="1" applyBorder="1" applyAlignment="1">
      <alignment horizontal="center" vertical="center"/>
    </xf>
    <xf numFmtId="0" fontId="23" fillId="0" borderId="20" xfId="5" applyFont="1" applyBorder="1" applyAlignment="1">
      <alignment horizontal="center" vertical="center"/>
    </xf>
    <xf numFmtId="0" fontId="23" fillId="0" borderId="23" xfId="5" applyFont="1" applyBorder="1" applyAlignment="1">
      <alignment horizontal="center" vertical="center"/>
    </xf>
    <xf numFmtId="0" fontId="23" fillId="0" borderId="15" xfId="5" applyFont="1" applyBorder="1" applyAlignment="1">
      <alignment horizontal="center" vertical="center" wrapText="1"/>
    </xf>
    <xf numFmtId="0" fontId="23" fillId="0" borderId="16" xfId="5" applyFont="1" applyBorder="1" applyAlignment="1">
      <alignment horizontal="center" vertical="center" wrapText="1"/>
    </xf>
    <xf numFmtId="0" fontId="23" fillId="0" borderId="21" xfId="5" applyFont="1" applyBorder="1" applyAlignment="1">
      <alignment horizontal="center" vertical="center" wrapText="1"/>
    </xf>
    <xf numFmtId="0" fontId="23" fillId="0" borderId="0" xfId="5" applyFont="1" applyBorder="1" applyAlignment="1">
      <alignment horizontal="center" vertical="center" wrapText="1"/>
    </xf>
    <xf numFmtId="0" fontId="23" fillId="0" borderId="24" xfId="5" applyFont="1" applyBorder="1" applyAlignment="1">
      <alignment horizontal="center" vertical="center" wrapText="1"/>
    </xf>
    <xf numFmtId="0" fontId="23" fillId="0" borderId="25" xfId="5" applyFont="1" applyBorder="1" applyAlignment="1">
      <alignment horizontal="center" vertical="center" wrapText="1"/>
    </xf>
    <xf numFmtId="0" fontId="23" fillId="0" borderId="31" xfId="5" applyFont="1" applyBorder="1" applyAlignment="1">
      <alignment horizontal="center" vertical="center" wrapText="1"/>
    </xf>
    <xf numFmtId="0" fontId="23" fillId="0" borderId="30" xfId="5" applyFont="1" applyBorder="1" applyAlignment="1">
      <alignment horizontal="center" vertical="center" wrapText="1"/>
    </xf>
    <xf numFmtId="0" fontId="23" fillId="0" borderId="26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/>
    </xf>
    <xf numFmtId="0" fontId="23" fillId="0" borderId="19" xfId="5" applyFont="1" applyBorder="1" applyAlignment="1">
      <alignment horizontal="center" vertical="center"/>
    </xf>
    <xf numFmtId="0" fontId="23" fillId="0" borderId="36" xfId="5" applyFont="1" applyBorder="1" applyAlignment="1">
      <alignment horizontal="center" vertical="center"/>
    </xf>
  </cellXfs>
  <cellStyles count="7">
    <cellStyle name="쉼표 [0]" xfId="4" builtinId="6"/>
    <cellStyle name="표준" xfId="0" builtinId="0"/>
    <cellStyle name="표준 2" xfId="2"/>
    <cellStyle name="표준 2 2" xfId="3"/>
    <cellStyle name="표준 3" xfId="1"/>
    <cellStyle name="표준 3 2" xfId="5"/>
    <cellStyle name="표준 3 48" xfId="6"/>
  </cellStyles>
  <dxfs count="0"/>
  <tableStyles count="0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M318"/>
  <sheetViews>
    <sheetView tabSelected="1" view="pageBreakPreview" topLeftCell="E1" zoomScale="55" zoomScaleNormal="85" zoomScaleSheetLayoutView="55" workbookViewId="0">
      <pane ySplit="3" topLeftCell="A4" activePane="bottomLeft" state="frozen"/>
      <selection pane="bottomLeft" activeCell="V11" sqref="V11"/>
    </sheetView>
  </sheetViews>
  <sheetFormatPr defaultRowHeight="17.399999999999999" x14ac:dyDescent="0.4"/>
  <cols>
    <col min="1" max="2" width="9" hidden="1" customWidth="1"/>
    <col min="3" max="3" width="7.69921875" hidden="1" customWidth="1"/>
    <col min="4" max="4" width="8.69921875" hidden="1" customWidth="1"/>
    <col min="5" max="5" width="15.8984375" style="1" bestFit="1" customWidth="1"/>
    <col min="6" max="6" width="7.19921875" hidden="1" customWidth="1"/>
    <col min="7" max="7" width="6" hidden="1" customWidth="1"/>
    <col min="8" max="8" width="21.3984375" hidden="1" customWidth="1"/>
    <col min="9" max="9" width="22.8984375" style="1" bestFit="1" customWidth="1"/>
    <col min="10" max="10" width="14" hidden="1" customWidth="1"/>
    <col min="11" max="11" width="15.59765625" hidden="1" customWidth="1"/>
    <col min="12" max="12" width="17" hidden="1" customWidth="1"/>
    <col min="13" max="13" width="10.8984375" hidden="1" customWidth="1"/>
    <col min="14" max="14" width="25.69921875" hidden="1" customWidth="1"/>
    <col min="15" max="15" width="21.19921875" hidden="1" customWidth="1"/>
    <col min="16" max="16" width="17.3984375" hidden="1" customWidth="1"/>
    <col min="17" max="17" width="27.59765625" bestFit="1" customWidth="1"/>
    <col min="18" max="18" width="15.69921875" bestFit="1" customWidth="1"/>
    <col min="19" max="19" width="20.59765625" customWidth="1"/>
    <col min="20" max="20" width="19.59765625" customWidth="1"/>
    <col min="21" max="21" width="20.09765625" customWidth="1"/>
    <col min="22" max="22" width="20.19921875" customWidth="1"/>
    <col min="23" max="23" width="15.09765625" bestFit="1" customWidth="1"/>
    <col min="24" max="24" width="16.59765625" bestFit="1" customWidth="1"/>
    <col min="25" max="25" width="16.19921875" bestFit="1" customWidth="1"/>
    <col min="26" max="26" width="16.8984375" bestFit="1" customWidth="1"/>
    <col min="27" max="30" width="16.8984375" customWidth="1"/>
    <col min="31" max="31" width="16" bestFit="1" customWidth="1"/>
    <col min="32" max="32" width="16.5" bestFit="1" customWidth="1"/>
    <col min="33" max="33" width="16.69921875" customWidth="1"/>
    <col min="34" max="34" width="16.8984375" bestFit="1" customWidth="1"/>
    <col min="35" max="35" width="19.59765625" hidden="1" customWidth="1"/>
    <col min="36" max="36" width="24.5" hidden="1" customWidth="1"/>
    <col min="37" max="37" width="24.8984375" hidden="1" customWidth="1"/>
    <col min="38" max="38" width="25" hidden="1" customWidth="1"/>
    <col min="39" max="39" width="19.19921875" customWidth="1"/>
    <col min="40" max="40" width="22.3984375" hidden="1" customWidth="1"/>
    <col min="41" max="41" width="22.09765625" customWidth="1"/>
    <col min="42" max="42" width="24.3984375" hidden="1" customWidth="1"/>
    <col min="43" max="43" width="21.8984375" hidden="1" customWidth="1"/>
    <col min="44" max="44" width="21.09765625" hidden="1" customWidth="1"/>
    <col min="45" max="45" width="21.19921875" hidden="1" customWidth="1"/>
    <col min="46" max="46" width="21.59765625" hidden="1" customWidth="1"/>
    <col min="47" max="47" width="21.19921875" hidden="1" customWidth="1"/>
    <col min="48" max="48" width="21.3984375" hidden="1" customWidth="1"/>
    <col min="49" max="49" width="21.69921875" hidden="1" customWidth="1"/>
    <col min="50" max="50" width="12.69921875" hidden="1" customWidth="1"/>
    <col min="51" max="51" width="29.59765625" hidden="1" customWidth="1"/>
    <col min="52" max="52" width="29.69921875" hidden="1" customWidth="1"/>
    <col min="53" max="53" width="30" hidden="1" customWidth="1"/>
    <col min="54" max="59" width="16.8984375" customWidth="1"/>
    <col min="60" max="60" width="25.8984375" hidden="1" customWidth="1"/>
    <col min="61" max="61" width="25.59765625" hidden="1" customWidth="1"/>
    <col min="62" max="62" width="25.8984375" hidden="1" customWidth="1"/>
    <col min="63" max="63" width="37.69921875" hidden="1" customWidth="1"/>
    <col min="64" max="64" width="37" hidden="1" customWidth="1"/>
    <col min="65" max="65" width="37.3984375" hidden="1" customWidth="1"/>
    <col min="66" max="66" width="18.8984375" hidden="1" customWidth="1"/>
    <col min="67" max="67" width="29.8984375" hidden="1" customWidth="1"/>
    <col min="68" max="68" width="28" hidden="1" customWidth="1"/>
    <col min="69" max="69" width="15.69921875" hidden="1" customWidth="1"/>
    <col min="70" max="70" width="16" bestFit="1" customWidth="1"/>
    <col min="71" max="71" width="15" bestFit="1" customWidth="1"/>
    <col min="72" max="72" width="15.3984375" hidden="1" customWidth="1"/>
    <col min="73" max="74" width="15" customWidth="1"/>
    <col min="75" max="76" width="7" bestFit="1" customWidth="1"/>
    <col min="77" max="77" width="32" customWidth="1"/>
    <col min="78" max="78" width="16.59765625" hidden="1" customWidth="1"/>
    <col min="79" max="79" width="16.19921875" hidden="1" customWidth="1"/>
    <col min="80" max="80" width="10.69921875" hidden="1" customWidth="1"/>
    <col min="81" max="81" width="18.8984375" hidden="1" customWidth="1"/>
    <col min="82" max="82" width="18.19921875" hidden="1" customWidth="1"/>
    <col min="83" max="83" width="24.59765625" hidden="1" customWidth="1"/>
    <col min="84" max="84" width="22.59765625" hidden="1" customWidth="1"/>
    <col min="85" max="85" width="25.59765625" hidden="1" customWidth="1"/>
    <col min="86" max="86" width="17" hidden="1" customWidth="1"/>
    <col min="87" max="87" width="17.19921875" hidden="1" customWidth="1"/>
    <col min="88" max="88" width="9.3984375" hidden="1" customWidth="1"/>
    <col min="89" max="89" width="18.69921875" hidden="1" customWidth="1"/>
    <col min="90" max="90" width="20.8984375" hidden="1" customWidth="1"/>
    <col min="91" max="91" width="19.09765625" hidden="1" customWidth="1"/>
    <col min="92" max="92" width="12.09765625" hidden="1" customWidth="1"/>
    <col min="93" max="93" width="36.3984375" hidden="1" customWidth="1"/>
    <col min="94" max="94" width="19.09765625" hidden="1" customWidth="1"/>
    <col min="95" max="95" width="28.09765625" hidden="1" customWidth="1"/>
    <col min="96" max="96" width="23.69921875" hidden="1" customWidth="1"/>
    <col min="97" max="98" width="16" hidden="1" customWidth="1"/>
    <col min="99" max="99" width="18" hidden="1" customWidth="1"/>
    <col min="100" max="100" width="19.09765625" hidden="1" customWidth="1"/>
    <col min="101" max="101" width="33.3984375" hidden="1" customWidth="1"/>
    <col min="102" max="102" width="17.3984375" hidden="1" customWidth="1"/>
    <col min="103" max="103" width="18.3984375" hidden="1" customWidth="1"/>
    <col min="104" max="104" width="30.8984375" hidden="1" customWidth="1"/>
    <col min="105" max="105" width="18" hidden="1" customWidth="1"/>
    <col min="106" max="106" width="23.59765625" bestFit="1" customWidth="1"/>
    <col min="107" max="107" width="24.8984375" hidden="1" customWidth="1"/>
    <col min="108" max="108" width="30.59765625" hidden="1" customWidth="1"/>
    <col min="109" max="109" width="17.09765625" hidden="1" customWidth="1"/>
    <col min="110" max="110" width="35.69921875" hidden="1" customWidth="1"/>
    <col min="111" max="111" width="26.09765625" hidden="1" customWidth="1"/>
    <col min="112" max="112" width="29.19921875" hidden="1" customWidth="1"/>
    <col min="113" max="113" width="27.69921875" hidden="1" customWidth="1"/>
    <col min="114" max="114" width="19.3984375" hidden="1" customWidth="1"/>
    <col min="115" max="115" width="19.09765625" hidden="1" customWidth="1"/>
    <col min="116" max="116" width="25" hidden="1" customWidth="1"/>
    <col min="117" max="117" width="26.69921875" hidden="1" customWidth="1"/>
    <col min="118" max="118" width="21.59765625" hidden="1" customWidth="1"/>
    <col min="119" max="119" width="40.19921875" hidden="1" customWidth="1"/>
    <col min="120" max="120" width="30.69921875" hidden="1" customWidth="1"/>
    <col min="121" max="121" width="33.8984375" hidden="1" customWidth="1"/>
    <col min="122" max="122" width="32" hidden="1" customWidth="1"/>
    <col min="123" max="123" width="18.59765625" hidden="1" customWidth="1"/>
    <col min="124" max="124" width="18.3984375" hidden="1" customWidth="1"/>
    <col min="125" max="125" width="37.19921875" hidden="1" customWidth="1"/>
    <col min="126" max="126" width="30.8984375" hidden="1" customWidth="1"/>
    <col min="127" max="127" width="31.8984375" hidden="1" customWidth="1"/>
    <col min="128" max="128" width="33.69921875" hidden="1" customWidth="1"/>
    <col min="129" max="129" width="21.3984375" hidden="1" customWidth="1"/>
    <col min="130" max="130" width="14.8984375" hidden="1" customWidth="1"/>
    <col min="131" max="131" width="15.59765625" hidden="1" customWidth="1"/>
    <col min="132" max="132" width="32.19921875" hidden="1" customWidth="1"/>
    <col min="133" max="133" width="22.09765625" hidden="1" customWidth="1"/>
    <col min="134" max="134" width="14.3984375" hidden="1" customWidth="1"/>
    <col min="135" max="135" width="21.8984375" hidden="1" customWidth="1"/>
    <col min="136" max="136" width="22" hidden="1" customWidth="1"/>
    <col min="137" max="137" width="21.69921875" hidden="1" customWidth="1"/>
    <col min="138" max="138" width="28.59765625" hidden="1" customWidth="1"/>
    <col min="139" max="139" width="24" hidden="1" customWidth="1"/>
    <col min="140" max="140" width="26.59765625" hidden="1" customWidth="1"/>
    <col min="141" max="141" width="26.69921875" hidden="1" customWidth="1"/>
    <col min="142" max="142" width="21" hidden="1" customWidth="1"/>
    <col min="143" max="143" width="33" hidden="1" customWidth="1"/>
    <col min="144" max="144" width="25" hidden="1" customWidth="1"/>
    <col min="145" max="145" width="27.59765625" hidden="1" customWidth="1"/>
    <col min="146" max="146" width="27.69921875" hidden="1" customWidth="1"/>
    <col min="147" max="147" width="22" hidden="1" customWidth="1"/>
    <col min="148" max="148" width="34" hidden="1" customWidth="1"/>
    <col min="149" max="149" width="29.59765625" hidden="1" customWidth="1"/>
    <col min="150" max="150" width="32.09765625" hidden="1" customWidth="1"/>
    <col min="151" max="151" width="32.19921875" hidden="1" customWidth="1"/>
    <col min="152" max="152" width="26.59765625" hidden="1" customWidth="1"/>
    <col min="153" max="153" width="38.59765625" hidden="1" customWidth="1"/>
    <col min="154" max="154" width="26.59765625" hidden="1" customWidth="1"/>
    <col min="155" max="155" width="29.09765625" hidden="1" customWidth="1"/>
    <col min="156" max="156" width="29.19921875" hidden="1" customWidth="1"/>
    <col min="157" max="157" width="23.59765625" hidden="1" customWidth="1"/>
    <col min="158" max="158" width="35.59765625" hidden="1" customWidth="1"/>
    <col min="159" max="159" width="21.09765625" hidden="1" customWidth="1"/>
    <col min="160" max="160" width="23.69921875" hidden="1" customWidth="1"/>
    <col min="161" max="161" width="23.8984375" hidden="1" customWidth="1"/>
    <col min="162" max="162" width="18.59765625" hidden="1" customWidth="1"/>
    <col min="163" max="163" width="30.09765625" hidden="1" customWidth="1"/>
    <col min="164" max="164" width="21.3984375" hidden="1" customWidth="1"/>
    <col min="165" max="165" width="23.59765625" hidden="1" customWidth="1"/>
    <col min="166" max="166" width="43.59765625" hidden="1" customWidth="1"/>
    <col min="167" max="167" width="16.3984375" customWidth="1"/>
    <col min="168" max="168" width="15.5" customWidth="1"/>
    <col min="169" max="169" width="15" bestFit="1" customWidth="1"/>
  </cols>
  <sheetData>
    <row r="1" spans="1:169" s="220" customFormat="1" x14ac:dyDescent="0.4">
      <c r="A1" s="287" t="s">
        <v>1164</v>
      </c>
      <c r="B1" s="287" t="s">
        <v>1165</v>
      </c>
      <c r="C1" s="286" t="s">
        <v>0</v>
      </c>
      <c r="D1" s="286" t="s">
        <v>1</v>
      </c>
      <c r="E1" s="286"/>
      <c r="F1" s="286" t="s">
        <v>2</v>
      </c>
      <c r="G1" s="286" t="s">
        <v>3</v>
      </c>
      <c r="H1" s="286" t="s">
        <v>4</v>
      </c>
      <c r="I1" s="286" t="s">
        <v>5</v>
      </c>
      <c r="J1" s="286" t="s">
        <v>6</v>
      </c>
      <c r="K1" s="286" t="s">
        <v>7</v>
      </c>
      <c r="L1" s="286" t="s">
        <v>8</v>
      </c>
      <c r="M1" s="286" t="s">
        <v>9</v>
      </c>
      <c r="N1" s="286" t="s">
        <v>10</v>
      </c>
      <c r="O1" s="286" t="s">
        <v>11</v>
      </c>
      <c r="P1" s="286" t="s">
        <v>12</v>
      </c>
      <c r="Q1" s="285" t="s">
        <v>13</v>
      </c>
      <c r="R1" s="285" t="s">
        <v>14</v>
      </c>
      <c r="S1" s="285" t="s">
        <v>15</v>
      </c>
      <c r="T1" s="285" t="s">
        <v>16</v>
      </c>
      <c r="U1" s="285" t="s">
        <v>17</v>
      </c>
      <c r="V1" s="285" t="s">
        <v>18</v>
      </c>
      <c r="W1" s="285" t="s">
        <v>19</v>
      </c>
      <c r="X1" s="285" t="s">
        <v>20</v>
      </c>
      <c r="Y1" s="285" t="s">
        <v>21</v>
      </c>
      <c r="Z1" s="285" t="s">
        <v>22</v>
      </c>
      <c r="AA1" s="285" t="s">
        <v>23</v>
      </c>
      <c r="AB1" s="285" t="s">
        <v>24</v>
      </c>
      <c r="AC1" s="285" t="s">
        <v>25</v>
      </c>
      <c r="AD1" s="285" t="s">
        <v>26</v>
      </c>
      <c r="AE1" s="285" t="s">
        <v>27</v>
      </c>
      <c r="AF1" s="285" t="s">
        <v>28</v>
      </c>
      <c r="AG1" s="285" t="s">
        <v>29</v>
      </c>
      <c r="AH1" s="285" t="s">
        <v>30</v>
      </c>
      <c r="AI1" s="285" t="s">
        <v>31</v>
      </c>
      <c r="AJ1" s="285" t="s">
        <v>32</v>
      </c>
      <c r="AK1" s="285" t="s">
        <v>33</v>
      </c>
      <c r="AL1" s="285" t="s">
        <v>34</v>
      </c>
      <c r="AM1" s="285" t="s">
        <v>35</v>
      </c>
      <c r="AN1" s="285" t="s">
        <v>36</v>
      </c>
      <c r="AO1" s="285" t="s">
        <v>37</v>
      </c>
      <c r="AP1" s="285" t="s">
        <v>38</v>
      </c>
      <c r="AQ1" s="285" t="s">
        <v>39</v>
      </c>
      <c r="AR1" s="285" t="s">
        <v>40</v>
      </c>
      <c r="AS1" s="285" t="s">
        <v>41</v>
      </c>
      <c r="AT1" s="285" t="s">
        <v>42</v>
      </c>
      <c r="AU1" s="285" t="s">
        <v>43</v>
      </c>
      <c r="AV1" s="285" t="s">
        <v>44</v>
      </c>
      <c r="AW1" s="285" t="s">
        <v>45</v>
      </c>
      <c r="AX1" s="285" t="s">
        <v>46</v>
      </c>
      <c r="AY1" s="285" t="s">
        <v>47</v>
      </c>
      <c r="AZ1" s="285" t="s">
        <v>48</v>
      </c>
      <c r="BA1" s="285" t="s">
        <v>49</v>
      </c>
      <c r="BB1" s="285" t="s">
        <v>50</v>
      </c>
      <c r="BC1" s="285" t="s">
        <v>51</v>
      </c>
      <c r="BD1" s="285" t="s">
        <v>52</v>
      </c>
      <c r="BE1" s="285" t="s">
        <v>53</v>
      </c>
      <c r="BF1" s="285" t="s">
        <v>54</v>
      </c>
      <c r="BG1" s="285" t="s">
        <v>55</v>
      </c>
      <c r="BH1" s="285" t="s">
        <v>56</v>
      </c>
      <c r="BI1" s="285" t="s">
        <v>57</v>
      </c>
      <c r="BJ1" s="285" t="s">
        <v>58</v>
      </c>
      <c r="BK1" s="285" t="s">
        <v>59</v>
      </c>
      <c r="BL1" s="285" t="s">
        <v>60</v>
      </c>
      <c r="BM1" s="285" t="s">
        <v>61</v>
      </c>
      <c r="BN1" s="285" t="s">
        <v>62</v>
      </c>
      <c r="BO1" s="285" t="s">
        <v>63</v>
      </c>
      <c r="BP1" s="285" t="s">
        <v>64</v>
      </c>
      <c r="BQ1" s="285" t="s">
        <v>65</v>
      </c>
      <c r="BR1" s="285" t="s">
        <v>66</v>
      </c>
      <c r="BS1" s="285" t="s">
        <v>67</v>
      </c>
      <c r="BT1" s="285" t="s">
        <v>68</v>
      </c>
      <c r="BU1" s="285" t="s">
        <v>69</v>
      </c>
      <c r="BV1" s="285" t="s">
        <v>70</v>
      </c>
      <c r="BW1" s="285" t="s">
        <v>71</v>
      </c>
      <c r="BX1" s="285" t="s">
        <v>72</v>
      </c>
      <c r="BY1" s="285" t="s">
        <v>1126</v>
      </c>
      <c r="BZ1" s="286" t="s">
        <v>73</v>
      </c>
      <c r="CA1" s="286" t="s">
        <v>74</v>
      </c>
      <c r="CB1" s="286" t="s">
        <v>75</v>
      </c>
      <c r="CC1" s="286" t="s">
        <v>76</v>
      </c>
      <c r="CD1" s="286" t="s">
        <v>77</v>
      </c>
      <c r="CE1" s="286" t="s">
        <v>78</v>
      </c>
      <c r="CF1" s="286" t="s">
        <v>79</v>
      </c>
      <c r="CG1" s="286" t="s">
        <v>80</v>
      </c>
      <c r="CH1" s="286" t="s">
        <v>81</v>
      </c>
      <c r="CI1" s="286" t="s">
        <v>82</v>
      </c>
      <c r="CJ1" s="286" t="s">
        <v>83</v>
      </c>
      <c r="CK1" s="286" t="s">
        <v>84</v>
      </c>
      <c r="CL1" s="286" t="s">
        <v>85</v>
      </c>
      <c r="CM1" s="286" t="s">
        <v>86</v>
      </c>
      <c r="CN1" s="286" t="s">
        <v>87</v>
      </c>
      <c r="CO1" s="286" t="s">
        <v>88</v>
      </c>
      <c r="CP1" s="286" t="s">
        <v>89</v>
      </c>
      <c r="CQ1" s="286" t="s">
        <v>90</v>
      </c>
      <c r="CR1" s="286" t="s">
        <v>91</v>
      </c>
      <c r="CS1" s="286" t="s">
        <v>92</v>
      </c>
      <c r="CT1" s="286" t="s">
        <v>93</v>
      </c>
      <c r="CU1" s="286" t="s">
        <v>94</v>
      </c>
      <c r="CV1" s="286" t="s">
        <v>95</v>
      </c>
      <c r="CW1" s="286" t="s">
        <v>96</v>
      </c>
      <c r="CX1" s="286" t="s">
        <v>97</v>
      </c>
      <c r="CY1" s="286" t="s">
        <v>98</v>
      </c>
      <c r="CZ1" s="286" t="s">
        <v>99</v>
      </c>
      <c r="DA1" s="286" t="s">
        <v>100</v>
      </c>
      <c r="DB1" s="286" t="s">
        <v>101</v>
      </c>
      <c r="DC1" s="286" t="s">
        <v>102</v>
      </c>
      <c r="DD1" s="286" t="s">
        <v>103</v>
      </c>
      <c r="DE1" s="286" t="s">
        <v>104</v>
      </c>
      <c r="DF1" s="286" t="s">
        <v>105</v>
      </c>
      <c r="DG1" s="286" t="s">
        <v>106</v>
      </c>
      <c r="DH1" s="286" t="s">
        <v>107</v>
      </c>
      <c r="DI1" s="286" t="s">
        <v>108</v>
      </c>
      <c r="DJ1" s="286" t="s">
        <v>109</v>
      </c>
      <c r="DK1" s="286" t="s">
        <v>110</v>
      </c>
      <c r="DL1" s="286" t="s">
        <v>111</v>
      </c>
      <c r="DM1" s="286" t="s">
        <v>112</v>
      </c>
      <c r="DN1" s="286" t="s">
        <v>113</v>
      </c>
      <c r="DO1" s="286" t="s">
        <v>114</v>
      </c>
      <c r="DP1" s="286" t="s">
        <v>115</v>
      </c>
      <c r="DQ1" s="286" t="s">
        <v>116</v>
      </c>
      <c r="DR1" s="286" t="s">
        <v>117</v>
      </c>
      <c r="DS1" s="286" t="s">
        <v>118</v>
      </c>
      <c r="DT1" s="286" t="s">
        <v>119</v>
      </c>
      <c r="DU1" s="286" t="s">
        <v>120</v>
      </c>
      <c r="DV1" s="286" t="s">
        <v>121</v>
      </c>
      <c r="DW1" s="286" t="s">
        <v>122</v>
      </c>
      <c r="DX1" s="286" t="s">
        <v>123</v>
      </c>
      <c r="DY1" s="286" t="s">
        <v>124</v>
      </c>
      <c r="DZ1" s="286" t="s">
        <v>125</v>
      </c>
      <c r="EA1" s="286" t="s">
        <v>126</v>
      </c>
      <c r="EB1" s="286" t="s">
        <v>127</v>
      </c>
      <c r="EC1" s="286" t="s">
        <v>128</v>
      </c>
      <c r="ED1" s="286" t="s">
        <v>129</v>
      </c>
      <c r="EE1" s="286" t="s">
        <v>130</v>
      </c>
      <c r="EF1" s="286" t="s">
        <v>131</v>
      </c>
      <c r="EG1" s="286" t="s">
        <v>132</v>
      </c>
      <c r="EH1" s="286" t="s">
        <v>133</v>
      </c>
      <c r="EI1" s="286" t="s">
        <v>134</v>
      </c>
      <c r="EJ1" s="286" t="s">
        <v>135</v>
      </c>
      <c r="EK1" s="286" t="s">
        <v>136</v>
      </c>
      <c r="EL1" s="286" t="s">
        <v>137</v>
      </c>
      <c r="EM1" s="286" t="s">
        <v>138</v>
      </c>
      <c r="EN1" s="286" t="s">
        <v>139</v>
      </c>
      <c r="EO1" s="286" t="s">
        <v>140</v>
      </c>
      <c r="EP1" s="286" t="s">
        <v>141</v>
      </c>
      <c r="EQ1" s="286" t="s">
        <v>142</v>
      </c>
      <c r="ER1" s="286" t="s">
        <v>143</v>
      </c>
      <c r="ES1" s="286" t="s">
        <v>144</v>
      </c>
      <c r="ET1" s="286" t="s">
        <v>145</v>
      </c>
      <c r="EU1" s="286" t="s">
        <v>146</v>
      </c>
      <c r="EV1" s="286" t="s">
        <v>147</v>
      </c>
      <c r="EW1" s="286" t="s">
        <v>148</v>
      </c>
      <c r="EX1" s="286" t="s">
        <v>149</v>
      </c>
      <c r="EY1" s="286" t="s">
        <v>150</v>
      </c>
      <c r="EZ1" s="286" t="s">
        <v>151</v>
      </c>
      <c r="FA1" s="286" t="s">
        <v>152</v>
      </c>
      <c r="FB1" s="286" t="s">
        <v>153</v>
      </c>
      <c r="FC1" s="286" t="s">
        <v>154</v>
      </c>
      <c r="FD1" s="286" t="s">
        <v>155</v>
      </c>
      <c r="FE1" s="286" t="s">
        <v>156</v>
      </c>
      <c r="FF1" s="286" t="s">
        <v>157</v>
      </c>
      <c r="FG1" s="286" t="s">
        <v>158</v>
      </c>
      <c r="FH1" s="286" t="s">
        <v>159</v>
      </c>
      <c r="FI1" s="286" t="s">
        <v>160</v>
      </c>
      <c r="FJ1" s="286" t="s">
        <v>161</v>
      </c>
      <c r="FK1" s="281" t="s">
        <v>1055</v>
      </c>
      <c r="FL1" s="282"/>
      <c r="FM1" s="279" t="s">
        <v>1309</v>
      </c>
    </row>
    <row r="2" spans="1:169" s="220" customFormat="1" x14ac:dyDescent="0.4">
      <c r="A2" s="288"/>
      <c r="B2" s="288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6"/>
      <c r="CA2" s="286"/>
      <c r="CB2" s="286"/>
      <c r="CC2" s="286"/>
      <c r="CD2" s="286"/>
      <c r="CE2" s="286"/>
      <c r="CF2" s="286"/>
      <c r="CG2" s="286"/>
      <c r="CH2" s="286"/>
      <c r="CI2" s="286"/>
      <c r="CJ2" s="286"/>
      <c r="CK2" s="286"/>
      <c r="CL2" s="286"/>
      <c r="CM2" s="286"/>
      <c r="CN2" s="286"/>
      <c r="CO2" s="286"/>
      <c r="CP2" s="286"/>
      <c r="CQ2" s="286"/>
      <c r="CR2" s="286"/>
      <c r="CS2" s="286"/>
      <c r="CT2" s="286"/>
      <c r="CU2" s="286"/>
      <c r="CV2" s="286"/>
      <c r="CW2" s="286"/>
      <c r="CX2" s="286"/>
      <c r="CY2" s="286"/>
      <c r="CZ2" s="286"/>
      <c r="DA2" s="286"/>
      <c r="DB2" s="286"/>
      <c r="DC2" s="286"/>
      <c r="DD2" s="286"/>
      <c r="DE2" s="286"/>
      <c r="DF2" s="286"/>
      <c r="DG2" s="286"/>
      <c r="DH2" s="286"/>
      <c r="DI2" s="286"/>
      <c r="DJ2" s="286"/>
      <c r="DK2" s="286"/>
      <c r="DL2" s="286"/>
      <c r="DM2" s="286"/>
      <c r="DN2" s="286"/>
      <c r="DO2" s="286"/>
      <c r="DP2" s="286"/>
      <c r="DQ2" s="286"/>
      <c r="DR2" s="286"/>
      <c r="DS2" s="286"/>
      <c r="DT2" s="286"/>
      <c r="DU2" s="286"/>
      <c r="DV2" s="286"/>
      <c r="DW2" s="286"/>
      <c r="DX2" s="286"/>
      <c r="DY2" s="286"/>
      <c r="DZ2" s="286"/>
      <c r="EA2" s="286"/>
      <c r="EB2" s="286"/>
      <c r="EC2" s="286"/>
      <c r="ED2" s="286"/>
      <c r="EE2" s="286"/>
      <c r="EF2" s="286"/>
      <c r="EG2" s="286"/>
      <c r="EH2" s="286"/>
      <c r="EI2" s="286"/>
      <c r="EJ2" s="286"/>
      <c r="EK2" s="286"/>
      <c r="EL2" s="286"/>
      <c r="EM2" s="286"/>
      <c r="EN2" s="286"/>
      <c r="EO2" s="286"/>
      <c r="EP2" s="286"/>
      <c r="EQ2" s="286"/>
      <c r="ER2" s="286"/>
      <c r="ES2" s="286"/>
      <c r="ET2" s="286"/>
      <c r="EU2" s="286"/>
      <c r="EV2" s="286"/>
      <c r="EW2" s="286"/>
      <c r="EX2" s="286"/>
      <c r="EY2" s="286"/>
      <c r="EZ2" s="286"/>
      <c r="FA2" s="286"/>
      <c r="FB2" s="286"/>
      <c r="FC2" s="286"/>
      <c r="FD2" s="286"/>
      <c r="FE2" s="286"/>
      <c r="FF2" s="286"/>
      <c r="FG2" s="286"/>
      <c r="FH2" s="286"/>
      <c r="FI2" s="286"/>
      <c r="FJ2" s="286"/>
      <c r="FK2" s="283"/>
      <c r="FL2" s="284"/>
      <c r="FM2" s="280"/>
    </row>
    <row r="3" spans="1:169" x14ac:dyDescent="0.4">
      <c r="A3" s="93"/>
      <c r="B3" s="93"/>
      <c r="C3" s="26"/>
      <c r="D3" s="90" t="s">
        <v>162</v>
      </c>
      <c r="E3" s="90" t="s">
        <v>163</v>
      </c>
      <c r="F3" s="90" t="s">
        <v>2</v>
      </c>
      <c r="G3" s="90" t="s">
        <v>3</v>
      </c>
      <c r="H3" s="90" t="s">
        <v>164</v>
      </c>
      <c r="I3" s="90" t="s">
        <v>165</v>
      </c>
      <c r="J3" s="90" t="s">
        <v>166</v>
      </c>
      <c r="K3" s="90" t="s">
        <v>167</v>
      </c>
      <c r="L3" s="90" t="s">
        <v>168</v>
      </c>
      <c r="M3" s="90" t="s">
        <v>169</v>
      </c>
      <c r="N3" s="90" t="s">
        <v>170</v>
      </c>
      <c r="O3" s="90" t="s">
        <v>171</v>
      </c>
      <c r="P3" s="90" t="s">
        <v>172</v>
      </c>
      <c r="Q3" s="91" t="s">
        <v>173</v>
      </c>
      <c r="R3" s="91" t="s">
        <v>174</v>
      </c>
      <c r="S3" s="91" t="s">
        <v>175</v>
      </c>
      <c r="T3" s="91" t="s">
        <v>176</v>
      </c>
      <c r="U3" s="91" t="s">
        <v>177</v>
      </c>
      <c r="V3" s="91" t="s">
        <v>178</v>
      </c>
      <c r="W3" s="91" t="s">
        <v>179</v>
      </c>
      <c r="X3" s="91" t="s">
        <v>180</v>
      </c>
      <c r="Y3" s="91" t="s">
        <v>181</v>
      </c>
      <c r="Z3" s="91" t="s">
        <v>182</v>
      </c>
      <c r="AA3" s="91" t="s">
        <v>183</v>
      </c>
      <c r="AB3" s="91" t="s">
        <v>184</v>
      </c>
      <c r="AC3" s="91" t="s">
        <v>185</v>
      </c>
      <c r="AD3" s="91" t="s">
        <v>186</v>
      </c>
      <c r="AE3" s="91" t="s">
        <v>187</v>
      </c>
      <c r="AF3" s="91" t="s">
        <v>188</v>
      </c>
      <c r="AG3" s="91" t="s">
        <v>189</v>
      </c>
      <c r="AH3" s="91" t="s">
        <v>190</v>
      </c>
      <c r="AI3" s="91" t="s">
        <v>191</v>
      </c>
      <c r="AJ3" s="91" t="s">
        <v>192</v>
      </c>
      <c r="AK3" s="91" t="s">
        <v>193</v>
      </c>
      <c r="AL3" s="91" t="s">
        <v>194</v>
      </c>
      <c r="AM3" s="91" t="s">
        <v>195</v>
      </c>
      <c r="AN3" s="91" t="s">
        <v>196</v>
      </c>
      <c r="AO3" s="91" t="s">
        <v>197</v>
      </c>
      <c r="AP3" s="91" t="s">
        <v>198</v>
      </c>
      <c r="AQ3" s="91" t="s">
        <v>199</v>
      </c>
      <c r="AR3" s="91" t="s">
        <v>200</v>
      </c>
      <c r="AS3" s="91" t="s">
        <v>201</v>
      </c>
      <c r="AT3" s="91" t="s">
        <v>202</v>
      </c>
      <c r="AU3" s="91" t="s">
        <v>203</v>
      </c>
      <c r="AV3" s="91" t="s">
        <v>204</v>
      </c>
      <c r="AW3" s="91" t="s">
        <v>205</v>
      </c>
      <c r="AX3" s="91" t="s">
        <v>206</v>
      </c>
      <c r="AY3" s="91" t="s">
        <v>207</v>
      </c>
      <c r="AZ3" s="91" t="s">
        <v>208</v>
      </c>
      <c r="BA3" s="91" t="s">
        <v>209</v>
      </c>
      <c r="BB3" s="91" t="s">
        <v>210</v>
      </c>
      <c r="BC3" s="91" t="s">
        <v>211</v>
      </c>
      <c r="BD3" s="91" t="s">
        <v>212</v>
      </c>
      <c r="BE3" s="91" t="s">
        <v>213</v>
      </c>
      <c r="BF3" s="91" t="s">
        <v>214</v>
      </c>
      <c r="BG3" s="91" t="s">
        <v>215</v>
      </c>
      <c r="BH3" s="91" t="s">
        <v>216</v>
      </c>
      <c r="BI3" s="91" t="s">
        <v>217</v>
      </c>
      <c r="BJ3" s="91" t="s">
        <v>218</v>
      </c>
      <c r="BK3" s="91" t="s">
        <v>219</v>
      </c>
      <c r="BL3" s="91" t="s">
        <v>220</v>
      </c>
      <c r="BM3" s="91" t="s">
        <v>221</v>
      </c>
      <c r="BN3" s="91" t="s">
        <v>222</v>
      </c>
      <c r="BO3" s="91" t="s">
        <v>223</v>
      </c>
      <c r="BP3" s="91" t="s">
        <v>224</v>
      </c>
      <c r="BQ3" s="91" t="s">
        <v>225</v>
      </c>
      <c r="BR3" s="91" t="s">
        <v>226</v>
      </c>
      <c r="BS3" s="91" t="s">
        <v>227</v>
      </c>
      <c r="BT3" s="91" t="s">
        <v>228</v>
      </c>
      <c r="BU3" s="91" t="s">
        <v>229</v>
      </c>
      <c r="BV3" s="91" t="s">
        <v>230</v>
      </c>
      <c r="BW3" s="91" t="s">
        <v>231</v>
      </c>
      <c r="BX3" s="91" t="s">
        <v>72</v>
      </c>
      <c r="BY3" s="91" t="s">
        <v>1127</v>
      </c>
      <c r="BZ3" s="90" t="s">
        <v>232</v>
      </c>
      <c r="CA3" s="90" t="s">
        <v>233</v>
      </c>
      <c r="CB3" s="90" t="s">
        <v>234</v>
      </c>
      <c r="CC3" s="90" t="s">
        <v>235</v>
      </c>
      <c r="CD3" s="90" t="s">
        <v>236</v>
      </c>
      <c r="CE3" s="90" t="s">
        <v>237</v>
      </c>
      <c r="CF3" s="90" t="s">
        <v>238</v>
      </c>
      <c r="CG3" s="90" t="s">
        <v>239</v>
      </c>
      <c r="CH3" s="90" t="s">
        <v>240</v>
      </c>
      <c r="CI3" s="90" t="s">
        <v>241</v>
      </c>
      <c r="CJ3" s="90" t="s">
        <v>83</v>
      </c>
      <c r="CK3" s="90" t="s">
        <v>242</v>
      </c>
      <c r="CL3" s="90" t="s">
        <v>243</v>
      </c>
      <c r="CM3" s="90" t="s">
        <v>244</v>
      </c>
      <c r="CN3" s="90" t="s">
        <v>245</v>
      </c>
      <c r="CO3" s="90" t="s">
        <v>246</v>
      </c>
      <c r="CP3" s="90" t="s">
        <v>247</v>
      </c>
      <c r="CQ3" s="90" t="s">
        <v>248</v>
      </c>
      <c r="CR3" s="90" t="s">
        <v>249</v>
      </c>
      <c r="CS3" s="90" t="s">
        <v>250</v>
      </c>
      <c r="CT3" s="90" t="s">
        <v>251</v>
      </c>
      <c r="CU3" s="90" t="s">
        <v>252</v>
      </c>
      <c r="CV3" s="90" t="s">
        <v>253</v>
      </c>
      <c r="CW3" s="90" t="s">
        <v>254</v>
      </c>
      <c r="CX3" s="90" t="s">
        <v>255</v>
      </c>
      <c r="CY3" s="90" t="s">
        <v>256</v>
      </c>
      <c r="CZ3" s="90" t="s">
        <v>257</v>
      </c>
      <c r="DA3" s="90" t="s">
        <v>258</v>
      </c>
      <c r="DB3" s="90" t="s">
        <v>259</v>
      </c>
      <c r="DC3" s="90" t="s">
        <v>260</v>
      </c>
      <c r="DD3" s="90" t="s">
        <v>261</v>
      </c>
      <c r="DE3" s="90" t="s">
        <v>262</v>
      </c>
      <c r="DF3" s="90" t="s">
        <v>263</v>
      </c>
      <c r="DG3" s="90" t="s">
        <v>264</v>
      </c>
      <c r="DH3" s="90" t="s">
        <v>265</v>
      </c>
      <c r="DI3" s="90" t="s">
        <v>266</v>
      </c>
      <c r="DJ3" s="90" t="s">
        <v>267</v>
      </c>
      <c r="DK3" s="90" t="s">
        <v>268</v>
      </c>
      <c r="DL3" s="90" t="s">
        <v>269</v>
      </c>
      <c r="DM3" s="90" t="s">
        <v>270</v>
      </c>
      <c r="DN3" s="90" t="s">
        <v>271</v>
      </c>
      <c r="DO3" s="90" t="s">
        <v>272</v>
      </c>
      <c r="DP3" s="90" t="s">
        <v>273</v>
      </c>
      <c r="DQ3" s="90" t="s">
        <v>274</v>
      </c>
      <c r="DR3" s="90" t="s">
        <v>275</v>
      </c>
      <c r="DS3" s="90" t="s">
        <v>276</v>
      </c>
      <c r="DT3" s="90" t="s">
        <v>277</v>
      </c>
      <c r="DU3" s="90" t="s">
        <v>278</v>
      </c>
      <c r="DV3" s="90" t="s">
        <v>279</v>
      </c>
      <c r="DW3" s="90" t="s">
        <v>280</v>
      </c>
      <c r="DX3" s="90" t="s">
        <v>281</v>
      </c>
      <c r="DY3" s="90" t="s">
        <v>282</v>
      </c>
      <c r="DZ3" s="90" t="s">
        <v>283</v>
      </c>
      <c r="EA3" s="90" t="s">
        <v>284</v>
      </c>
      <c r="EB3" s="90" t="s">
        <v>285</v>
      </c>
      <c r="EC3" s="90" t="s">
        <v>286</v>
      </c>
      <c r="ED3" s="90" t="s">
        <v>287</v>
      </c>
      <c r="EE3" s="90" t="s">
        <v>288</v>
      </c>
      <c r="EF3" s="90" t="s">
        <v>289</v>
      </c>
      <c r="EG3" s="90" t="s">
        <v>290</v>
      </c>
      <c r="EH3" s="90" t="s">
        <v>291</v>
      </c>
      <c r="EI3" s="90" t="s">
        <v>292</v>
      </c>
      <c r="EJ3" s="90" t="s">
        <v>293</v>
      </c>
      <c r="EK3" s="90" t="s">
        <v>294</v>
      </c>
      <c r="EL3" s="90" t="s">
        <v>295</v>
      </c>
      <c r="EM3" s="90" t="s">
        <v>296</v>
      </c>
      <c r="EN3" s="90" t="s">
        <v>297</v>
      </c>
      <c r="EO3" s="90" t="s">
        <v>298</v>
      </c>
      <c r="EP3" s="90" t="s">
        <v>299</v>
      </c>
      <c r="EQ3" s="90" t="s">
        <v>300</v>
      </c>
      <c r="ER3" s="90" t="s">
        <v>301</v>
      </c>
      <c r="ES3" s="90" t="s">
        <v>302</v>
      </c>
      <c r="ET3" s="90" t="s">
        <v>303</v>
      </c>
      <c r="EU3" s="90" t="s">
        <v>304</v>
      </c>
      <c r="EV3" s="90" t="s">
        <v>305</v>
      </c>
      <c r="EW3" s="90" t="s">
        <v>306</v>
      </c>
      <c r="EX3" s="90" t="s">
        <v>307</v>
      </c>
      <c r="EY3" s="90" t="s">
        <v>308</v>
      </c>
      <c r="EZ3" s="90" t="s">
        <v>309</v>
      </c>
      <c r="FA3" s="90" t="s">
        <v>310</v>
      </c>
      <c r="FB3" s="90" t="s">
        <v>311</v>
      </c>
      <c r="FC3" s="90" t="s">
        <v>312</v>
      </c>
      <c r="FD3" s="90" t="s">
        <v>313</v>
      </c>
      <c r="FE3" s="90" t="s">
        <v>314</v>
      </c>
      <c r="FF3" s="90" t="s">
        <v>315</v>
      </c>
      <c r="FG3" s="90" t="s">
        <v>316</v>
      </c>
      <c r="FH3" s="90" t="s">
        <v>317</v>
      </c>
      <c r="FI3" s="90" t="s">
        <v>318</v>
      </c>
      <c r="FJ3" s="90" t="s">
        <v>161</v>
      </c>
      <c r="FK3" s="92" t="s">
        <v>1061</v>
      </c>
      <c r="FL3" s="92" t="s">
        <v>1062</v>
      </c>
      <c r="FM3" s="93"/>
    </row>
    <row r="4" spans="1:169" s="3" customFormat="1" x14ac:dyDescent="0.4">
      <c r="A4" s="93"/>
      <c r="B4" s="93"/>
      <c r="C4" s="26"/>
      <c r="D4" s="27" t="s">
        <v>319</v>
      </c>
      <c r="E4" s="2" t="s">
        <v>1369</v>
      </c>
      <c r="F4" s="28" t="s">
        <v>319</v>
      </c>
      <c r="G4" s="28" t="s">
        <v>319</v>
      </c>
      <c r="H4" s="28" t="s">
        <v>319</v>
      </c>
      <c r="I4" s="6" t="s">
        <v>559</v>
      </c>
      <c r="J4" s="28" t="s">
        <v>319</v>
      </c>
      <c r="K4" s="28" t="s">
        <v>319</v>
      </c>
      <c r="L4" s="28" t="s">
        <v>319</v>
      </c>
      <c r="M4" s="28" t="s">
        <v>319</v>
      </c>
      <c r="N4" s="28" t="s">
        <v>319</v>
      </c>
      <c r="O4" s="28" t="s">
        <v>319</v>
      </c>
      <c r="P4" s="28" t="s">
        <v>319</v>
      </c>
      <c r="Q4" s="5" t="s">
        <v>684</v>
      </c>
      <c r="R4" s="5" t="s">
        <v>663</v>
      </c>
      <c r="S4" s="6" t="s">
        <v>678</v>
      </c>
      <c r="T4" s="5">
        <v>5859</v>
      </c>
      <c r="U4" s="5">
        <v>12908</v>
      </c>
      <c r="V4" s="5">
        <f>U4*1.1</f>
        <v>14198.800000000001</v>
      </c>
      <c r="W4" s="6" t="s">
        <v>665</v>
      </c>
      <c r="X4" s="105">
        <f>3.59-0.25</f>
        <v>3.34</v>
      </c>
      <c r="Y4" s="105">
        <v>3.34</v>
      </c>
      <c r="Z4" s="105">
        <f>3.59-0.25</f>
        <v>3.34</v>
      </c>
      <c r="AA4" s="6" t="s">
        <v>963</v>
      </c>
      <c r="AB4" s="105">
        <v>0.86</v>
      </c>
      <c r="AC4" s="105">
        <v>0.73</v>
      </c>
      <c r="AD4" s="6" t="s">
        <v>981</v>
      </c>
      <c r="AE4" s="6" t="s">
        <v>956</v>
      </c>
      <c r="AF4" s="6"/>
      <c r="AG4" s="12">
        <v>34.700000000000003</v>
      </c>
      <c r="AH4" s="6"/>
      <c r="AI4" s="6" t="s">
        <v>965</v>
      </c>
      <c r="AJ4" s="5"/>
      <c r="AK4" s="5">
        <v>0.59199999999999997</v>
      </c>
      <c r="AL4" s="6"/>
      <c r="AM4" s="6" t="s">
        <v>958</v>
      </c>
      <c r="AN4" s="6"/>
      <c r="AO4" s="5">
        <v>1.45</v>
      </c>
      <c r="AP4" s="6"/>
      <c r="AQ4" s="28" t="s">
        <v>319</v>
      </c>
      <c r="AR4" s="28" t="s">
        <v>319</v>
      </c>
      <c r="AS4" s="28" t="s">
        <v>319</v>
      </c>
      <c r="AT4" s="28" t="s">
        <v>319</v>
      </c>
      <c r="AU4" s="28" t="s">
        <v>319</v>
      </c>
      <c r="AV4" s="28" t="s">
        <v>319</v>
      </c>
      <c r="AW4" s="28" t="s">
        <v>319</v>
      </c>
      <c r="AX4" s="28" t="s">
        <v>319</v>
      </c>
      <c r="AY4" s="28" t="s">
        <v>319</v>
      </c>
      <c r="AZ4" s="28" t="s">
        <v>319</v>
      </c>
      <c r="BA4" s="28" t="s">
        <v>319</v>
      </c>
      <c r="BB4" s="6" t="s">
        <v>984</v>
      </c>
      <c r="BC4" s="5" t="s">
        <v>1009</v>
      </c>
      <c r="BD4" s="212" t="s">
        <v>1459</v>
      </c>
      <c r="BE4" s="6" t="s">
        <v>1010</v>
      </c>
      <c r="BF4" s="181" t="s">
        <v>1437</v>
      </c>
      <c r="BG4" s="185">
        <v>9.3000000000000007</v>
      </c>
      <c r="BH4" s="28" t="s">
        <v>319</v>
      </c>
      <c r="BI4" s="28" t="s">
        <v>319</v>
      </c>
      <c r="BJ4" s="28" t="s">
        <v>319</v>
      </c>
      <c r="BK4" s="28" t="s">
        <v>319</v>
      </c>
      <c r="BL4" s="28" t="s">
        <v>319</v>
      </c>
      <c r="BM4" s="28" t="s">
        <v>319</v>
      </c>
      <c r="BN4" s="28" t="s">
        <v>319</v>
      </c>
      <c r="BO4" s="28" t="s">
        <v>319</v>
      </c>
      <c r="BP4" s="28" t="s">
        <v>319</v>
      </c>
      <c r="BQ4" s="28" t="s">
        <v>319</v>
      </c>
      <c r="BR4" s="5">
        <v>225.5</v>
      </c>
      <c r="BS4" s="13">
        <v>990</v>
      </c>
      <c r="BT4" s="6"/>
      <c r="BU4" s="5"/>
      <c r="BV4" s="6"/>
      <c r="BW4" s="5"/>
      <c r="BX4" s="6"/>
      <c r="BY4" s="6"/>
      <c r="BZ4" s="30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9"/>
      <c r="DB4" s="6"/>
      <c r="DC4" s="30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 t="s">
        <v>319</v>
      </c>
      <c r="DO4" s="28" t="s">
        <v>319</v>
      </c>
      <c r="DP4" s="28" t="s">
        <v>319</v>
      </c>
      <c r="DQ4" s="28" t="s">
        <v>319</v>
      </c>
      <c r="DR4" s="28" t="s">
        <v>319</v>
      </c>
      <c r="DS4" s="28" t="s">
        <v>319</v>
      </c>
      <c r="DT4" s="28" t="s">
        <v>319</v>
      </c>
      <c r="DU4" s="28" t="s">
        <v>319</v>
      </c>
      <c r="DV4" s="28" t="s">
        <v>319</v>
      </c>
      <c r="DW4" s="28" t="s">
        <v>319</v>
      </c>
      <c r="DX4" s="28" t="s">
        <v>319</v>
      </c>
      <c r="DY4" s="28" t="s">
        <v>319</v>
      </c>
      <c r="DZ4" s="28" t="s">
        <v>319</v>
      </c>
      <c r="EA4" s="28" t="s">
        <v>319</v>
      </c>
      <c r="EB4" s="28" t="s">
        <v>319</v>
      </c>
      <c r="EC4" s="28" t="s">
        <v>319</v>
      </c>
      <c r="ED4" s="28" t="s">
        <v>319</v>
      </c>
      <c r="EE4" s="28"/>
      <c r="EF4" s="28" t="s">
        <v>319</v>
      </c>
      <c r="EG4" s="28" t="s">
        <v>319</v>
      </c>
      <c r="EH4" s="28" t="s">
        <v>319</v>
      </c>
      <c r="EI4" s="28" t="s">
        <v>319</v>
      </c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7"/>
      <c r="FK4" s="6"/>
      <c r="FL4" s="6"/>
      <c r="FM4" s="94"/>
    </row>
    <row r="5" spans="1:169" s="48" customFormat="1" x14ac:dyDescent="0.4">
      <c r="A5" s="93"/>
      <c r="B5" s="93"/>
      <c r="C5" s="26"/>
      <c r="D5" s="27"/>
      <c r="E5" s="2" t="s">
        <v>1115</v>
      </c>
      <c r="F5" s="28"/>
      <c r="G5" s="28"/>
      <c r="H5" s="28"/>
      <c r="I5" s="6" t="s">
        <v>559</v>
      </c>
      <c r="J5" s="28"/>
      <c r="K5" s="28"/>
      <c r="L5" s="28"/>
      <c r="M5" s="28"/>
      <c r="N5" s="28"/>
      <c r="O5" s="28"/>
      <c r="P5" s="28"/>
      <c r="Q5" s="5" t="s">
        <v>684</v>
      </c>
      <c r="R5" s="5" t="s">
        <v>663</v>
      </c>
      <c r="S5" s="6" t="s">
        <v>669</v>
      </c>
      <c r="T5" s="5"/>
      <c r="U5" s="5">
        <v>5940</v>
      </c>
      <c r="V5" s="5"/>
      <c r="W5" s="6" t="s">
        <v>665</v>
      </c>
      <c r="X5" s="105"/>
      <c r="Y5" s="105">
        <v>3.58</v>
      </c>
      <c r="Z5" s="105"/>
      <c r="AA5" s="6" t="s">
        <v>955</v>
      </c>
      <c r="AB5" s="105"/>
      <c r="AC5" s="105">
        <v>2.04</v>
      </c>
      <c r="AD5" s="104"/>
      <c r="AE5" s="6" t="s">
        <v>956</v>
      </c>
      <c r="AF5" s="6"/>
      <c r="AG5" s="12">
        <v>34.700000000000003</v>
      </c>
      <c r="AH5" s="6"/>
      <c r="AI5" s="6" t="s">
        <v>965</v>
      </c>
      <c r="AJ5" s="5"/>
      <c r="AK5" s="5">
        <v>0.59199999999999997</v>
      </c>
      <c r="AL5" s="6"/>
      <c r="AM5" s="6" t="s">
        <v>958</v>
      </c>
      <c r="AN5" s="6"/>
      <c r="AO5" s="5">
        <v>1.45</v>
      </c>
      <c r="AP5" s="6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6" t="s">
        <v>984</v>
      </c>
      <c r="BC5" s="5"/>
      <c r="BD5" s="106">
        <v>100</v>
      </c>
      <c r="BE5" s="6" t="s">
        <v>1008</v>
      </c>
      <c r="BF5" s="6"/>
      <c r="BG5" s="12">
        <v>7.6</v>
      </c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5">
        <v>225.5</v>
      </c>
      <c r="BS5" s="13">
        <v>990</v>
      </c>
      <c r="BT5" s="6"/>
      <c r="BU5" s="5"/>
      <c r="BV5" s="6"/>
      <c r="BW5" s="5"/>
      <c r="BX5" s="6"/>
      <c r="BY5" s="6"/>
      <c r="BZ5" s="30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9"/>
      <c r="DB5" s="6"/>
      <c r="DC5" s="30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7"/>
      <c r="FK5" s="6"/>
      <c r="FL5" s="6"/>
      <c r="FM5" s="94"/>
    </row>
    <row r="6" spans="1:169" s="3" customFormat="1" ht="52.2" x14ac:dyDescent="0.4">
      <c r="A6" s="93"/>
      <c r="B6" s="93"/>
      <c r="C6" s="26"/>
      <c r="D6" s="27" t="s">
        <v>319</v>
      </c>
      <c r="E6" s="2" t="s">
        <v>1341</v>
      </c>
      <c r="F6" s="28" t="s">
        <v>319</v>
      </c>
      <c r="G6" s="28" t="s">
        <v>319</v>
      </c>
      <c r="H6" s="28" t="s">
        <v>319</v>
      </c>
      <c r="I6" s="6" t="s">
        <v>560</v>
      </c>
      <c r="J6" s="28" t="s">
        <v>319</v>
      </c>
      <c r="K6" s="28" t="s">
        <v>319</v>
      </c>
      <c r="L6" s="28" t="s">
        <v>319</v>
      </c>
      <c r="M6" s="28" t="s">
        <v>319</v>
      </c>
      <c r="N6" s="28" t="s">
        <v>319</v>
      </c>
      <c r="O6" s="28" t="s">
        <v>319</v>
      </c>
      <c r="P6" s="28" t="s">
        <v>319</v>
      </c>
      <c r="Q6" s="5" t="s">
        <v>673</v>
      </c>
      <c r="R6" s="5" t="s">
        <v>667</v>
      </c>
      <c r="S6" s="6" t="s">
        <v>669</v>
      </c>
      <c r="T6" s="5"/>
      <c r="U6" s="5">
        <v>462441</v>
      </c>
      <c r="V6" s="5"/>
      <c r="W6" s="6" t="s">
        <v>665</v>
      </c>
      <c r="X6" s="5"/>
      <c r="Y6" s="5">
        <v>2.48</v>
      </c>
      <c r="Z6" s="5"/>
      <c r="AA6" s="6" t="s">
        <v>963</v>
      </c>
      <c r="AB6" s="5"/>
      <c r="AC6" s="238">
        <v>1.83</v>
      </c>
      <c r="AD6" s="5"/>
      <c r="AE6" s="6" t="s">
        <v>956</v>
      </c>
      <c r="AF6" s="6"/>
      <c r="AG6" s="12">
        <v>93.3</v>
      </c>
      <c r="AH6" s="6"/>
      <c r="AI6" s="6" t="s">
        <v>965</v>
      </c>
      <c r="AJ6" s="5"/>
      <c r="AK6" s="5">
        <v>0.01</v>
      </c>
      <c r="AL6" s="6"/>
      <c r="AM6" s="6" t="s">
        <v>958</v>
      </c>
      <c r="AN6" s="6"/>
      <c r="AO6" s="107" t="s">
        <v>1326</v>
      </c>
      <c r="AP6" s="6"/>
      <c r="AQ6" s="28" t="s">
        <v>319</v>
      </c>
      <c r="AR6" s="28" t="s">
        <v>319</v>
      </c>
      <c r="AS6" s="28" t="s">
        <v>319</v>
      </c>
      <c r="AT6" s="28" t="s">
        <v>319</v>
      </c>
      <c r="AU6" s="28" t="s">
        <v>319</v>
      </c>
      <c r="AV6" s="28" t="s">
        <v>319</v>
      </c>
      <c r="AW6" s="28" t="s">
        <v>319</v>
      </c>
      <c r="AX6" s="28" t="s">
        <v>319</v>
      </c>
      <c r="AY6" s="28" t="s">
        <v>319</v>
      </c>
      <c r="AZ6" s="28" t="s">
        <v>319</v>
      </c>
      <c r="BA6" s="28" t="s">
        <v>319</v>
      </c>
      <c r="BB6" s="6" t="s">
        <v>984</v>
      </c>
      <c r="BC6" s="5" t="s">
        <v>1012</v>
      </c>
      <c r="BD6" s="106" t="s">
        <v>1327</v>
      </c>
      <c r="BE6" s="6" t="s">
        <v>1010</v>
      </c>
      <c r="BF6" s="6" t="s">
        <v>1328</v>
      </c>
      <c r="BG6" s="12">
        <v>10.5</v>
      </c>
      <c r="BH6" s="28" t="s">
        <v>319</v>
      </c>
      <c r="BI6" s="28" t="s">
        <v>319</v>
      </c>
      <c r="BJ6" s="28" t="s">
        <v>319</v>
      </c>
      <c r="BK6" s="28" t="s">
        <v>319</v>
      </c>
      <c r="BL6" s="28" t="s">
        <v>319</v>
      </c>
      <c r="BM6" s="28" t="s">
        <v>319</v>
      </c>
      <c r="BN6" s="28" t="s">
        <v>319</v>
      </c>
      <c r="BO6" s="28" t="s">
        <v>319</v>
      </c>
      <c r="BP6" s="28" t="s">
        <v>319</v>
      </c>
      <c r="BQ6" s="28" t="s">
        <v>319</v>
      </c>
      <c r="BR6" s="5"/>
      <c r="BS6" s="5"/>
      <c r="BT6" s="6"/>
      <c r="BU6" s="5">
        <v>29.2</v>
      </c>
      <c r="BV6" s="6" t="s">
        <v>1329</v>
      </c>
      <c r="BW6" s="5">
        <v>1.19</v>
      </c>
      <c r="BX6" s="6"/>
      <c r="BY6" s="6"/>
      <c r="BZ6" s="30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9"/>
      <c r="DB6" s="6"/>
      <c r="DC6" s="30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 t="s">
        <v>319</v>
      </c>
      <c r="DO6" s="28" t="s">
        <v>319</v>
      </c>
      <c r="DP6" s="28" t="s">
        <v>319</v>
      </c>
      <c r="DQ6" s="28" t="s">
        <v>319</v>
      </c>
      <c r="DR6" s="28" t="s">
        <v>319</v>
      </c>
      <c r="DS6" s="28" t="s">
        <v>319</v>
      </c>
      <c r="DT6" s="28" t="s">
        <v>319</v>
      </c>
      <c r="DU6" s="28" t="s">
        <v>319</v>
      </c>
      <c r="DV6" s="28" t="s">
        <v>319</v>
      </c>
      <c r="DW6" s="28" t="s">
        <v>319</v>
      </c>
      <c r="DX6" s="28" t="s">
        <v>319</v>
      </c>
      <c r="DY6" s="28" t="s">
        <v>319</v>
      </c>
      <c r="DZ6" s="28" t="s">
        <v>319</v>
      </c>
      <c r="EA6" s="28" t="s">
        <v>319</v>
      </c>
      <c r="EB6" s="28" t="s">
        <v>319</v>
      </c>
      <c r="EC6" s="28" t="s">
        <v>319</v>
      </c>
      <c r="ED6" s="28" t="s">
        <v>319</v>
      </c>
      <c r="EE6" s="28"/>
      <c r="EF6" s="28" t="s">
        <v>319</v>
      </c>
      <c r="EG6" s="28" t="s">
        <v>319</v>
      </c>
      <c r="EH6" s="28" t="s">
        <v>319</v>
      </c>
      <c r="EI6" s="28" t="s">
        <v>319</v>
      </c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7"/>
      <c r="FK6" s="15" t="s">
        <v>1056</v>
      </c>
      <c r="FL6" s="6"/>
      <c r="FM6" s="94"/>
    </row>
    <row r="7" spans="1:169" s="3" customFormat="1" ht="52.2" x14ac:dyDescent="0.4">
      <c r="A7" s="93"/>
      <c r="B7" s="93"/>
      <c r="C7" s="26"/>
      <c r="D7" s="27"/>
      <c r="E7" s="2" t="s">
        <v>1341</v>
      </c>
      <c r="F7" s="28"/>
      <c r="G7" s="28"/>
      <c r="H7" s="28"/>
      <c r="I7" s="6" t="s">
        <v>560</v>
      </c>
      <c r="J7" s="28"/>
      <c r="K7" s="28"/>
      <c r="L7" s="28"/>
      <c r="M7" s="28"/>
      <c r="N7" s="28"/>
      <c r="O7" s="28"/>
      <c r="P7" s="28"/>
      <c r="Q7" s="5" t="s">
        <v>673</v>
      </c>
      <c r="R7" s="5" t="s">
        <v>667</v>
      </c>
      <c r="S7" s="6" t="s">
        <v>664</v>
      </c>
      <c r="T7" s="5"/>
      <c r="U7" s="5">
        <v>235173</v>
      </c>
      <c r="V7" s="5"/>
      <c r="W7" s="6" t="s">
        <v>665</v>
      </c>
      <c r="X7" s="5"/>
      <c r="Y7" s="5">
        <v>1.07</v>
      </c>
      <c r="Z7" s="5"/>
      <c r="AA7" s="6" t="s">
        <v>955</v>
      </c>
      <c r="AB7" s="5"/>
      <c r="AC7" s="238">
        <v>0.59</v>
      </c>
      <c r="AD7" s="5"/>
      <c r="AE7" s="6" t="s">
        <v>956</v>
      </c>
      <c r="AF7" s="6"/>
      <c r="AG7" s="12">
        <v>61.9</v>
      </c>
      <c r="AH7" s="6"/>
      <c r="AI7" s="6" t="s">
        <v>957</v>
      </c>
      <c r="AJ7" s="5"/>
      <c r="AK7" s="5">
        <v>0.01</v>
      </c>
      <c r="AL7" s="6"/>
      <c r="AM7" s="6" t="s">
        <v>958</v>
      </c>
      <c r="AN7" s="6"/>
      <c r="AO7" s="107" t="s">
        <v>1326</v>
      </c>
      <c r="AP7" s="6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6" t="s">
        <v>984</v>
      </c>
      <c r="BC7" s="5"/>
      <c r="BD7" s="106" t="s">
        <v>1327</v>
      </c>
      <c r="BE7" s="6" t="s">
        <v>1008</v>
      </c>
      <c r="BF7" s="6" t="s">
        <v>1328</v>
      </c>
      <c r="BG7" s="12">
        <v>10.5</v>
      </c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5"/>
      <c r="BS7" s="5"/>
      <c r="BT7" s="6"/>
      <c r="BU7" s="5">
        <v>29.2</v>
      </c>
      <c r="BV7" s="6" t="s">
        <v>1330</v>
      </c>
      <c r="BW7" s="5">
        <v>1.19</v>
      </c>
      <c r="BX7" s="6"/>
      <c r="BY7" s="6"/>
      <c r="BZ7" s="30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9"/>
      <c r="DB7" s="6"/>
      <c r="DC7" s="30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7"/>
      <c r="FK7" s="15" t="s">
        <v>1056</v>
      </c>
      <c r="FL7" s="6"/>
      <c r="FM7" s="94"/>
    </row>
    <row r="8" spans="1:169" s="3" customFormat="1" ht="52.2" x14ac:dyDescent="0.4">
      <c r="A8" s="93"/>
      <c r="B8" s="93"/>
      <c r="C8" s="26"/>
      <c r="D8" s="27"/>
      <c r="E8" s="2" t="s">
        <v>1341</v>
      </c>
      <c r="F8" s="28"/>
      <c r="G8" s="28"/>
      <c r="H8" s="28"/>
      <c r="I8" s="6" t="s">
        <v>560</v>
      </c>
      <c r="J8" s="28"/>
      <c r="K8" s="28"/>
      <c r="L8" s="28"/>
      <c r="M8" s="28"/>
      <c r="N8" s="28"/>
      <c r="O8" s="28"/>
      <c r="P8" s="28"/>
      <c r="Q8" s="5" t="s">
        <v>673</v>
      </c>
      <c r="R8" s="5" t="s">
        <v>667</v>
      </c>
      <c r="S8" s="6" t="s">
        <v>664</v>
      </c>
      <c r="T8" s="5"/>
      <c r="U8" s="5">
        <v>693662</v>
      </c>
      <c r="V8" s="5"/>
      <c r="W8" s="6" t="s">
        <v>665</v>
      </c>
      <c r="X8" s="5"/>
      <c r="Y8" s="5">
        <v>2.2000000000000002</v>
      </c>
      <c r="Z8" s="5"/>
      <c r="AA8" s="6" t="s">
        <v>955</v>
      </c>
      <c r="AB8" s="5"/>
      <c r="AC8" s="238">
        <v>1.33</v>
      </c>
      <c r="AD8" s="5"/>
      <c r="AE8" s="6" t="s">
        <v>956</v>
      </c>
      <c r="AF8" s="6"/>
      <c r="AG8" s="12">
        <v>93.3</v>
      </c>
      <c r="AH8" s="6"/>
      <c r="AI8" s="6" t="s">
        <v>957</v>
      </c>
      <c r="AJ8" s="5"/>
      <c r="AK8" s="5">
        <v>0.01</v>
      </c>
      <c r="AL8" s="6"/>
      <c r="AM8" s="6" t="s">
        <v>958</v>
      </c>
      <c r="AN8" s="6"/>
      <c r="AO8" s="107" t="s">
        <v>1326</v>
      </c>
      <c r="AP8" s="6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6" t="s">
        <v>984</v>
      </c>
      <c r="BC8" s="5"/>
      <c r="BD8" s="106" t="s">
        <v>1327</v>
      </c>
      <c r="BE8" s="6" t="s">
        <v>1008</v>
      </c>
      <c r="BF8" s="6" t="s">
        <v>1328</v>
      </c>
      <c r="BG8" s="12">
        <v>10.5</v>
      </c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5"/>
      <c r="BS8" s="5"/>
      <c r="BT8" s="6"/>
      <c r="BU8" s="5">
        <v>29.2</v>
      </c>
      <c r="BV8" s="6" t="s">
        <v>1330</v>
      </c>
      <c r="BW8" s="5">
        <v>1.19</v>
      </c>
      <c r="BX8" s="6"/>
      <c r="BY8" s="6"/>
      <c r="BZ8" s="30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9"/>
      <c r="DB8" s="6"/>
      <c r="DC8" s="30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7"/>
      <c r="FK8" s="15" t="s">
        <v>1056</v>
      </c>
      <c r="FL8" s="6"/>
      <c r="FM8" s="94"/>
    </row>
    <row r="9" spans="1:169" s="3" customFormat="1" ht="52.2" x14ac:dyDescent="0.4">
      <c r="A9" s="93"/>
      <c r="B9" s="93"/>
      <c r="C9" s="26"/>
      <c r="D9" s="27"/>
      <c r="E9" s="2" t="s">
        <v>1342</v>
      </c>
      <c r="F9" s="28"/>
      <c r="G9" s="28"/>
      <c r="H9" s="28"/>
      <c r="I9" s="6" t="s">
        <v>560</v>
      </c>
      <c r="J9" s="28"/>
      <c r="K9" s="28"/>
      <c r="L9" s="28"/>
      <c r="M9" s="28"/>
      <c r="N9" s="28"/>
      <c r="O9" s="28"/>
      <c r="P9" s="28"/>
      <c r="Q9" s="5" t="s">
        <v>673</v>
      </c>
      <c r="R9" s="5" t="s">
        <v>667</v>
      </c>
      <c r="S9" s="6" t="s">
        <v>664</v>
      </c>
      <c r="T9" s="5"/>
      <c r="U9" s="5">
        <v>352759</v>
      </c>
      <c r="V9" s="5"/>
      <c r="W9" s="6" t="s">
        <v>665</v>
      </c>
      <c r="X9" s="5"/>
      <c r="Y9" s="5">
        <v>0.95</v>
      </c>
      <c r="Z9" s="5"/>
      <c r="AA9" s="6" t="s">
        <v>955</v>
      </c>
      <c r="AB9" s="5"/>
      <c r="AC9" s="238">
        <v>0.4</v>
      </c>
      <c r="AD9" s="5"/>
      <c r="AE9" s="6" t="s">
        <v>956</v>
      </c>
      <c r="AF9" s="6"/>
      <c r="AG9" s="12">
        <v>61.9</v>
      </c>
      <c r="AH9" s="6"/>
      <c r="AI9" s="6" t="s">
        <v>957</v>
      </c>
      <c r="AJ9" s="5"/>
      <c r="AK9" s="5">
        <v>0.01</v>
      </c>
      <c r="AL9" s="6"/>
      <c r="AM9" s="6" t="s">
        <v>958</v>
      </c>
      <c r="AN9" s="6"/>
      <c r="AO9" s="107" t="s">
        <v>1326</v>
      </c>
      <c r="AP9" s="6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6" t="s">
        <v>984</v>
      </c>
      <c r="BC9" s="5"/>
      <c r="BD9" s="106" t="s">
        <v>1327</v>
      </c>
      <c r="BE9" s="6" t="s">
        <v>1008</v>
      </c>
      <c r="BF9" s="6" t="s">
        <v>1328</v>
      </c>
      <c r="BG9" s="12">
        <v>10.5</v>
      </c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5"/>
      <c r="BS9" s="5"/>
      <c r="BT9" s="6"/>
      <c r="BU9" s="5">
        <v>29.2</v>
      </c>
      <c r="BV9" s="6" t="s">
        <v>1330</v>
      </c>
      <c r="BW9" s="5">
        <v>1.19</v>
      </c>
      <c r="BX9" s="6"/>
      <c r="BY9" s="6"/>
      <c r="BZ9" s="30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9"/>
      <c r="DB9" s="6"/>
      <c r="DC9" s="30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7"/>
      <c r="FK9" s="15" t="s">
        <v>1056</v>
      </c>
      <c r="FL9" s="6"/>
      <c r="FM9" s="94"/>
    </row>
    <row r="10" spans="1:169" s="3" customFormat="1" ht="52.2" x14ac:dyDescent="0.4">
      <c r="A10" s="93"/>
      <c r="B10" s="93"/>
      <c r="C10" s="26"/>
      <c r="D10" s="27" t="s">
        <v>319</v>
      </c>
      <c r="E10" s="2" t="s">
        <v>320</v>
      </c>
      <c r="F10" s="28" t="s">
        <v>319</v>
      </c>
      <c r="G10" s="28" t="s">
        <v>319</v>
      </c>
      <c r="H10" s="28" t="s">
        <v>319</v>
      </c>
      <c r="I10" s="6" t="s">
        <v>561</v>
      </c>
      <c r="J10" s="28" t="s">
        <v>319</v>
      </c>
      <c r="K10" s="28" t="s">
        <v>319</v>
      </c>
      <c r="L10" s="28" t="s">
        <v>319</v>
      </c>
      <c r="M10" s="28" t="s">
        <v>319</v>
      </c>
      <c r="N10" s="28" t="s">
        <v>319</v>
      </c>
      <c r="O10" s="28" t="s">
        <v>319</v>
      </c>
      <c r="P10" s="28" t="s">
        <v>319</v>
      </c>
      <c r="Q10" s="5" t="s">
        <v>682</v>
      </c>
      <c r="R10" s="5" t="s">
        <v>663</v>
      </c>
      <c r="S10" s="6" t="s">
        <v>678</v>
      </c>
      <c r="T10" s="5">
        <v>9000</v>
      </c>
      <c r="U10" s="5">
        <v>15000</v>
      </c>
      <c r="V10" s="5">
        <v>16500</v>
      </c>
      <c r="W10" s="6" t="s">
        <v>665</v>
      </c>
      <c r="X10" s="105">
        <v>3.6</v>
      </c>
      <c r="Y10" s="105">
        <f>3.37-0.13</f>
        <v>3.24</v>
      </c>
      <c r="Z10" s="105">
        <f>3.28-0.13</f>
        <v>3.15</v>
      </c>
      <c r="AA10" s="6" t="s">
        <v>963</v>
      </c>
      <c r="AB10" s="6" t="s">
        <v>1117</v>
      </c>
      <c r="AC10" s="6" t="s">
        <v>1116</v>
      </c>
      <c r="AD10" s="6" t="s">
        <v>981</v>
      </c>
      <c r="AE10" s="6" t="s">
        <v>956</v>
      </c>
      <c r="AF10" s="6"/>
      <c r="AG10" s="12">
        <v>36.200000000000003</v>
      </c>
      <c r="AH10" s="6"/>
      <c r="AI10" s="6" t="s">
        <v>965</v>
      </c>
      <c r="AJ10" s="108"/>
      <c r="AK10" s="108">
        <v>0.40799999999999997</v>
      </c>
      <c r="AL10" s="6"/>
      <c r="AM10" s="6" t="s">
        <v>958</v>
      </c>
      <c r="AN10" s="6"/>
      <c r="AO10" s="105">
        <v>2.66</v>
      </c>
      <c r="AP10" s="6"/>
      <c r="AQ10" s="28" t="s">
        <v>319</v>
      </c>
      <c r="AR10" s="28" t="s">
        <v>319</v>
      </c>
      <c r="AS10" s="28" t="s">
        <v>319</v>
      </c>
      <c r="AT10" s="28" t="s">
        <v>319</v>
      </c>
      <c r="AU10" s="28" t="s">
        <v>319</v>
      </c>
      <c r="AV10" s="28" t="s">
        <v>319</v>
      </c>
      <c r="AW10" s="28" t="s">
        <v>319</v>
      </c>
      <c r="AX10" s="28" t="s">
        <v>319</v>
      </c>
      <c r="AY10" s="28" t="s">
        <v>319</v>
      </c>
      <c r="AZ10" s="28" t="s">
        <v>319</v>
      </c>
      <c r="BA10" s="28" t="s">
        <v>319</v>
      </c>
      <c r="BB10" s="6" t="s">
        <v>984</v>
      </c>
      <c r="BC10" s="5" t="s">
        <v>1011</v>
      </c>
      <c r="BD10" s="212" t="s">
        <v>1446</v>
      </c>
      <c r="BE10" s="6" t="s">
        <v>1010</v>
      </c>
      <c r="BF10" s="181" t="s">
        <v>1447</v>
      </c>
      <c r="BG10" s="12">
        <v>13</v>
      </c>
      <c r="BH10" s="28" t="s">
        <v>319</v>
      </c>
      <c r="BI10" s="28" t="s">
        <v>319</v>
      </c>
      <c r="BJ10" s="28" t="s">
        <v>319</v>
      </c>
      <c r="BK10" s="28" t="s">
        <v>319</v>
      </c>
      <c r="BL10" s="28" t="s">
        <v>319</v>
      </c>
      <c r="BM10" s="28" t="s">
        <v>319</v>
      </c>
      <c r="BN10" s="28" t="s">
        <v>319</v>
      </c>
      <c r="BO10" s="28" t="s">
        <v>319</v>
      </c>
      <c r="BP10" s="28" t="s">
        <v>319</v>
      </c>
      <c r="BQ10" s="28" t="s">
        <v>319</v>
      </c>
      <c r="BR10" s="12">
        <v>42.6</v>
      </c>
      <c r="BS10" s="12">
        <v>806.6</v>
      </c>
      <c r="BT10" s="6"/>
      <c r="BU10" s="5"/>
      <c r="BV10" s="6"/>
      <c r="BW10" s="5"/>
      <c r="BX10" s="6"/>
      <c r="BY10" s="6"/>
      <c r="BZ10" s="30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9"/>
      <c r="DB10" s="6"/>
      <c r="DC10" s="30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 t="s">
        <v>319</v>
      </c>
      <c r="DO10" s="28" t="s">
        <v>319</v>
      </c>
      <c r="DP10" s="28" t="s">
        <v>319</v>
      </c>
      <c r="DQ10" s="28" t="s">
        <v>319</v>
      </c>
      <c r="DR10" s="28" t="s">
        <v>319</v>
      </c>
      <c r="DS10" s="28" t="s">
        <v>319</v>
      </c>
      <c r="DT10" s="28" t="s">
        <v>319</v>
      </c>
      <c r="DU10" s="28" t="s">
        <v>319</v>
      </c>
      <c r="DV10" s="28" t="s">
        <v>319</v>
      </c>
      <c r="DW10" s="28" t="s">
        <v>319</v>
      </c>
      <c r="DX10" s="28" t="s">
        <v>319</v>
      </c>
      <c r="DY10" s="28" t="s">
        <v>319</v>
      </c>
      <c r="DZ10" s="28" t="s">
        <v>319</v>
      </c>
      <c r="EA10" s="28" t="s">
        <v>319</v>
      </c>
      <c r="EB10" s="28" t="s">
        <v>319</v>
      </c>
      <c r="EC10" s="28" t="s">
        <v>319</v>
      </c>
      <c r="ED10" s="28" t="s">
        <v>319</v>
      </c>
      <c r="EE10" s="28"/>
      <c r="EF10" s="28" t="s">
        <v>319</v>
      </c>
      <c r="EG10" s="28" t="s">
        <v>319</v>
      </c>
      <c r="EH10" s="28" t="s">
        <v>319</v>
      </c>
      <c r="EI10" s="28" t="s">
        <v>319</v>
      </c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7"/>
      <c r="FK10" s="15" t="s">
        <v>1056</v>
      </c>
      <c r="FL10" s="6"/>
      <c r="FM10" s="94"/>
    </row>
    <row r="11" spans="1:169" s="3" customFormat="1" ht="52.2" x14ac:dyDescent="0.4">
      <c r="A11" s="93"/>
      <c r="B11" s="93"/>
      <c r="C11" s="26"/>
      <c r="D11" s="27" t="s">
        <v>319</v>
      </c>
      <c r="E11" s="2" t="s">
        <v>321</v>
      </c>
      <c r="F11" s="28" t="s">
        <v>319</v>
      </c>
      <c r="G11" s="28" t="s">
        <v>319</v>
      </c>
      <c r="H11" s="28" t="s">
        <v>319</v>
      </c>
      <c r="I11" s="6" t="s">
        <v>562</v>
      </c>
      <c r="J11" s="28" t="s">
        <v>319</v>
      </c>
      <c r="K11" s="28" t="s">
        <v>319</v>
      </c>
      <c r="L11" s="28" t="s">
        <v>319</v>
      </c>
      <c r="M11" s="28" t="s">
        <v>319</v>
      </c>
      <c r="N11" s="28" t="s">
        <v>319</v>
      </c>
      <c r="O11" s="28" t="s">
        <v>319</v>
      </c>
      <c r="P11" s="28" t="s">
        <v>319</v>
      </c>
      <c r="Q11" s="5" t="s">
        <v>682</v>
      </c>
      <c r="R11" s="5" t="s">
        <v>663</v>
      </c>
      <c r="S11" s="6" t="s">
        <v>678</v>
      </c>
      <c r="T11" s="5"/>
      <c r="U11" s="5">
        <f>39*807</f>
        <v>31473</v>
      </c>
      <c r="V11" s="5"/>
      <c r="W11" s="6" t="s">
        <v>665</v>
      </c>
      <c r="X11" s="5"/>
      <c r="Y11" s="13">
        <v>3</v>
      </c>
      <c r="Z11" s="105"/>
      <c r="AA11" s="6" t="s">
        <v>963</v>
      </c>
      <c r="AB11" s="6"/>
      <c r="AC11" s="6" t="s">
        <v>1118</v>
      </c>
      <c r="AD11" s="100"/>
      <c r="AE11" s="6" t="s">
        <v>967</v>
      </c>
      <c r="AF11" s="6"/>
      <c r="AG11" s="12">
        <v>36.200000000000003</v>
      </c>
      <c r="AH11" s="6"/>
      <c r="AI11" s="6" t="s">
        <v>965</v>
      </c>
      <c r="AJ11" s="5"/>
      <c r="AK11" s="108">
        <v>0.40799999999999997</v>
      </c>
      <c r="AL11" s="6"/>
      <c r="AM11" s="6" t="s">
        <v>958</v>
      </c>
      <c r="AN11" s="6"/>
      <c r="AO11" s="105">
        <v>2.66</v>
      </c>
      <c r="AP11" s="6"/>
      <c r="AQ11" s="28" t="s">
        <v>319</v>
      </c>
      <c r="AR11" s="28" t="s">
        <v>319</v>
      </c>
      <c r="AS11" s="28" t="s">
        <v>319</v>
      </c>
      <c r="AT11" s="28" t="s">
        <v>319</v>
      </c>
      <c r="AU11" s="28" t="s">
        <v>319</v>
      </c>
      <c r="AV11" s="28" t="s">
        <v>319</v>
      </c>
      <c r="AW11" s="28" t="s">
        <v>319</v>
      </c>
      <c r="AX11" s="28" t="s">
        <v>319</v>
      </c>
      <c r="AY11" s="28" t="s">
        <v>319</v>
      </c>
      <c r="AZ11" s="28" t="s">
        <v>319</v>
      </c>
      <c r="BA11" s="28" t="s">
        <v>319</v>
      </c>
      <c r="BB11" s="6" t="s">
        <v>984</v>
      </c>
      <c r="BC11" s="5" t="s">
        <v>1011</v>
      </c>
      <c r="BD11" s="212" t="s">
        <v>1446</v>
      </c>
      <c r="BE11" s="6" t="s">
        <v>1010</v>
      </c>
      <c r="BF11" s="181" t="s">
        <v>1447</v>
      </c>
      <c r="BG11" s="12">
        <v>13</v>
      </c>
      <c r="BH11" s="28" t="s">
        <v>319</v>
      </c>
      <c r="BI11" s="28" t="s">
        <v>319</v>
      </c>
      <c r="BJ11" s="28" t="s">
        <v>319</v>
      </c>
      <c r="BK11" s="28" t="s">
        <v>319</v>
      </c>
      <c r="BL11" s="28" t="s">
        <v>319</v>
      </c>
      <c r="BM11" s="28" t="s">
        <v>319</v>
      </c>
      <c r="BN11" s="28" t="s">
        <v>319</v>
      </c>
      <c r="BO11" s="28" t="s">
        <v>319</v>
      </c>
      <c r="BP11" s="28" t="s">
        <v>319</v>
      </c>
      <c r="BQ11" s="28" t="s">
        <v>319</v>
      </c>
      <c r="BR11" s="12">
        <v>42.6</v>
      </c>
      <c r="BS11" s="12">
        <v>806.6</v>
      </c>
      <c r="BT11" s="6"/>
      <c r="BU11" s="5"/>
      <c r="BV11" s="6"/>
      <c r="BW11" s="5"/>
      <c r="BX11" s="6"/>
      <c r="BY11" s="6"/>
      <c r="BZ11" s="30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9"/>
      <c r="DB11" s="6"/>
      <c r="DC11" s="30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 t="s">
        <v>319</v>
      </c>
      <c r="DO11" s="28" t="s">
        <v>319</v>
      </c>
      <c r="DP11" s="28" t="s">
        <v>319</v>
      </c>
      <c r="DQ11" s="28" t="s">
        <v>319</v>
      </c>
      <c r="DR11" s="28" t="s">
        <v>319</v>
      </c>
      <c r="DS11" s="28" t="s">
        <v>319</v>
      </c>
      <c r="DT11" s="28" t="s">
        <v>319</v>
      </c>
      <c r="DU11" s="28" t="s">
        <v>319</v>
      </c>
      <c r="DV11" s="28" t="s">
        <v>319</v>
      </c>
      <c r="DW11" s="28" t="s">
        <v>319</v>
      </c>
      <c r="DX11" s="28" t="s">
        <v>319</v>
      </c>
      <c r="DY11" s="28" t="s">
        <v>319</v>
      </c>
      <c r="DZ11" s="28" t="s">
        <v>319</v>
      </c>
      <c r="EA11" s="28" t="s">
        <v>319</v>
      </c>
      <c r="EB11" s="28" t="s">
        <v>319</v>
      </c>
      <c r="EC11" s="28" t="s">
        <v>319</v>
      </c>
      <c r="ED11" s="28" t="s">
        <v>319</v>
      </c>
      <c r="EE11" s="28"/>
      <c r="EF11" s="28" t="s">
        <v>319</v>
      </c>
      <c r="EG11" s="28" t="s">
        <v>319</v>
      </c>
      <c r="EH11" s="28" t="s">
        <v>319</v>
      </c>
      <c r="EI11" s="28" t="s">
        <v>319</v>
      </c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7"/>
      <c r="FK11" s="15" t="s">
        <v>1056</v>
      </c>
      <c r="FL11" s="6"/>
      <c r="FM11" s="94"/>
    </row>
    <row r="12" spans="1:169" s="3" customFormat="1" ht="16.5" customHeight="1" x14ac:dyDescent="0.4">
      <c r="A12" s="93"/>
      <c r="B12" s="93"/>
      <c r="C12" s="26"/>
      <c r="D12" s="27" t="s">
        <v>319</v>
      </c>
      <c r="E12" s="2" t="s">
        <v>437</v>
      </c>
      <c r="F12" s="28" t="s">
        <v>319</v>
      </c>
      <c r="G12" s="28" t="s">
        <v>319</v>
      </c>
      <c r="H12" s="28" t="s">
        <v>319</v>
      </c>
      <c r="I12" s="6" t="s">
        <v>563</v>
      </c>
      <c r="J12" s="28" t="s">
        <v>319</v>
      </c>
      <c r="K12" s="28" t="s">
        <v>319</v>
      </c>
      <c r="L12" s="28" t="s">
        <v>319</v>
      </c>
      <c r="M12" s="28" t="s">
        <v>319</v>
      </c>
      <c r="N12" s="28" t="s">
        <v>319</v>
      </c>
      <c r="O12" s="28" t="s">
        <v>319</v>
      </c>
      <c r="P12" s="28" t="s">
        <v>319</v>
      </c>
      <c r="Q12" s="5" t="s">
        <v>685</v>
      </c>
      <c r="R12" s="5" t="s">
        <v>663</v>
      </c>
      <c r="S12" s="6" t="s">
        <v>669</v>
      </c>
      <c r="T12" s="5">
        <v>6646</v>
      </c>
      <c r="U12" s="5">
        <v>11077</v>
      </c>
      <c r="V12" s="5">
        <v>12185</v>
      </c>
      <c r="W12" s="6" t="s">
        <v>665</v>
      </c>
      <c r="X12" s="105">
        <v>2.0499999999999998</v>
      </c>
      <c r="Y12" s="105">
        <v>2.0499999999999998</v>
      </c>
      <c r="Z12" s="105">
        <v>2.0499999999999998</v>
      </c>
      <c r="AA12" s="6" t="s">
        <v>963</v>
      </c>
      <c r="AB12" s="6" t="s">
        <v>1121</v>
      </c>
      <c r="AC12" s="6" t="s">
        <v>1120</v>
      </c>
      <c r="AD12" s="6" t="s">
        <v>1119</v>
      </c>
      <c r="AE12" s="6" t="s">
        <v>956</v>
      </c>
      <c r="AF12" s="6"/>
      <c r="AG12" s="12">
        <v>36.200000000000003</v>
      </c>
      <c r="AH12" s="6"/>
      <c r="AI12" s="6" t="s">
        <v>965</v>
      </c>
      <c r="AJ12" s="5"/>
      <c r="AK12" s="108">
        <v>0.90700000000000003</v>
      </c>
      <c r="AL12" s="6"/>
      <c r="AM12" s="6" t="s">
        <v>958</v>
      </c>
      <c r="AN12" s="6"/>
      <c r="AO12" s="105">
        <v>1.47</v>
      </c>
      <c r="AP12" s="6"/>
      <c r="AQ12" s="28" t="s">
        <v>319</v>
      </c>
      <c r="AR12" s="28" t="s">
        <v>319</v>
      </c>
      <c r="AS12" s="28" t="s">
        <v>319</v>
      </c>
      <c r="AT12" s="28" t="s">
        <v>319</v>
      </c>
      <c r="AU12" s="28" t="s">
        <v>319</v>
      </c>
      <c r="AV12" s="28" t="s">
        <v>319</v>
      </c>
      <c r="AW12" s="28" t="s">
        <v>319</v>
      </c>
      <c r="AX12" s="28" t="s">
        <v>319</v>
      </c>
      <c r="AY12" s="28" t="s">
        <v>319</v>
      </c>
      <c r="AZ12" s="28" t="s">
        <v>319</v>
      </c>
      <c r="BA12" s="28" t="s">
        <v>319</v>
      </c>
      <c r="BB12" s="6" t="s">
        <v>984</v>
      </c>
      <c r="BC12" s="5" t="s">
        <v>1012</v>
      </c>
      <c r="BD12" s="212" t="s">
        <v>1446</v>
      </c>
      <c r="BE12" s="6" t="s">
        <v>1010</v>
      </c>
      <c r="BF12" s="181" t="s">
        <v>1437</v>
      </c>
      <c r="BG12" s="12">
        <v>10.5</v>
      </c>
      <c r="BH12" s="28" t="s">
        <v>319</v>
      </c>
      <c r="BI12" s="28" t="s">
        <v>319</v>
      </c>
      <c r="BJ12" s="28" t="s">
        <v>319</v>
      </c>
      <c r="BK12" s="28" t="s">
        <v>319</v>
      </c>
      <c r="BL12" s="28" t="s">
        <v>319</v>
      </c>
      <c r="BM12" s="28" t="s">
        <v>319</v>
      </c>
      <c r="BN12" s="28" t="s">
        <v>319</v>
      </c>
      <c r="BO12" s="28" t="s">
        <v>319</v>
      </c>
      <c r="BP12" s="28" t="s">
        <v>319</v>
      </c>
      <c r="BQ12" s="28" t="s">
        <v>319</v>
      </c>
      <c r="BR12" s="12">
        <v>225.5</v>
      </c>
      <c r="BS12" s="12">
        <v>986.4</v>
      </c>
      <c r="BT12" s="6"/>
      <c r="BU12" s="5"/>
      <c r="BV12" s="6"/>
      <c r="BW12" s="5"/>
      <c r="BX12" s="6" t="s">
        <v>1122</v>
      </c>
      <c r="BY12" s="6"/>
      <c r="BZ12" s="30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9"/>
      <c r="DB12" s="6"/>
      <c r="DC12" s="30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 t="s">
        <v>319</v>
      </c>
      <c r="DO12" s="28" t="s">
        <v>319</v>
      </c>
      <c r="DP12" s="28" t="s">
        <v>319</v>
      </c>
      <c r="DQ12" s="28" t="s">
        <v>319</v>
      </c>
      <c r="DR12" s="28" t="s">
        <v>319</v>
      </c>
      <c r="DS12" s="28" t="s">
        <v>319</v>
      </c>
      <c r="DT12" s="28" t="s">
        <v>319</v>
      </c>
      <c r="DU12" s="28" t="s">
        <v>319</v>
      </c>
      <c r="DV12" s="28" t="s">
        <v>319</v>
      </c>
      <c r="DW12" s="28" t="s">
        <v>319</v>
      </c>
      <c r="DX12" s="28" t="s">
        <v>319</v>
      </c>
      <c r="DY12" s="28" t="s">
        <v>319</v>
      </c>
      <c r="DZ12" s="28" t="s">
        <v>319</v>
      </c>
      <c r="EA12" s="28" t="s">
        <v>319</v>
      </c>
      <c r="EB12" s="28" t="s">
        <v>319</v>
      </c>
      <c r="EC12" s="28" t="s">
        <v>319</v>
      </c>
      <c r="ED12" s="28" t="s">
        <v>319</v>
      </c>
      <c r="EE12" s="28"/>
      <c r="EF12" s="28" t="s">
        <v>319</v>
      </c>
      <c r="EG12" s="28" t="s">
        <v>319</v>
      </c>
      <c r="EH12" s="28" t="s">
        <v>319</v>
      </c>
      <c r="EI12" s="28" t="s">
        <v>319</v>
      </c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7"/>
      <c r="FK12" s="6"/>
      <c r="FL12" s="6"/>
      <c r="FM12" s="94"/>
    </row>
    <row r="13" spans="1:169" s="3" customFormat="1" ht="52.2" x14ac:dyDescent="0.4">
      <c r="A13" s="93"/>
      <c r="B13" s="93"/>
      <c r="C13" s="26"/>
      <c r="D13" s="27" t="s">
        <v>319</v>
      </c>
      <c r="E13" s="2" t="s">
        <v>438</v>
      </c>
      <c r="F13" s="28" t="s">
        <v>319</v>
      </c>
      <c r="G13" s="28" t="s">
        <v>319</v>
      </c>
      <c r="H13" s="28" t="s">
        <v>319</v>
      </c>
      <c r="I13" s="6" t="s">
        <v>564</v>
      </c>
      <c r="J13" s="28" t="s">
        <v>319</v>
      </c>
      <c r="K13" s="28" t="s">
        <v>319</v>
      </c>
      <c r="L13" s="28" t="s">
        <v>319</v>
      </c>
      <c r="M13" s="28" t="s">
        <v>319</v>
      </c>
      <c r="N13" s="28" t="s">
        <v>319</v>
      </c>
      <c r="O13" s="28" t="s">
        <v>319</v>
      </c>
      <c r="P13" s="28" t="s">
        <v>319</v>
      </c>
      <c r="Q13" s="5" t="s">
        <v>673</v>
      </c>
      <c r="R13" s="5" t="s">
        <v>663</v>
      </c>
      <c r="S13" s="6" t="s">
        <v>678</v>
      </c>
      <c r="T13" s="5">
        <v>23810</v>
      </c>
      <c r="U13" s="5">
        <v>78497</v>
      </c>
      <c r="V13" s="5">
        <v>86347</v>
      </c>
      <c r="W13" s="6" t="s">
        <v>665</v>
      </c>
      <c r="X13" s="105">
        <v>5.04</v>
      </c>
      <c r="Y13" s="105">
        <v>5.04</v>
      </c>
      <c r="Z13" s="105">
        <v>5.04</v>
      </c>
      <c r="AA13" s="6" t="s">
        <v>963</v>
      </c>
      <c r="AB13" s="6" t="s">
        <v>1125</v>
      </c>
      <c r="AC13" s="6" t="s">
        <v>1124</v>
      </c>
      <c r="AD13" s="6" t="s">
        <v>1123</v>
      </c>
      <c r="AE13" s="6" t="s">
        <v>956</v>
      </c>
      <c r="AF13" s="6"/>
      <c r="AG13" s="12">
        <v>38.299999999999997</v>
      </c>
      <c r="AH13" s="6"/>
      <c r="AI13" s="6" t="s">
        <v>965</v>
      </c>
      <c r="AJ13" s="5"/>
      <c r="AK13" s="108">
        <v>0.311</v>
      </c>
      <c r="AL13" s="6"/>
      <c r="AM13" s="6" t="s">
        <v>958</v>
      </c>
      <c r="AN13" s="6"/>
      <c r="AO13" s="105">
        <v>5.51</v>
      </c>
      <c r="AP13" s="6"/>
      <c r="AQ13" s="28" t="s">
        <v>319</v>
      </c>
      <c r="AR13" s="28" t="s">
        <v>319</v>
      </c>
      <c r="AS13" s="28" t="s">
        <v>319</v>
      </c>
      <c r="AT13" s="28" t="s">
        <v>319</v>
      </c>
      <c r="AU13" s="28" t="s">
        <v>319</v>
      </c>
      <c r="AV13" s="28" t="s">
        <v>319</v>
      </c>
      <c r="AW13" s="28" t="s">
        <v>319</v>
      </c>
      <c r="AX13" s="28" t="s">
        <v>319</v>
      </c>
      <c r="AY13" s="28" t="s">
        <v>319</v>
      </c>
      <c r="AZ13" s="28" t="s">
        <v>319</v>
      </c>
      <c r="BA13" s="28" t="s">
        <v>319</v>
      </c>
      <c r="BB13" s="6" t="s">
        <v>1248</v>
      </c>
      <c r="BC13" s="5" t="s">
        <v>1012</v>
      </c>
      <c r="BD13" s="212" t="s">
        <v>1446</v>
      </c>
      <c r="BE13" s="6" t="s">
        <v>1010</v>
      </c>
      <c r="BF13" s="181" t="s">
        <v>1447</v>
      </c>
      <c r="BG13" s="12">
        <v>10.5</v>
      </c>
      <c r="BH13" s="28" t="s">
        <v>319</v>
      </c>
      <c r="BI13" s="28" t="s">
        <v>319</v>
      </c>
      <c r="BJ13" s="28" t="s">
        <v>319</v>
      </c>
      <c r="BK13" s="28" t="s">
        <v>319</v>
      </c>
      <c r="BL13" s="28" t="s">
        <v>319</v>
      </c>
      <c r="BM13" s="28" t="s">
        <v>319</v>
      </c>
      <c r="BN13" s="28" t="s">
        <v>319</v>
      </c>
      <c r="BO13" s="28" t="s">
        <v>319</v>
      </c>
      <c r="BP13" s="28" t="s">
        <v>319</v>
      </c>
      <c r="BQ13" s="28" t="s">
        <v>319</v>
      </c>
      <c r="BR13" s="12">
        <v>82.8</v>
      </c>
      <c r="BS13" s="12">
        <v>770.6</v>
      </c>
      <c r="BT13" s="6"/>
      <c r="BU13" s="5"/>
      <c r="BV13" s="6"/>
      <c r="BW13" s="5"/>
      <c r="BX13" s="6" t="s">
        <v>1053</v>
      </c>
      <c r="BY13" s="6"/>
      <c r="BZ13" s="30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9"/>
      <c r="DB13" s="6"/>
      <c r="DC13" s="30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 t="s">
        <v>319</v>
      </c>
      <c r="DO13" s="28" t="s">
        <v>319</v>
      </c>
      <c r="DP13" s="28" t="s">
        <v>319</v>
      </c>
      <c r="DQ13" s="28" t="s">
        <v>319</v>
      </c>
      <c r="DR13" s="28" t="s">
        <v>319</v>
      </c>
      <c r="DS13" s="28" t="s">
        <v>319</v>
      </c>
      <c r="DT13" s="28" t="s">
        <v>319</v>
      </c>
      <c r="DU13" s="28" t="s">
        <v>319</v>
      </c>
      <c r="DV13" s="28" t="s">
        <v>319</v>
      </c>
      <c r="DW13" s="28" t="s">
        <v>319</v>
      </c>
      <c r="DX13" s="28" t="s">
        <v>319</v>
      </c>
      <c r="DY13" s="28" t="s">
        <v>319</v>
      </c>
      <c r="DZ13" s="28" t="s">
        <v>319</v>
      </c>
      <c r="EA13" s="28" t="s">
        <v>319</v>
      </c>
      <c r="EB13" s="28" t="s">
        <v>319</v>
      </c>
      <c r="EC13" s="28" t="s">
        <v>319</v>
      </c>
      <c r="ED13" s="28" t="s">
        <v>319</v>
      </c>
      <c r="EE13" s="28"/>
      <c r="EF13" s="28" t="s">
        <v>319</v>
      </c>
      <c r="EG13" s="28" t="s">
        <v>319</v>
      </c>
      <c r="EH13" s="28" t="s">
        <v>319</v>
      </c>
      <c r="EI13" s="28" t="s">
        <v>319</v>
      </c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7"/>
      <c r="FK13" s="15" t="s">
        <v>1056</v>
      </c>
      <c r="FL13" s="6"/>
      <c r="FM13" s="94"/>
    </row>
    <row r="14" spans="1:169" s="22" customFormat="1" x14ac:dyDescent="0.4">
      <c r="A14" s="93"/>
      <c r="B14" s="93"/>
      <c r="C14" s="26"/>
      <c r="D14" s="27"/>
      <c r="E14" s="2" t="s">
        <v>1222</v>
      </c>
      <c r="F14" s="28"/>
      <c r="G14" s="28"/>
      <c r="H14" s="28"/>
      <c r="I14" s="6" t="s">
        <v>564</v>
      </c>
      <c r="J14" s="28"/>
      <c r="K14" s="28"/>
      <c r="L14" s="28"/>
      <c r="M14" s="28"/>
      <c r="N14" s="28"/>
      <c r="O14" s="28"/>
      <c r="P14" s="28"/>
      <c r="Q14" s="5" t="s">
        <v>1223</v>
      </c>
      <c r="R14" s="5" t="s">
        <v>1224</v>
      </c>
      <c r="S14" s="6" t="s">
        <v>1225</v>
      </c>
      <c r="T14" s="5"/>
      <c r="U14" s="5">
        <v>10000</v>
      </c>
      <c r="V14" s="5">
        <v>11000</v>
      </c>
      <c r="W14" s="6" t="s">
        <v>1246</v>
      </c>
      <c r="X14" s="109" t="s">
        <v>1252</v>
      </c>
      <c r="Y14" s="105">
        <v>11</v>
      </c>
      <c r="Z14" s="109" t="s">
        <v>1251</v>
      </c>
      <c r="AA14" s="6" t="s">
        <v>959</v>
      </c>
      <c r="AB14" s="99" t="s">
        <v>1250</v>
      </c>
      <c r="AC14" s="6" t="s">
        <v>1247</v>
      </c>
      <c r="AD14" s="99" t="s">
        <v>1249</v>
      </c>
      <c r="AE14" s="6" t="s">
        <v>1248</v>
      </c>
      <c r="AF14" s="6"/>
      <c r="AG14" s="12">
        <v>39.9</v>
      </c>
      <c r="AH14" s="6"/>
      <c r="AI14" s="6" t="s">
        <v>1253</v>
      </c>
      <c r="AJ14" s="5"/>
      <c r="AK14" s="108">
        <v>0.13300000000000001</v>
      </c>
      <c r="AL14" s="6"/>
      <c r="AM14" s="6" t="s">
        <v>1254</v>
      </c>
      <c r="AN14" s="6"/>
      <c r="AO14" s="105">
        <v>2.4</v>
      </c>
      <c r="AP14" s="6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6" t="s">
        <v>1248</v>
      </c>
      <c r="BC14" s="107" t="s">
        <v>1252</v>
      </c>
      <c r="BD14" s="106" t="s">
        <v>1255</v>
      </c>
      <c r="BE14" s="6" t="s">
        <v>1008</v>
      </c>
      <c r="BF14" s="6"/>
      <c r="BG14" s="12">
        <v>34.9</v>
      </c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12">
        <v>42.5</v>
      </c>
      <c r="BS14" s="12">
        <v>674.3</v>
      </c>
      <c r="BT14" s="6"/>
      <c r="BU14" s="5"/>
      <c r="BV14" s="6"/>
      <c r="BW14" s="5"/>
      <c r="BX14" s="6"/>
      <c r="BY14" s="6"/>
      <c r="BZ14" s="30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9"/>
      <c r="DB14" s="6"/>
      <c r="DC14" s="30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7"/>
      <c r="FK14" s="15"/>
      <c r="FL14" s="6"/>
      <c r="FM14" s="94"/>
    </row>
    <row r="15" spans="1:169" s="3" customFormat="1" ht="52.2" x14ac:dyDescent="0.4">
      <c r="A15" s="93"/>
      <c r="B15" s="93"/>
      <c r="C15" s="26"/>
      <c r="D15" s="27" t="s">
        <v>319</v>
      </c>
      <c r="E15" s="2" t="s">
        <v>439</v>
      </c>
      <c r="F15" s="28" t="s">
        <v>319</v>
      </c>
      <c r="G15" s="28" t="s">
        <v>319</v>
      </c>
      <c r="H15" s="28" t="s">
        <v>319</v>
      </c>
      <c r="I15" s="6" t="s">
        <v>565</v>
      </c>
      <c r="J15" s="28" t="s">
        <v>319</v>
      </c>
      <c r="K15" s="28" t="s">
        <v>319</v>
      </c>
      <c r="L15" s="28" t="s">
        <v>319</v>
      </c>
      <c r="M15" s="28" t="s">
        <v>319</v>
      </c>
      <c r="N15" s="28" t="s">
        <v>319</v>
      </c>
      <c r="O15" s="28" t="s">
        <v>319</v>
      </c>
      <c r="P15" s="28" t="s">
        <v>319</v>
      </c>
      <c r="Q15" s="5" t="s">
        <v>673</v>
      </c>
      <c r="R15" s="5" t="s">
        <v>663</v>
      </c>
      <c r="S15" s="6" t="s">
        <v>669</v>
      </c>
      <c r="T15" s="194">
        <v>15075</v>
      </c>
      <c r="U15" s="194">
        <v>44113</v>
      </c>
      <c r="V15" s="194">
        <v>48524</v>
      </c>
      <c r="W15" s="6" t="s">
        <v>665</v>
      </c>
      <c r="X15" s="105">
        <v>10.8</v>
      </c>
      <c r="Y15" s="105">
        <v>10.76</v>
      </c>
      <c r="Z15" s="105">
        <v>10.75</v>
      </c>
      <c r="AA15" s="6" t="s">
        <v>963</v>
      </c>
      <c r="AB15" s="6">
        <v>5.98</v>
      </c>
      <c r="AC15" s="6">
        <v>5.83</v>
      </c>
      <c r="AD15" s="6">
        <v>5.77</v>
      </c>
      <c r="AE15" s="6" t="s">
        <v>956</v>
      </c>
      <c r="AF15" s="6"/>
      <c r="AG15" s="12">
        <v>40</v>
      </c>
      <c r="AH15" s="6"/>
      <c r="AI15" s="6" t="s">
        <v>965</v>
      </c>
      <c r="AJ15" s="5"/>
      <c r="AK15" s="108">
        <v>0.216</v>
      </c>
      <c r="AL15" s="6"/>
      <c r="AM15" s="6" t="s">
        <v>958</v>
      </c>
      <c r="AN15" s="6"/>
      <c r="AO15" s="105">
        <v>11.32</v>
      </c>
      <c r="AP15" s="6"/>
      <c r="AQ15" s="28" t="s">
        <v>319</v>
      </c>
      <c r="AR15" s="28" t="s">
        <v>319</v>
      </c>
      <c r="AS15" s="28" t="s">
        <v>319</v>
      </c>
      <c r="AT15" s="28" t="s">
        <v>319</v>
      </c>
      <c r="AU15" s="28" t="s">
        <v>319</v>
      </c>
      <c r="AV15" s="28" t="s">
        <v>319</v>
      </c>
      <c r="AW15" s="28" t="s">
        <v>319</v>
      </c>
      <c r="AX15" s="28" t="s">
        <v>319</v>
      </c>
      <c r="AY15" s="28" t="s">
        <v>319</v>
      </c>
      <c r="AZ15" s="28" t="s">
        <v>319</v>
      </c>
      <c r="BA15" s="28" t="s">
        <v>319</v>
      </c>
      <c r="BB15" s="6" t="s">
        <v>984</v>
      </c>
      <c r="BC15" s="5" t="s">
        <v>1012</v>
      </c>
      <c r="BD15" s="212" t="s">
        <v>1446</v>
      </c>
      <c r="BE15" s="6" t="s">
        <v>1010</v>
      </c>
      <c r="BF15" s="181" t="s">
        <v>1447</v>
      </c>
      <c r="BG15" s="12">
        <v>14.7</v>
      </c>
      <c r="BH15" s="28" t="s">
        <v>319</v>
      </c>
      <c r="BI15" s="28" t="s">
        <v>319</v>
      </c>
      <c r="BJ15" s="28" t="s">
        <v>319</v>
      </c>
      <c r="BK15" s="28" t="s">
        <v>319</v>
      </c>
      <c r="BL15" s="28" t="s">
        <v>319</v>
      </c>
      <c r="BM15" s="28" t="s">
        <v>319</v>
      </c>
      <c r="BN15" s="28" t="s">
        <v>319</v>
      </c>
      <c r="BO15" s="28" t="s">
        <v>319</v>
      </c>
      <c r="BP15" s="28" t="s">
        <v>319</v>
      </c>
      <c r="BQ15" s="28" t="s">
        <v>319</v>
      </c>
      <c r="BR15" s="12">
        <v>67.900000000000006</v>
      </c>
      <c r="BS15" s="12">
        <v>696.8</v>
      </c>
      <c r="BT15" s="6"/>
      <c r="BU15" s="5"/>
      <c r="BV15" s="6"/>
      <c r="BW15" s="5"/>
      <c r="BX15" s="6" t="s">
        <v>1052</v>
      </c>
      <c r="BY15" s="6"/>
      <c r="BZ15" s="30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9"/>
      <c r="DB15" s="6"/>
      <c r="DC15" s="30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 t="s">
        <v>319</v>
      </c>
      <c r="DO15" s="28" t="s">
        <v>319</v>
      </c>
      <c r="DP15" s="28" t="s">
        <v>319</v>
      </c>
      <c r="DQ15" s="28" t="s">
        <v>319</v>
      </c>
      <c r="DR15" s="28" t="s">
        <v>319</v>
      </c>
      <c r="DS15" s="28" t="s">
        <v>319</v>
      </c>
      <c r="DT15" s="28" t="s">
        <v>319</v>
      </c>
      <c r="DU15" s="28" t="s">
        <v>319</v>
      </c>
      <c r="DV15" s="28" t="s">
        <v>319</v>
      </c>
      <c r="DW15" s="28" t="s">
        <v>319</v>
      </c>
      <c r="DX15" s="28" t="s">
        <v>319</v>
      </c>
      <c r="DY15" s="28" t="s">
        <v>319</v>
      </c>
      <c r="DZ15" s="28" t="s">
        <v>319</v>
      </c>
      <c r="EA15" s="28" t="s">
        <v>319</v>
      </c>
      <c r="EB15" s="28" t="s">
        <v>319</v>
      </c>
      <c r="EC15" s="28" t="s">
        <v>319</v>
      </c>
      <c r="ED15" s="28" t="s">
        <v>319</v>
      </c>
      <c r="EE15" s="28"/>
      <c r="EF15" s="28" t="s">
        <v>319</v>
      </c>
      <c r="EG15" s="28" t="s">
        <v>319</v>
      </c>
      <c r="EH15" s="28" t="s">
        <v>319</v>
      </c>
      <c r="EI15" s="28" t="s">
        <v>319</v>
      </c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7"/>
      <c r="FK15" s="15" t="s">
        <v>1056</v>
      </c>
      <c r="FL15" s="6"/>
      <c r="FM15" s="94"/>
    </row>
    <row r="16" spans="1:169" s="3" customFormat="1" x14ac:dyDescent="0.4">
      <c r="A16" s="93"/>
      <c r="B16" s="93"/>
      <c r="C16" s="26"/>
      <c r="D16" s="27" t="s">
        <v>319</v>
      </c>
      <c r="E16" s="2" t="s">
        <v>520</v>
      </c>
      <c r="F16" s="28" t="s">
        <v>319</v>
      </c>
      <c r="G16" s="28" t="s">
        <v>319</v>
      </c>
      <c r="H16" s="28" t="s">
        <v>319</v>
      </c>
      <c r="I16" s="6" t="s">
        <v>566</v>
      </c>
      <c r="J16" s="28" t="s">
        <v>319</v>
      </c>
      <c r="K16" s="28" t="s">
        <v>319</v>
      </c>
      <c r="L16" s="28" t="s">
        <v>319</v>
      </c>
      <c r="M16" s="28" t="s">
        <v>319</v>
      </c>
      <c r="N16" s="28" t="s">
        <v>319</v>
      </c>
      <c r="O16" s="28" t="s">
        <v>319</v>
      </c>
      <c r="P16" s="28" t="s">
        <v>319</v>
      </c>
      <c r="Q16" s="5" t="s">
        <v>671</v>
      </c>
      <c r="R16" s="5" t="s">
        <v>663</v>
      </c>
      <c r="S16" s="6" t="s">
        <v>678</v>
      </c>
      <c r="T16" s="196">
        <v>22927.800000000003</v>
      </c>
      <c r="U16" s="196">
        <v>44142</v>
      </c>
      <c r="V16" s="196">
        <v>48556.200000000004</v>
      </c>
      <c r="W16" s="6" t="s">
        <v>665</v>
      </c>
      <c r="X16" s="197">
        <v>11.84</v>
      </c>
      <c r="Y16" s="197">
        <v>12.16273340036687</v>
      </c>
      <c r="Z16" s="197">
        <v>12.23</v>
      </c>
      <c r="AA16" s="6" t="s">
        <v>963</v>
      </c>
      <c r="AB16" s="197">
        <v>1.9008093240840354</v>
      </c>
      <c r="AC16" s="197">
        <v>1.4644567092043257</v>
      </c>
      <c r="AD16" s="197">
        <v>1.3180110382838932</v>
      </c>
      <c r="AE16" s="6" t="s">
        <v>956</v>
      </c>
      <c r="AF16" s="6"/>
      <c r="AG16" s="12">
        <v>65</v>
      </c>
      <c r="AH16" s="6"/>
      <c r="AI16" s="6" t="s">
        <v>965</v>
      </c>
      <c r="AJ16" s="5"/>
      <c r="AK16" s="108">
        <v>0.43</v>
      </c>
      <c r="AL16" s="6"/>
      <c r="AM16" s="6" t="s">
        <v>958</v>
      </c>
      <c r="AN16" s="6"/>
      <c r="AO16" s="105">
        <v>0.53</v>
      </c>
      <c r="AP16" s="6"/>
      <c r="AQ16" s="28" t="s">
        <v>319</v>
      </c>
      <c r="AR16" s="28" t="s">
        <v>319</v>
      </c>
      <c r="AS16" s="28" t="s">
        <v>319</v>
      </c>
      <c r="AT16" s="28" t="s">
        <v>319</v>
      </c>
      <c r="AU16" s="28" t="s">
        <v>319</v>
      </c>
      <c r="AV16" s="28" t="s">
        <v>319</v>
      </c>
      <c r="AW16" s="28" t="s">
        <v>319</v>
      </c>
      <c r="AX16" s="28" t="s">
        <v>319</v>
      </c>
      <c r="AY16" s="28" t="s">
        <v>319</v>
      </c>
      <c r="AZ16" s="28" t="s">
        <v>319</v>
      </c>
      <c r="BA16" s="28" t="s">
        <v>319</v>
      </c>
      <c r="BB16" s="6" t="s">
        <v>984</v>
      </c>
      <c r="BC16" s="5" t="s">
        <v>1012</v>
      </c>
      <c r="BD16" s="106">
        <v>115</v>
      </c>
      <c r="BE16" s="6" t="s">
        <v>1010</v>
      </c>
      <c r="BF16" s="6"/>
      <c r="BG16" s="12">
        <v>20.7</v>
      </c>
      <c r="BH16" s="28" t="s">
        <v>319</v>
      </c>
      <c r="BI16" s="28" t="s">
        <v>319</v>
      </c>
      <c r="BJ16" s="28" t="s">
        <v>319</v>
      </c>
      <c r="BK16" s="28" t="s">
        <v>319</v>
      </c>
      <c r="BL16" s="28" t="s">
        <v>319</v>
      </c>
      <c r="BM16" s="28" t="s">
        <v>319</v>
      </c>
      <c r="BN16" s="28" t="s">
        <v>319</v>
      </c>
      <c r="BO16" s="28" t="s">
        <v>319</v>
      </c>
      <c r="BP16" s="28" t="s">
        <v>319</v>
      </c>
      <c r="BQ16" s="28" t="s">
        <v>319</v>
      </c>
      <c r="BR16" s="12">
        <v>225.5</v>
      </c>
      <c r="BS16" s="12">
        <v>980.9</v>
      </c>
      <c r="BT16" s="6"/>
      <c r="BU16" s="5"/>
      <c r="BV16" s="6"/>
      <c r="BW16" s="5"/>
      <c r="BX16" s="6"/>
      <c r="BY16" s="6"/>
      <c r="BZ16" s="30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9"/>
      <c r="DB16" s="6"/>
      <c r="DC16" s="30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 t="s">
        <v>319</v>
      </c>
      <c r="DO16" s="28" t="s">
        <v>319</v>
      </c>
      <c r="DP16" s="28" t="s">
        <v>319</v>
      </c>
      <c r="DQ16" s="28" t="s">
        <v>319</v>
      </c>
      <c r="DR16" s="28" t="s">
        <v>319</v>
      </c>
      <c r="DS16" s="28" t="s">
        <v>319</v>
      </c>
      <c r="DT16" s="28" t="s">
        <v>319</v>
      </c>
      <c r="DU16" s="28" t="s">
        <v>319</v>
      </c>
      <c r="DV16" s="28" t="s">
        <v>319</v>
      </c>
      <c r="DW16" s="28" t="s">
        <v>319</v>
      </c>
      <c r="DX16" s="28" t="s">
        <v>319</v>
      </c>
      <c r="DY16" s="28" t="s">
        <v>319</v>
      </c>
      <c r="DZ16" s="28" t="s">
        <v>319</v>
      </c>
      <c r="EA16" s="28" t="s">
        <v>319</v>
      </c>
      <c r="EB16" s="28" t="s">
        <v>319</v>
      </c>
      <c r="EC16" s="28" t="s">
        <v>319</v>
      </c>
      <c r="ED16" s="28" t="s">
        <v>319</v>
      </c>
      <c r="EE16" s="28"/>
      <c r="EF16" s="28" t="s">
        <v>319</v>
      </c>
      <c r="EG16" s="28" t="s">
        <v>319</v>
      </c>
      <c r="EH16" s="28" t="s">
        <v>319</v>
      </c>
      <c r="EI16" s="28" t="s">
        <v>319</v>
      </c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7"/>
      <c r="FK16" s="6"/>
      <c r="FL16" s="6"/>
      <c r="FM16" s="94"/>
    </row>
    <row r="17" spans="1:169" s="3" customFormat="1" x14ac:dyDescent="0.4">
      <c r="A17" s="93"/>
      <c r="B17" s="93"/>
      <c r="C17" s="26"/>
      <c r="D17" s="27" t="s">
        <v>319</v>
      </c>
      <c r="E17" s="2" t="s">
        <v>323</v>
      </c>
      <c r="F17" s="28" t="s">
        <v>319</v>
      </c>
      <c r="G17" s="28" t="s">
        <v>319</v>
      </c>
      <c r="H17" s="28" t="s">
        <v>319</v>
      </c>
      <c r="I17" s="6" t="s">
        <v>567</v>
      </c>
      <c r="J17" s="28" t="s">
        <v>319</v>
      </c>
      <c r="K17" s="28" t="s">
        <v>319</v>
      </c>
      <c r="L17" s="28" t="s">
        <v>319</v>
      </c>
      <c r="M17" s="28" t="s">
        <v>319</v>
      </c>
      <c r="N17" s="28" t="s">
        <v>319</v>
      </c>
      <c r="O17" s="28" t="s">
        <v>319</v>
      </c>
      <c r="P17" s="28" t="s">
        <v>319</v>
      </c>
      <c r="Q17" s="5" t="s">
        <v>682</v>
      </c>
      <c r="R17" s="5" t="s">
        <v>663</v>
      </c>
      <c r="S17" s="6" t="s">
        <v>669</v>
      </c>
      <c r="T17" s="135"/>
      <c r="U17" s="234"/>
      <c r="V17" s="233">
        <f>30*762.7</f>
        <v>22881</v>
      </c>
      <c r="W17" s="6" t="s">
        <v>665</v>
      </c>
      <c r="X17" s="105"/>
      <c r="Y17" s="235"/>
      <c r="Z17" s="235">
        <v>10.9</v>
      </c>
      <c r="AA17" s="6" t="s">
        <v>963</v>
      </c>
      <c r="AB17" s="6"/>
      <c r="AC17" s="219"/>
      <c r="AD17" s="219" t="s">
        <v>1474</v>
      </c>
      <c r="AE17" s="6" t="s">
        <v>956</v>
      </c>
      <c r="AF17" s="6"/>
      <c r="AG17" s="12">
        <v>108</v>
      </c>
      <c r="AH17" s="6"/>
      <c r="AI17" s="6" t="s">
        <v>965</v>
      </c>
      <c r="AJ17" s="108"/>
      <c r="AK17" s="108">
        <v>0.24299999999999999</v>
      </c>
      <c r="AL17" s="6"/>
      <c r="AM17" s="6" t="s">
        <v>958</v>
      </c>
      <c r="AN17" s="6"/>
      <c r="AO17" s="105">
        <v>1.98</v>
      </c>
      <c r="AP17" s="6"/>
      <c r="AQ17" s="28" t="s">
        <v>319</v>
      </c>
      <c r="AR17" s="28" t="s">
        <v>319</v>
      </c>
      <c r="AS17" s="28" t="s">
        <v>319</v>
      </c>
      <c r="AT17" s="28" t="s">
        <v>319</v>
      </c>
      <c r="AU17" s="28" t="s">
        <v>319</v>
      </c>
      <c r="AV17" s="28" t="s">
        <v>319</v>
      </c>
      <c r="AW17" s="28" t="s">
        <v>319</v>
      </c>
      <c r="AX17" s="28" t="s">
        <v>319</v>
      </c>
      <c r="AY17" s="28" t="s">
        <v>319</v>
      </c>
      <c r="AZ17" s="28" t="s">
        <v>319</v>
      </c>
      <c r="BA17" s="28" t="s">
        <v>319</v>
      </c>
      <c r="BB17" s="6" t="s">
        <v>984</v>
      </c>
      <c r="BC17" s="5" t="s">
        <v>1011</v>
      </c>
      <c r="BD17" s="106">
        <v>155</v>
      </c>
      <c r="BE17" s="6" t="s">
        <v>1010</v>
      </c>
      <c r="BF17" s="6"/>
      <c r="BG17" s="12">
        <v>15.2</v>
      </c>
      <c r="BH17" s="28" t="s">
        <v>319</v>
      </c>
      <c r="BI17" s="28" t="s">
        <v>319</v>
      </c>
      <c r="BJ17" s="28" t="s">
        <v>319</v>
      </c>
      <c r="BK17" s="28" t="s">
        <v>319</v>
      </c>
      <c r="BL17" s="28" t="s">
        <v>319</v>
      </c>
      <c r="BM17" s="28" t="s">
        <v>319</v>
      </c>
      <c r="BN17" s="28" t="s">
        <v>319</v>
      </c>
      <c r="BO17" s="28" t="s">
        <v>319</v>
      </c>
      <c r="BP17" s="28" t="s">
        <v>319</v>
      </c>
      <c r="BQ17" s="28" t="s">
        <v>319</v>
      </c>
      <c r="BR17" s="12">
        <v>44.2</v>
      </c>
      <c r="BS17" s="12">
        <v>762.7</v>
      </c>
      <c r="BT17" s="6"/>
      <c r="BU17" s="5"/>
      <c r="BV17" s="6"/>
      <c r="BW17" s="5"/>
      <c r="BX17" s="6"/>
      <c r="BY17" s="6"/>
      <c r="BZ17" s="30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9"/>
      <c r="DB17" s="6"/>
      <c r="DC17" s="30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 t="s">
        <v>319</v>
      </c>
      <c r="DO17" s="28" t="s">
        <v>319</v>
      </c>
      <c r="DP17" s="28" t="s">
        <v>319</v>
      </c>
      <c r="DQ17" s="28" t="s">
        <v>319</v>
      </c>
      <c r="DR17" s="28" t="s">
        <v>319</v>
      </c>
      <c r="DS17" s="28" t="s">
        <v>319</v>
      </c>
      <c r="DT17" s="28" t="s">
        <v>319</v>
      </c>
      <c r="DU17" s="28" t="s">
        <v>319</v>
      </c>
      <c r="DV17" s="28" t="s">
        <v>319</v>
      </c>
      <c r="DW17" s="28" t="s">
        <v>319</v>
      </c>
      <c r="DX17" s="28" t="s">
        <v>319</v>
      </c>
      <c r="DY17" s="28" t="s">
        <v>319</v>
      </c>
      <c r="DZ17" s="28" t="s">
        <v>319</v>
      </c>
      <c r="EA17" s="28" t="s">
        <v>319</v>
      </c>
      <c r="EB17" s="28" t="s">
        <v>319</v>
      </c>
      <c r="EC17" s="28" t="s">
        <v>319</v>
      </c>
      <c r="ED17" s="28" t="s">
        <v>319</v>
      </c>
      <c r="EE17" s="28"/>
      <c r="EF17" s="28" t="s">
        <v>319</v>
      </c>
      <c r="EG17" s="28" t="s">
        <v>319</v>
      </c>
      <c r="EH17" s="28" t="s">
        <v>319</v>
      </c>
      <c r="EI17" s="28" t="s">
        <v>319</v>
      </c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7"/>
      <c r="FK17" s="6"/>
      <c r="FL17" s="6"/>
      <c r="FM17" s="94"/>
    </row>
    <row r="18" spans="1:169" s="3" customFormat="1" x14ac:dyDescent="0.4">
      <c r="A18" s="93"/>
      <c r="B18" s="93"/>
      <c r="C18" s="26"/>
      <c r="D18" s="27" t="s">
        <v>319</v>
      </c>
      <c r="E18" s="2" t="s">
        <v>436</v>
      </c>
      <c r="F18" s="28" t="s">
        <v>319</v>
      </c>
      <c r="G18" s="28" t="s">
        <v>319</v>
      </c>
      <c r="H18" s="28" t="s">
        <v>319</v>
      </c>
      <c r="I18" s="6" t="s">
        <v>567</v>
      </c>
      <c r="J18" s="28" t="s">
        <v>319</v>
      </c>
      <c r="K18" s="28" t="s">
        <v>319</v>
      </c>
      <c r="L18" s="28" t="s">
        <v>319</v>
      </c>
      <c r="M18" s="28" t="s">
        <v>319</v>
      </c>
      <c r="N18" s="28" t="s">
        <v>319</v>
      </c>
      <c r="O18" s="28" t="s">
        <v>319</v>
      </c>
      <c r="P18" s="28" t="s">
        <v>319</v>
      </c>
      <c r="Q18" s="5" t="s">
        <v>682</v>
      </c>
      <c r="R18" s="5" t="s">
        <v>663</v>
      </c>
      <c r="S18" s="6" t="s">
        <v>669</v>
      </c>
      <c r="T18" s="5">
        <v>8065</v>
      </c>
      <c r="U18" s="5">
        <v>56601</v>
      </c>
      <c r="V18" s="5">
        <v>62261</v>
      </c>
      <c r="W18" s="6" t="s">
        <v>665</v>
      </c>
      <c r="X18" s="105">
        <v>3.99</v>
      </c>
      <c r="Y18" s="105">
        <v>3.65</v>
      </c>
      <c r="Z18" s="105">
        <v>2.87</v>
      </c>
      <c r="AA18" s="6" t="s">
        <v>968</v>
      </c>
      <c r="AB18" s="6">
        <v>1.06</v>
      </c>
      <c r="AC18" s="6">
        <v>0.75999999999999979</v>
      </c>
      <c r="AD18" s="6">
        <v>0.69999999999999973</v>
      </c>
      <c r="AE18" s="6" t="s">
        <v>956</v>
      </c>
      <c r="AF18" s="6"/>
      <c r="AG18" s="12">
        <v>36.200000000000003</v>
      </c>
      <c r="AH18" s="6"/>
      <c r="AI18" s="6" t="s">
        <v>965</v>
      </c>
      <c r="AJ18" s="108"/>
      <c r="AK18" s="108">
        <v>0.40799999999999997</v>
      </c>
      <c r="AL18" s="6"/>
      <c r="AM18" s="6" t="s">
        <v>958</v>
      </c>
      <c r="AN18" s="6"/>
      <c r="AO18" s="105">
        <v>2.66</v>
      </c>
      <c r="AP18" s="6"/>
      <c r="AQ18" s="28" t="s">
        <v>319</v>
      </c>
      <c r="AR18" s="28" t="s">
        <v>319</v>
      </c>
      <c r="AS18" s="28" t="s">
        <v>319</v>
      </c>
      <c r="AT18" s="28" t="s">
        <v>319</v>
      </c>
      <c r="AU18" s="28" t="s">
        <v>319</v>
      </c>
      <c r="AV18" s="28" t="s">
        <v>319</v>
      </c>
      <c r="AW18" s="28" t="s">
        <v>319</v>
      </c>
      <c r="AX18" s="28" t="s">
        <v>319</v>
      </c>
      <c r="AY18" s="28" t="s">
        <v>319</v>
      </c>
      <c r="AZ18" s="28" t="s">
        <v>319</v>
      </c>
      <c r="BA18" s="28" t="s">
        <v>319</v>
      </c>
      <c r="BB18" s="6" t="s">
        <v>984</v>
      </c>
      <c r="BC18" s="5" t="s">
        <v>1011</v>
      </c>
      <c r="BD18" s="212" t="s">
        <v>1450</v>
      </c>
      <c r="BE18" s="6" t="s">
        <v>1010</v>
      </c>
      <c r="BF18" s="181" t="s">
        <v>1437</v>
      </c>
      <c r="BG18" s="12">
        <v>13</v>
      </c>
      <c r="BH18" s="28" t="s">
        <v>319</v>
      </c>
      <c r="BI18" s="28" t="s">
        <v>319</v>
      </c>
      <c r="BJ18" s="28" t="s">
        <v>319</v>
      </c>
      <c r="BK18" s="28" t="s">
        <v>319</v>
      </c>
      <c r="BL18" s="28" t="s">
        <v>319</v>
      </c>
      <c r="BM18" s="28" t="s">
        <v>319</v>
      </c>
      <c r="BN18" s="28" t="s">
        <v>319</v>
      </c>
      <c r="BO18" s="28" t="s">
        <v>319</v>
      </c>
      <c r="BP18" s="28" t="s">
        <v>319</v>
      </c>
      <c r="BQ18" s="28" t="s">
        <v>319</v>
      </c>
      <c r="BR18" s="12">
        <v>45.3</v>
      </c>
      <c r="BS18" s="12">
        <v>806.5</v>
      </c>
      <c r="BT18" s="6"/>
      <c r="BU18" s="5"/>
      <c r="BV18" s="6"/>
      <c r="BW18" s="5"/>
      <c r="BX18" s="6"/>
      <c r="BY18" s="6"/>
      <c r="BZ18" s="30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9"/>
      <c r="DB18" s="6"/>
      <c r="DC18" s="30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 t="s">
        <v>319</v>
      </c>
      <c r="DO18" s="28" t="s">
        <v>319</v>
      </c>
      <c r="DP18" s="28" t="s">
        <v>319</v>
      </c>
      <c r="DQ18" s="28" t="s">
        <v>319</v>
      </c>
      <c r="DR18" s="28" t="s">
        <v>319</v>
      </c>
      <c r="DS18" s="28" t="s">
        <v>319</v>
      </c>
      <c r="DT18" s="28" t="s">
        <v>319</v>
      </c>
      <c r="DU18" s="28" t="s">
        <v>319</v>
      </c>
      <c r="DV18" s="28" t="s">
        <v>319</v>
      </c>
      <c r="DW18" s="28" t="s">
        <v>319</v>
      </c>
      <c r="DX18" s="28" t="s">
        <v>319</v>
      </c>
      <c r="DY18" s="28" t="s">
        <v>319</v>
      </c>
      <c r="DZ18" s="28" t="s">
        <v>319</v>
      </c>
      <c r="EA18" s="28" t="s">
        <v>319</v>
      </c>
      <c r="EB18" s="28" t="s">
        <v>319</v>
      </c>
      <c r="EC18" s="28" t="s">
        <v>319</v>
      </c>
      <c r="ED18" s="28" t="s">
        <v>319</v>
      </c>
      <c r="EE18" s="28"/>
      <c r="EF18" s="28" t="s">
        <v>319</v>
      </c>
      <c r="EG18" s="28" t="s">
        <v>319</v>
      </c>
      <c r="EH18" s="28" t="s">
        <v>319</v>
      </c>
      <c r="EI18" s="28" t="s">
        <v>319</v>
      </c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7"/>
      <c r="FK18" s="6"/>
      <c r="FL18" s="6"/>
      <c r="FM18" s="94"/>
    </row>
    <row r="19" spans="1:169" s="3" customFormat="1" x14ac:dyDescent="0.4">
      <c r="A19" s="93"/>
      <c r="B19" s="93"/>
      <c r="C19" s="26"/>
      <c r="D19" s="27" t="s">
        <v>319</v>
      </c>
      <c r="E19" s="2" t="s">
        <v>521</v>
      </c>
      <c r="F19" s="28" t="s">
        <v>319</v>
      </c>
      <c r="G19" s="28" t="s">
        <v>319</v>
      </c>
      <c r="H19" s="28" t="s">
        <v>319</v>
      </c>
      <c r="I19" s="6" t="s">
        <v>567</v>
      </c>
      <c r="J19" s="28" t="s">
        <v>319</v>
      </c>
      <c r="K19" s="28" t="s">
        <v>319</v>
      </c>
      <c r="L19" s="28" t="s">
        <v>319</v>
      </c>
      <c r="M19" s="28" t="s">
        <v>319</v>
      </c>
      <c r="N19" s="28" t="s">
        <v>319</v>
      </c>
      <c r="O19" s="28" t="s">
        <v>319</v>
      </c>
      <c r="P19" s="28" t="s">
        <v>319</v>
      </c>
      <c r="Q19" s="5" t="s">
        <v>675</v>
      </c>
      <c r="R19" s="5" t="s">
        <v>667</v>
      </c>
      <c r="S19" s="6" t="s">
        <v>672</v>
      </c>
      <c r="T19" s="5" t="s">
        <v>686</v>
      </c>
      <c r="U19" s="5" t="s">
        <v>687</v>
      </c>
      <c r="V19" s="5" t="s">
        <v>688</v>
      </c>
      <c r="W19" s="6" t="s">
        <v>665</v>
      </c>
      <c r="X19" s="105">
        <v>2.8</v>
      </c>
      <c r="Y19" s="105">
        <v>2.7</v>
      </c>
      <c r="Z19" s="105">
        <v>2.65</v>
      </c>
      <c r="AA19" s="6" t="s">
        <v>963</v>
      </c>
      <c r="AB19" s="6">
        <v>0.29999999999999982</v>
      </c>
      <c r="AC19" s="6">
        <v>0.20000000000000018</v>
      </c>
      <c r="AD19" s="6">
        <v>0.14999999999999991</v>
      </c>
      <c r="AE19" s="6" t="s">
        <v>956</v>
      </c>
      <c r="AF19" s="6"/>
      <c r="AG19" s="12">
        <v>160</v>
      </c>
      <c r="AH19" s="6"/>
      <c r="AI19" s="6" t="s">
        <v>965</v>
      </c>
      <c r="AJ19" s="108"/>
      <c r="AK19" s="112">
        <v>1.44E-2</v>
      </c>
      <c r="AL19" s="6"/>
      <c r="AM19" s="6"/>
      <c r="AN19" s="6"/>
      <c r="AO19" s="5"/>
      <c r="AP19" s="6"/>
      <c r="AQ19" s="28" t="s">
        <v>319</v>
      </c>
      <c r="AR19" s="28" t="s">
        <v>319</v>
      </c>
      <c r="AS19" s="28" t="s">
        <v>319</v>
      </c>
      <c r="AT19" s="28" t="s">
        <v>319</v>
      </c>
      <c r="AU19" s="28" t="s">
        <v>319</v>
      </c>
      <c r="AV19" s="28" t="s">
        <v>319</v>
      </c>
      <c r="AW19" s="28" t="s">
        <v>319</v>
      </c>
      <c r="AX19" s="28" t="s">
        <v>319</v>
      </c>
      <c r="AY19" s="28" t="s">
        <v>319</v>
      </c>
      <c r="AZ19" s="28" t="s">
        <v>319</v>
      </c>
      <c r="BA19" s="28" t="s">
        <v>319</v>
      </c>
      <c r="BB19" s="6" t="s">
        <v>984</v>
      </c>
      <c r="BC19" s="5" t="s">
        <v>1012</v>
      </c>
      <c r="BD19" s="106">
        <v>200</v>
      </c>
      <c r="BE19" s="6" t="s">
        <v>1010</v>
      </c>
      <c r="BF19" s="181" t="s">
        <v>1457</v>
      </c>
      <c r="BG19" s="12">
        <v>6</v>
      </c>
      <c r="BH19" s="28" t="s">
        <v>319</v>
      </c>
      <c r="BI19" s="28" t="s">
        <v>319</v>
      </c>
      <c r="BJ19" s="28" t="s">
        <v>319</v>
      </c>
      <c r="BK19" s="28" t="s">
        <v>319</v>
      </c>
      <c r="BL19" s="28" t="s">
        <v>319</v>
      </c>
      <c r="BM19" s="28" t="s">
        <v>319</v>
      </c>
      <c r="BN19" s="28" t="s">
        <v>319</v>
      </c>
      <c r="BO19" s="28" t="s">
        <v>319</v>
      </c>
      <c r="BP19" s="28" t="s">
        <v>319</v>
      </c>
      <c r="BQ19" s="28" t="s">
        <v>319</v>
      </c>
      <c r="BR19" s="5"/>
      <c r="BS19" s="105"/>
      <c r="BT19" s="6"/>
      <c r="BU19" s="12">
        <v>18</v>
      </c>
      <c r="BV19" s="6" t="s">
        <v>1020</v>
      </c>
      <c r="BW19" s="105">
        <v>1.39</v>
      </c>
      <c r="BX19" s="6"/>
      <c r="BY19" s="6"/>
      <c r="BZ19" s="30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9"/>
      <c r="DB19" s="6"/>
      <c r="DC19" s="30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 t="s">
        <v>319</v>
      </c>
      <c r="DO19" s="28" t="s">
        <v>319</v>
      </c>
      <c r="DP19" s="28" t="s">
        <v>319</v>
      </c>
      <c r="DQ19" s="28" t="s">
        <v>319</v>
      </c>
      <c r="DR19" s="28" t="s">
        <v>319</v>
      </c>
      <c r="DS19" s="28" t="s">
        <v>319</v>
      </c>
      <c r="DT19" s="28" t="s">
        <v>319</v>
      </c>
      <c r="DU19" s="28" t="s">
        <v>319</v>
      </c>
      <c r="DV19" s="28" t="s">
        <v>319</v>
      </c>
      <c r="DW19" s="28" t="s">
        <v>319</v>
      </c>
      <c r="DX19" s="28" t="s">
        <v>319</v>
      </c>
      <c r="DY19" s="28" t="s">
        <v>319</v>
      </c>
      <c r="DZ19" s="28" t="s">
        <v>319</v>
      </c>
      <c r="EA19" s="28" t="s">
        <v>319</v>
      </c>
      <c r="EB19" s="28" t="s">
        <v>319</v>
      </c>
      <c r="EC19" s="28" t="s">
        <v>319</v>
      </c>
      <c r="ED19" s="28" t="s">
        <v>319</v>
      </c>
      <c r="EE19" s="28"/>
      <c r="EF19" s="28" t="s">
        <v>319</v>
      </c>
      <c r="EG19" s="28" t="s">
        <v>319</v>
      </c>
      <c r="EH19" s="28" t="s">
        <v>319</v>
      </c>
      <c r="EI19" s="28" t="s">
        <v>319</v>
      </c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7"/>
      <c r="FK19" s="6"/>
      <c r="FL19" s="6"/>
      <c r="FM19" s="94"/>
    </row>
    <row r="20" spans="1:169" s="3" customFormat="1" x14ac:dyDescent="0.4">
      <c r="A20" s="93"/>
      <c r="B20" s="93"/>
      <c r="C20" s="26"/>
      <c r="D20" s="27" t="s">
        <v>319</v>
      </c>
      <c r="E20" s="2" t="s">
        <v>533</v>
      </c>
      <c r="F20" s="28" t="s">
        <v>319</v>
      </c>
      <c r="G20" s="28" t="s">
        <v>319</v>
      </c>
      <c r="H20" s="28" t="s">
        <v>319</v>
      </c>
      <c r="I20" s="6" t="s">
        <v>568</v>
      </c>
      <c r="J20" s="28" t="s">
        <v>319</v>
      </c>
      <c r="K20" s="28" t="s">
        <v>319</v>
      </c>
      <c r="L20" s="28" t="s">
        <v>319</v>
      </c>
      <c r="M20" s="28" t="s">
        <v>319</v>
      </c>
      <c r="N20" s="28" t="s">
        <v>319</v>
      </c>
      <c r="O20" s="28" t="s">
        <v>319</v>
      </c>
      <c r="P20" s="28" t="s">
        <v>319</v>
      </c>
      <c r="Q20" s="5" t="s">
        <v>676</v>
      </c>
      <c r="R20" s="5" t="s">
        <v>663</v>
      </c>
      <c r="S20" s="6" t="s">
        <v>678</v>
      </c>
      <c r="T20" s="5" t="s">
        <v>686</v>
      </c>
      <c r="U20" s="5" t="s">
        <v>687</v>
      </c>
      <c r="V20" s="5" t="s">
        <v>688</v>
      </c>
      <c r="W20" s="6" t="s">
        <v>665</v>
      </c>
      <c r="X20" s="105">
        <v>2.4</v>
      </c>
      <c r="Y20" s="105">
        <v>2.4</v>
      </c>
      <c r="Z20" s="105">
        <v>2.2999999999999998</v>
      </c>
      <c r="AA20" s="6" t="s">
        <v>963</v>
      </c>
      <c r="AB20" s="105">
        <v>0.87</v>
      </c>
      <c r="AC20" s="105">
        <v>1.26</v>
      </c>
      <c r="AD20" s="105">
        <v>1.56</v>
      </c>
      <c r="AE20" s="6" t="s">
        <v>956</v>
      </c>
      <c r="AF20" s="6"/>
      <c r="AG20" s="12">
        <v>136.19999999999999</v>
      </c>
      <c r="AH20" s="6"/>
      <c r="AI20" s="6" t="s">
        <v>965</v>
      </c>
      <c r="AJ20" s="108"/>
      <c r="AK20" s="108">
        <v>0.20200000000000001</v>
      </c>
      <c r="AL20" s="6"/>
      <c r="AM20" s="6" t="s">
        <v>958</v>
      </c>
      <c r="AN20" s="6"/>
      <c r="AO20" s="105">
        <v>3.3</v>
      </c>
      <c r="AP20" s="6"/>
      <c r="AQ20" s="28" t="s">
        <v>319</v>
      </c>
      <c r="AR20" s="28" t="s">
        <v>319</v>
      </c>
      <c r="AS20" s="28" t="s">
        <v>319</v>
      </c>
      <c r="AT20" s="28" t="s">
        <v>319</v>
      </c>
      <c r="AU20" s="28" t="s">
        <v>319</v>
      </c>
      <c r="AV20" s="28" t="s">
        <v>319</v>
      </c>
      <c r="AW20" s="28" t="s">
        <v>319</v>
      </c>
      <c r="AX20" s="28" t="s">
        <v>319</v>
      </c>
      <c r="AY20" s="28" t="s">
        <v>319</v>
      </c>
      <c r="AZ20" s="28" t="s">
        <v>319</v>
      </c>
      <c r="BA20" s="28" t="s">
        <v>319</v>
      </c>
      <c r="BB20" s="6" t="s">
        <v>984</v>
      </c>
      <c r="BC20" s="5" t="s">
        <v>1011</v>
      </c>
      <c r="BD20" s="106">
        <v>200</v>
      </c>
      <c r="BE20" s="6" t="s">
        <v>1010</v>
      </c>
      <c r="BF20" s="181" t="s">
        <v>1457</v>
      </c>
      <c r="BG20" s="185">
        <v>3.5</v>
      </c>
      <c r="BH20" s="28" t="s">
        <v>319</v>
      </c>
      <c r="BI20" s="28" t="s">
        <v>319</v>
      </c>
      <c r="BJ20" s="28" t="s">
        <v>319</v>
      </c>
      <c r="BK20" s="28" t="s">
        <v>319</v>
      </c>
      <c r="BL20" s="28" t="s">
        <v>319</v>
      </c>
      <c r="BM20" s="28" t="s">
        <v>319</v>
      </c>
      <c r="BN20" s="28" t="s">
        <v>319</v>
      </c>
      <c r="BO20" s="28" t="s">
        <v>319</v>
      </c>
      <c r="BP20" s="28" t="s">
        <v>319</v>
      </c>
      <c r="BQ20" s="28" t="s">
        <v>319</v>
      </c>
      <c r="BR20" s="12">
        <v>225.5</v>
      </c>
      <c r="BS20" s="12">
        <v>929.2</v>
      </c>
      <c r="BT20" s="6"/>
      <c r="BU20" s="5"/>
      <c r="BV20" s="6"/>
      <c r="BW20" s="5"/>
      <c r="BX20" s="6" t="s">
        <v>1051</v>
      </c>
      <c r="BY20" s="6"/>
      <c r="BZ20" s="30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9"/>
      <c r="DB20" s="6"/>
      <c r="DC20" s="30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 t="s">
        <v>319</v>
      </c>
      <c r="DO20" s="28" t="s">
        <v>319</v>
      </c>
      <c r="DP20" s="28" t="s">
        <v>319</v>
      </c>
      <c r="DQ20" s="28" t="s">
        <v>319</v>
      </c>
      <c r="DR20" s="28" t="s">
        <v>319</v>
      </c>
      <c r="DS20" s="28" t="s">
        <v>319</v>
      </c>
      <c r="DT20" s="28" t="s">
        <v>319</v>
      </c>
      <c r="DU20" s="28" t="s">
        <v>319</v>
      </c>
      <c r="DV20" s="28" t="s">
        <v>319</v>
      </c>
      <c r="DW20" s="28" t="s">
        <v>319</v>
      </c>
      <c r="DX20" s="28" t="s">
        <v>319</v>
      </c>
      <c r="DY20" s="28" t="s">
        <v>319</v>
      </c>
      <c r="DZ20" s="28" t="s">
        <v>319</v>
      </c>
      <c r="EA20" s="28" t="s">
        <v>319</v>
      </c>
      <c r="EB20" s="28" t="s">
        <v>319</v>
      </c>
      <c r="EC20" s="28" t="s">
        <v>319</v>
      </c>
      <c r="ED20" s="28" t="s">
        <v>319</v>
      </c>
      <c r="EE20" s="28"/>
      <c r="EF20" s="28" t="s">
        <v>319</v>
      </c>
      <c r="EG20" s="28" t="s">
        <v>319</v>
      </c>
      <c r="EH20" s="28" t="s">
        <v>319</v>
      </c>
      <c r="EI20" s="28" t="s">
        <v>319</v>
      </c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7"/>
      <c r="FK20" s="6"/>
      <c r="FL20" s="6"/>
      <c r="FM20" s="94"/>
    </row>
    <row r="21" spans="1:169" s="3" customFormat="1" ht="52.2" x14ac:dyDescent="0.4">
      <c r="A21" s="93"/>
      <c r="B21" s="93"/>
      <c r="C21" s="26"/>
      <c r="D21" s="27" t="s">
        <v>319</v>
      </c>
      <c r="E21" s="2" t="s">
        <v>324</v>
      </c>
      <c r="F21" s="28" t="s">
        <v>319</v>
      </c>
      <c r="G21" s="28" t="s">
        <v>319</v>
      </c>
      <c r="H21" s="28" t="s">
        <v>319</v>
      </c>
      <c r="I21" s="6" t="s">
        <v>569</v>
      </c>
      <c r="J21" s="28" t="s">
        <v>319</v>
      </c>
      <c r="K21" s="28" t="s">
        <v>319</v>
      </c>
      <c r="L21" s="28" t="s">
        <v>319</v>
      </c>
      <c r="M21" s="28" t="s">
        <v>319</v>
      </c>
      <c r="N21" s="28" t="s">
        <v>319</v>
      </c>
      <c r="O21" s="28" t="s">
        <v>319</v>
      </c>
      <c r="P21" s="28" t="s">
        <v>319</v>
      </c>
      <c r="Q21" s="5" t="s">
        <v>682</v>
      </c>
      <c r="R21" s="5" t="s">
        <v>663</v>
      </c>
      <c r="S21" s="6" t="s">
        <v>669</v>
      </c>
      <c r="T21" s="5" t="s">
        <v>689</v>
      </c>
      <c r="U21" s="5" t="s">
        <v>690</v>
      </c>
      <c r="V21" s="5" t="s">
        <v>691</v>
      </c>
      <c r="W21" s="6" t="s">
        <v>665</v>
      </c>
      <c r="X21" s="105">
        <v>11.82</v>
      </c>
      <c r="Y21" s="105">
        <v>10.050000000000001</v>
      </c>
      <c r="Z21" s="105">
        <v>9.66</v>
      </c>
      <c r="AA21" s="6" t="s">
        <v>963</v>
      </c>
      <c r="AB21" s="225">
        <f>4.56+0.18</f>
        <v>4.7399999999999993</v>
      </c>
      <c r="AC21" s="225">
        <f>1.4+0.18</f>
        <v>1.5799999999999998</v>
      </c>
      <c r="AD21" s="225">
        <f>0.7+0.18</f>
        <v>0.87999999999999989</v>
      </c>
      <c r="AE21" s="6" t="s">
        <v>956</v>
      </c>
      <c r="AF21" s="6"/>
      <c r="AG21" s="12">
        <v>108.3</v>
      </c>
      <c r="AH21" s="6"/>
      <c r="AI21" s="6" t="s">
        <v>965</v>
      </c>
      <c r="AJ21" s="108"/>
      <c r="AK21" s="108">
        <v>0.24299999999999999</v>
      </c>
      <c r="AL21" s="6"/>
      <c r="AM21" s="6" t="s">
        <v>958</v>
      </c>
      <c r="AN21" s="6"/>
      <c r="AO21" s="105">
        <v>1.98</v>
      </c>
      <c r="AP21" s="6"/>
      <c r="AQ21" s="28" t="s">
        <v>319</v>
      </c>
      <c r="AR21" s="28" t="s">
        <v>319</v>
      </c>
      <c r="AS21" s="28" t="s">
        <v>319</v>
      </c>
      <c r="AT21" s="28" t="s">
        <v>319</v>
      </c>
      <c r="AU21" s="28" t="s">
        <v>319</v>
      </c>
      <c r="AV21" s="28" t="s">
        <v>319</v>
      </c>
      <c r="AW21" s="28" t="s">
        <v>319</v>
      </c>
      <c r="AX21" s="28" t="s">
        <v>319</v>
      </c>
      <c r="AY21" s="28" t="s">
        <v>319</v>
      </c>
      <c r="AZ21" s="28" t="s">
        <v>319</v>
      </c>
      <c r="BA21" s="28" t="s">
        <v>319</v>
      </c>
      <c r="BB21" s="6" t="s">
        <v>984</v>
      </c>
      <c r="BC21" s="5" t="s">
        <v>1009</v>
      </c>
      <c r="BD21" s="106">
        <v>155</v>
      </c>
      <c r="BE21" s="6" t="s">
        <v>1010</v>
      </c>
      <c r="BF21" s="181" t="s">
        <v>1447</v>
      </c>
      <c r="BG21" s="12">
        <v>15.2</v>
      </c>
      <c r="BH21" s="28" t="s">
        <v>319</v>
      </c>
      <c r="BI21" s="28" t="s">
        <v>319</v>
      </c>
      <c r="BJ21" s="28" t="s">
        <v>319</v>
      </c>
      <c r="BK21" s="28" t="s">
        <v>319</v>
      </c>
      <c r="BL21" s="28" t="s">
        <v>319</v>
      </c>
      <c r="BM21" s="28" t="s">
        <v>319</v>
      </c>
      <c r="BN21" s="28" t="s">
        <v>319</v>
      </c>
      <c r="BO21" s="28" t="s">
        <v>319</v>
      </c>
      <c r="BP21" s="28" t="s">
        <v>319</v>
      </c>
      <c r="BQ21" s="28" t="s">
        <v>319</v>
      </c>
      <c r="BR21" s="12">
        <v>44.2</v>
      </c>
      <c r="BS21" s="12">
        <v>762.7</v>
      </c>
      <c r="BT21" s="6"/>
      <c r="BU21" s="5"/>
      <c r="BV21" s="6"/>
      <c r="BW21" s="5"/>
      <c r="BX21" s="6"/>
      <c r="BY21" s="6"/>
      <c r="BZ21" s="30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9"/>
      <c r="DB21" s="6"/>
      <c r="DC21" s="30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 t="s">
        <v>319</v>
      </c>
      <c r="DO21" s="28" t="s">
        <v>319</v>
      </c>
      <c r="DP21" s="28" t="s">
        <v>319</v>
      </c>
      <c r="DQ21" s="28" t="s">
        <v>319</v>
      </c>
      <c r="DR21" s="28" t="s">
        <v>319</v>
      </c>
      <c r="DS21" s="28" t="s">
        <v>319</v>
      </c>
      <c r="DT21" s="28" t="s">
        <v>319</v>
      </c>
      <c r="DU21" s="28" t="s">
        <v>319</v>
      </c>
      <c r="DV21" s="28" t="s">
        <v>319</v>
      </c>
      <c r="DW21" s="28" t="s">
        <v>319</v>
      </c>
      <c r="DX21" s="28" t="s">
        <v>319</v>
      </c>
      <c r="DY21" s="28" t="s">
        <v>319</v>
      </c>
      <c r="DZ21" s="28" t="s">
        <v>319</v>
      </c>
      <c r="EA21" s="28" t="s">
        <v>319</v>
      </c>
      <c r="EB21" s="28" t="s">
        <v>319</v>
      </c>
      <c r="EC21" s="28" t="s">
        <v>319</v>
      </c>
      <c r="ED21" s="28" t="s">
        <v>319</v>
      </c>
      <c r="EE21" s="28"/>
      <c r="EF21" s="28" t="s">
        <v>319</v>
      </c>
      <c r="EG21" s="28" t="s">
        <v>319</v>
      </c>
      <c r="EH21" s="28" t="s">
        <v>319</v>
      </c>
      <c r="EI21" s="28" t="s">
        <v>319</v>
      </c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7"/>
      <c r="FK21" s="15" t="s">
        <v>1056</v>
      </c>
      <c r="FL21" s="6"/>
      <c r="FM21" s="94"/>
    </row>
    <row r="22" spans="1:169" s="3" customFormat="1" ht="34.799999999999997" x14ac:dyDescent="0.4">
      <c r="A22" s="93"/>
      <c r="B22" s="93"/>
      <c r="C22" s="26"/>
      <c r="D22" s="27" t="s">
        <v>319</v>
      </c>
      <c r="E22" s="2" t="s">
        <v>325</v>
      </c>
      <c r="F22" s="28" t="s">
        <v>319</v>
      </c>
      <c r="G22" s="28" t="s">
        <v>319</v>
      </c>
      <c r="H22" s="28" t="s">
        <v>319</v>
      </c>
      <c r="I22" s="6" t="s">
        <v>570</v>
      </c>
      <c r="J22" s="28" t="s">
        <v>319</v>
      </c>
      <c r="K22" s="28" t="s">
        <v>319</v>
      </c>
      <c r="L22" s="28" t="s">
        <v>319</v>
      </c>
      <c r="M22" s="28" t="s">
        <v>319</v>
      </c>
      <c r="N22" s="28" t="s">
        <v>319</v>
      </c>
      <c r="O22" s="28" t="s">
        <v>319</v>
      </c>
      <c r="P22" s="28" t="s">
        <v>319</v>
      </c>
      <c r="Q22" s="5" t="s">
        <v>692</v>
      </c>
      <c r="R22" s="5" t="s">
        <v>663</v>
      </c>
      <c r="S22" s="6" t="s">
        <v>678</v>
      </c>
      <c r="T22" s="106">
        <v>97440</v>
      </c>
      <c r="U22" s="106">
        <v>162400</v>
      </c>
      <c r="V22" s="106">
        <v>178640</v>
      </c>
      <c r="W22" s="6" t="s">
        <v>665</v>
      </c>
      <c r="X22" s="105">
        <v>11.91</v>
      </c>
      <c r="Y22" s="105">
        <v>11.59</v>
      </c>
      <c r="Z22" s="105">
        <v>12.1</v>
      </c>
      <c r="AA22" s="6" t="s">
        <v>955</v>
      </c>
      <c r="AB22" s="6">
        <v>1.1500000000000004</v>
      </c>
      <c r="AC22" s="6">
        <v>0.8100000000000005</v>
      </c>
      <c r="AD22" s="6">
        <v>0.70000000000000107</v>
      </c>
      <c r="AE22" s="6" t="s">
        <v>956</v>
      </c>
      <c r="AF22" s="6"/>
      <c r="AG22" s="12">
        <v>43</v>
      </c>
      <c r="AH22" s="6"/>
      <c r="AI22" s="6" t="s">
        <v>973</v>
      </c>
      <c r="AJ22" s="108"/>
      <c r="AK22" s="108">
        <v>1.407</v>
      </c>
      <c r="AL22" s="6"/>
      <c r="AM22" s="6" t="s">
        <v>958</v>
      </c>
      <c r="AN22" s="6"/>
      <c r="AO22" s="105">
        <v>0.08</v>
      </c>
      <c r="AP22" s="6"/>
      <c r="AQ22" s="28" t="s">
        <v>319</v>
      </c>
      <c r="AR22" s="28" t="s">
        <v>319</v>
      </c>
      <c r="AS22" s="28" t="s">
        <v>319</v>
      </c>
      <c r="AT22" s="28" t="s">
        <v>319</v>
      </c>
      <c r="AU22" s="28" t="s">
        <v>319</v>
      </c>
      <c r="AV22" s="28" t="s">
        <v>319</v>
      </c>
      <c r="AW22" s="28" t="s">
        <v>319</v>
      </c>
      <c r="AX22" s="28" t="s">
        <v>319</v>
      </c>
      <c r="AY22" s="28" t="s">
        <v>319</v>
      </c>
      <c r="AZ22" s="28" t="s">
        <v>319</v>
      </c>
      <c r="BA22" s="28" t="s">
        <v>319</v>
      </c>
      <c r="BB22" s="6" t="s">
        <v>984</v>
      </c>
      <c r="BC22" s="5" t="s">
        <v>1012</v>
      </c>
      <c r="BD22" s="183" t="s">
        <v>1449</v>
      </c>
      <c r="BE22" s="6" t="s">
        <v>1010</v>
      </c>
      <c r="BF22" s="181" t="s">
        <v>1447</v>
      </c>
      <c r="BG22" s="12">
        <v>18.2</v>
      </c>
      <c r="BH22" s="28" t="s">
        <v>319</v>
      </c>
      <c r="BI22" s="28" t="s">
        <v>319</v>
      </c>
      <c r="BJ22" s="28" t="s">
        <v>319</v>
      </c>
      <c r="BK22" s="28" t="s">
        <v>319</v>
      </c>
      <c r="BL22" s="28" t="s">
        <v>319</v>
      </c>
      <c r="BM22" s="28" t="s">
        <v>319</v>
      </c>
      <c r="BN22" s="28" t="s">
        <v>319</v>
      </c>
      <c r="BO22" s="28" t="s">
        <v>319</v>
      </c>
      <c r="BP22" s="28" t="s">
        <v>319</v>
      </c>
      <c r="BQ22" s="28" t="s">
        <v>319</v>
      </c>
      <c r="BR22" s="113" t="s">
        <v>1299</v>
      </c>
      <c r="BS22" s="12">
        <v>760</v>
      </c>
      <c r="BT22" s="6"/>
      <c r="BU22" s="5"/>
      <c r="BV22" s="6"/>
      <c r="BW22" s="5"/>
      <c r="BX22" s="6"/>
      <c r="BY22" s="6"/>
      <c r="BZ22" s="30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9"/>
      <c r="DB22" s="6"/>
      <c r="DC22" s="30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 t="s">
        <v>319</v>
      </c>
      <c r="DO22" s="28" t="s">
        <v>319</v>
      </c>
      <c r="DP22" s="28" t="s">
        <v>319</v>
      </c>
      <c r="DQ22" s="28" t="s">
        <v>319</v>
      </c>
      <c r="DR22" s="28" t="s">
        <v>319</v>
      </c>
      <c r="DS22" s="28" t="s">
        <v>319</v>
      </c>
      <c r="DT22" s="28" t="s">
        <v>319</v>
      </c>
      <c r="DU22" s="28" t="s">
        <v>319</v>
      </c>
      <c r="DV22" s="28" t="s">
        <v>319</v>
      </c>
      <c r="DW22" s="28" t="s">
        <v>319</v>
      </c>
      <c r="DX22" s="28" t="s">
        <v>319</v>
      </c>
      <c r="DY22" s="28" t="s">
        <v>319</v>
      </c>
      <c r="DZ22" s="28" t="s">
        <v>319</v>
      </c>
      <c r="EA22" s="28" t="s">
        <v>319</v>
      </c>
      <c r="EB22" s="28" t="s">
        <v>319</v>
      </c>
      <c r="EC22" s="28" t="s">
        <v>319</v>
      </c>
      <c r="ED22" s="28" t="s">
        <v>319</v>
      </c>
      <c r="EE22" s="28"/>
      <c r="EF22" s="28" t="s">
        <v>319</v>
      </c>
      <c r="EG22" s="28" t="s">
        <v>319</v>
      </c>
      <c r="EH22" s="28" t="s">
        <v>319</v>
      </c>
      <c r="EI22" s="28" t="s">
        <v>319</v>
      </c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7"/>
      <c r="FK22" s="15" t="s">
        <v>1057</v>
      </c>
      <c r="FL22" s="6"/>
      <c r="FM22" s="94"/>
    </row>
    <row r="23" spans="1:169" s="3" customFormat="1" ht="33" customHeight="1" x14ac:dyDescent="0.4">
      <c r="A23" s="93"/>
      <c r="B23" s="93"/>
      <c r="C23" s="26"/>
      <c r="D23" s="27" t="s">
        <v>319</v>
      </c>
      <c r="E23" s="2" t="s">
        <v>440</v>
      </c>
      <c r="F23" s="28" t="s">
        <v>319</v>
      </c>
      <c r="G23" s="28" t="s">
        <v>319</v>
      </c>
      <c r="H23" s="28" t="s">
        <v>319</v>
      </c>
      <c r="I23" s="6" t="s">
        <v>570</v>
      </c>
      <c r="J23" s="28" t="s">
        <v>319</v>
      </c>
      <c r="K23" s="28" t="s">
        <v>319</v>
      </c>
      <c r="L23" s="28" t="s">
        <v>319</v>
      </c>
      <c r="M23" s="28" t="s">
        <v>319</v>
      </c>
      <c r="N23" s="28" t="s">
        <v>319</v>
      </c>
      <c r="O23" s="28" t="s">
        <v>319</v>
      </c>
      <c r="P23" s="28" t="s">
        <v>319</v>
      </c>
      <c r="Q23" s="5" t="s">
        <v>693</v>
      </c>
      <c r="R23" s="5" t="s">
        <v>663</v>
      </c>
      <c r="S23" s="6" t="s">
        <v>669</v>
      </c>
      <c r="T23" s="5" t="s">
        <v>694</v>
      </c>
      <c r="U23" s="5" t="s">
        <v>695</v>
      </c>
      <c r="V23" s="5" t="s">
        <v>696</v>
      </c>
      <c r="W23" s="6" t="s">
        <v>665</v>
      </c>
      <c r="X23" s="105">
        <v>9.75</v>
      </c>
      <c r="Y23" s="105">
        <v>9.75</v>
      </c>
      <c r="Z23" s="105">
        <v>9.6999999999999993</v>
      </c>
      <c r="AA23" s="6" t="s">
        <v>963</v>
      </c>
      <c r="AB23" s="6">
        <v>8.7899999999999991</v>
      </c>
      <c r="AC23" s="6">
        <v>8.77</v>
      </c>
      <c r="AD23" s="6">
        <v>8.6999999999999993</v>
      </c>
      <c r="AE23" s="6" t="s">
        <v>956</v>
      </c>
      <c r="AF23" s="6"/>
      <c r="AG23" s="12">
        <v>43</v>
      </c>
      <c r="AH23" s="6"/>
      <c r="AI23" s="6" t="s">
        <v>976</v>
      </c>
      <c r="AJ23" s="108"/>
      <c r="AK23" s="108">
        <v>0.752</v>
      </c>
      <c r="AL23" s="6"/>
      <c r="AM23" s="6" t="s">
        <v>958</v>
      </c>
      <c r="AN23" s="6"/>
      <c r="AO23" s="105">
        <v>0.09</v>
      </c>
      <c r="AP23" s="6"/>
      <c r="AQ23" s="28" t="s">
        <v>319</v>
      </c>
      <c r="AR23" s="28" t="s">
        <v>319</v>
      </c>
      <c r="AS23" s="28" t="s">
        <v>319</v>
      </c>
      <c r="AT23" s="28" t="s">
        <v>319</v>
      </c>
      <c r="AU23" s="28" t="s">
        <v>319</v>
      </c>
      <c r="AV23" s="28" t="s">
        <v>319</v>
      </c>
      <c r="AW23" s="28" t="s">
        <v>319</v>
      </c>
      <c r="AX23" s="28" t="s">
        <v>319</v>
      </c>
      <c r="AY23" s="28" t="s">
        <v>319</v>
      </c>
      <c r="AZ23" s="28" t="s">
        <v>319</v>
      </c>
      <c r="BA23" s="28" t="s">
        <v>319</v>
      </c>
      <c r="BB23" s="6" t="s">
        <v>984</v>
      </c>
      <c r="BC23" s="5" t="s">
        <v>1009</v>
      </c>
      <c r="BD23" s="212" t="s">
        <v>1450</v>
      </c>
      <c r="BE23" s="6" t="s">
        <v>1010</v>
      </c>
      <c r="BF23" s="181" t="s">
        <v>1447</v>
      </c>
      <c r="BG23" s="12">
        <v>14.7</v>
      </c>
      <c r="BH23" s="28" t="s">
        <v>319</v>
      </c>
      <c r="BI23" s="28" t="s">
        <v>319</v>
      </c>
      <c r="BJ23" s="28" t="s">
        <v>319</v>
      </c>
      <c r="BK23" s="28" t="s">
        <v>319</v>
      </c>
      <c r="BL23" s="28" t="s">
        <v>319</v>
      </c>
      <c r="BM23" s="28" t="s">
        <v>319</v>
      </c>
      <c r="BN23" s="28" t="s">
        <v>319</v>
      </c>
      <c r="BO23" s="28" t="s">
        <v>319</v>
      </c>
      <c r="BP23" s="28" t="s">
        <v>319</v>
      </c>
      <c r="BQ23" s="28" t="s">
        <v>319</v>
      </c>
      <c r="BR23" s="113" t="s">
        <v>1302</v>
      </c>
      <c r="BS23" s="12">
        <v>1009</v>
      </c>
      <c r="BT23" s="6"/>
      <c r="BU23" s="5"/>
      <c r="BV23" s="6"/>
      <c r="BW23" s="5"/>
      <c r="BX23" s="6"/>
      <c r="BY23" s="6"/>
      <c r="BZ23" s="30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9"/>
      <c r="DB23" s="6"/>
      <c r="DC23" s="30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 t="s">
        <v>319</v>
      </c>
      <c r="DO23" s="28" t="s">
        <v>319</v>
      </c>
      <c r="DP23" s="28" t="s">
        <v>319</v>
      </c>
      <c r="DQ23" s="28" t="s">
        <v>319</v>
      </c>
      <c r="DR23" s="28" t="s">
        <v>319</v>
      </c>
      <c r="DS23" s="28" t="s">
        <v>319</v>
      </c>
      <c r="DT23" s="28" t="s">
        <v>319</v>
      </c>
      <c r="DU23" s="28" t="s">
        <v>319</v>
      </c>
      <c r="DV23" s="28" t="s">
        <v>319</v>
      </c>
      <c r="DW23" s="28" t="s">
        <v>319</v>
      </c>
      <c r="DX23" s="28" t="s">
        <v>319</v>
      </c>
      <c r="DY23" s="28" t="s">
        <v>319</v>
      </c>
      <c r="DZ23" s="28" t="s">
        <v>319</v>
      </c>
      <c r="EA23" s="28" t="s">
        <v>319</v>
      </c>
      <c r="EB23" s="28" t="s">
        <v>319</v>
      </c>
      <c r="EC23" s="28" t="s">
        <v>319</v>
      </c>
      <c r="ED23" s="28" t="s">
        <v>319</v>
      </c>
      <c r="EE23" s="28"/>
      <c r="EF23" s="28" t="s">
        <v>319</v>
      </c>
      <c r="EG23" s="28" t="s">
        <v>319</v>
      </c>
      <c r="EH23" s="28" t="s">
        <v>319</v>
      </c>
      <c r="EI23" s="28" t="s">
        <v>319</v>
      </c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7"/>
      <c r="FK23" s="15" t="s">
        <v>1058</v>
      </c>
      <c r="FL23" s="6"/>
      <c r="FM23" s="94"/>
    </row>
    <row r="24" spans="1:169" s="3" customFormat="1" ht="33" customHeight="1" x14ac:dyDescent="0.4">
      <c r="A24" s="93"/>
      <c r="B24" s="93"/>
      <c r="C24" s="26"/>
      <c r="D24" s="27" t="s">
        <v>319</v>
      </c>
      <c r="E24" s="2" t="s">
        <v>326</v>
      </c>
      <c r="F24" s="28" t="s">
        <v>319</v>
      </c>
      <c r="G24" s="28" t="s">
        <v>319</v>
      </c>
      <c r="H24" s="28" t="s">
        <v>319</v>
      </c>
      <c r="I24" s="6" t="s">
        <v>571</v>
      </c>
      <c r="J24" s="28" t="s">
        <v>319</v>
      </c>
      <c r="K24" s="28" t="s">
        <v>319</v>
      </c>
      <c r="L24" s="28" t="s">
        <v>319</v>
      </c>
      <c r="M24" s="28" t="s">
        <v>319</v>
      </c>
      <c r="N24" s="28" t="s">
        <v>319</v>
      </c>
      <c r="O24" s="28" t="s">
        <v>319</v>
      </c>
      <c r="P24" s="28" t="s">
        <v>319</v>
      </c>
      <c r="Q24" s="5" t="s">
        <v>697</v>
      </c>
      <c r="R24" s="5" t="s">
        <v>663</v>
      </c>
      <c r="S24" s="6" t="s">
        <v>678</v>
      </c>
      <c r="T24" s="106">
        <v>97440</v>
      </c>
      <c r="U24" s="106">
        <v>162400</v>
      </c>
      <c r="V24" s="106">
        <v>178640</v>
      </c>
      <c r="W24" s="6" t="s">
        <v>665</v>
      </c>
      <c r="X24" s="105">
        <v>12.54</v>
      </c>
      <c r="Y24" s="105">
        <v>12.29</v>
      </c>
      <c r="Z24" s="105">
        <v>12.99</v>
      </c>
      <c r="AA24" s="6" t="s">
        <v>963</v>
      </c>
      <c r="AB24" s="6">
        <v>1.0499999999999989</v>
      </c>
      <c r="AC24" s="6">
        <v>0.78999999999999915</v>
      </c>
      <c r="AD24" s="6">
        <v>0.70000000000000107</v>
      </c>
      <c r="AE24" s="6" t="s">
        <v>956</v>
      </c>
      <c r="AF24" s="6"/>
      <c r="AG24" s="12">
        <v>43</v>
      </c>
      <c r="AH24" s="6"/>
      <c r="AI24" s="6" t="s">
        <v>965</v>
      </c>
      <c r="AJ24" s="108"/>
      <c r="AK24" s="108">
        <v>0.95899999999999996</v>
      </c>
      <c r="AL24" s="6"/>
      <c r="AM24" s="6" t="s">
        <v>958</v>
      </c>
      <c r="AN24" s="6"/>
      <c r="AO24" s="105">
        <v>0.08</v>
      </c>
      <c r="AP24" s="6"/>
      <c r="AQ24" s="28" t="s">
        <v>319</v>
      </c>
      <c r="AR24" s="28" t="s">
        <v>319</v>
      </c>
      <c r="AS24" s="28" t="s">
        <v>319</v>
      </c>
      <c r="AT24" s="28" t="s">
        <v>319</v>
      </c>
      <c r="AU24" s="28" t="s">
        <v>319</v>
      </c>
      <c r="AV24" s="28" t="s">
        <v>319</v>
      </c>
      <c r="AW24" s="28" t="s">
        <v>319</v>
      </c>
      <c r="AX24" s="28" t="s">
        <v>319</v>
      </c>
      <c r="AY24" s="28" t="s">
        <v>319</v>
      </c>
      <c r="AZ24" s="28" t="s">
        <v>319</v>
      </c>
      <c r="BA24" s="28" t="s">
        <v>319</v>
      </c>
      <c r="BB24" s="6" t="s">
        <v>984</v>
      </c>
      <c r="BC24" s="5" t="s">
        <v>681</v>
      </c>
      <c r="BD24" s="212" t="s">
        <v>1450</v>
      </c>
      <c r="BE24" s="6" t="s">
        <v>1010</v>
      </c>
      <c r="BF24" s="181" t="s">
        <v>1447</v>
      </c>
      <c r="BG24" s="12">
        <v>19</v>
      </c>
      <c r="BH24" s="28" t="s">
        <v>319</v>
      </c>
      <c r="BI24" s="28" t="s">
        <v>319</v>
      </c>
      <c r="BJ24" s="28" t="s">
        <v>319</v>
      </c>
      <c r="BK24" s="28" t="s">
        <v>319</v>
      </c>
      <c r="BL24" s="28" t="s">
        <v>319</v>
      </c>
      <c r="BM24" s="28" t="s">
        <v>319</v>
      </c>
      <c r="BN24" s="28" t="s">
        <v>319</v>
      </c>
      <c r="BO24" s="28" t="s">
        <v>319</v>
      </c>
      <c r="BP24" s="28" t="s">
        <v>319</v>
      </c>
      <c r="BQ24" s="28" t="s">
        <v>319</v>
      </c>
      <c r="BR24" s="113" t="s">
        <v>680</v>
      </c>
      <c r="BS24" s="12">
        <v>1038</v>
      </c>
      <c r="BT24" s="6"/>
      <c r="BU24" s="5"/>
      <c r="BV24" s="6"/>
      <c r="BW24" s="5"/>
      <c r="BX24" s="6"/>
      <c r="BY24" s="6"/>
      <c r="BZ24" s="30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9"/>
      <c r="DB24" s="6"/>
      <c r="DC24" s="30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 t="s">
        <v>319</v>
      </c>
      <c r="DO24" s="28" t="s">
        <v>319</v>
      </c>
      <c r="DP24" s="28" t="s">
        <v>319</v>
      </c>
      <c r="DQ24" s="28" t="s">
        <v>319</v>
      </c>
      <c r="DR24" s="28" t="s">
        <v>319</v>
      </c>
      <c r="DS24" s="28" t="s">
        <v>319</v>
      </c>
      <c r="DT24" s="28" t="s">
        <v>319</v>
      </c>
      <c r="DU24" s="28" t="s">
        <v>319</v>
      </c>
      <c r="DV24" s="28" t="s">
        <v>319</v>
      </c>
      <c r="DW24" s="28" t="s">
        <v>319</v>
      </c>
      <c r="DX24" s="28" t="s">
        <v>319</v>
      </c>
      <c r="DY24" s="28" t="s">
        <v>319</v>
      </c>
      <c r="DZ24" s="28" t="s">
        <v>319</v>
      </c>
      <c r="EA24" s="28" t="s">
        <v>319</v>
      </c>
      <c r="EB24" s="28" t="s">
        <v>319</v>
      </c>
      <c r="EC24" s="28" t="s">
        <v>319</v>
      </c>
      <c r="ED24" s="28" t="s">
        <v>319</v>
      </c>
      <c r="EE24" s="28"/>
      <c r="EF24" s="28" t="s">
        <v>319</v>
      </c>
      <c r="EG24" s="28" t="s">
        <v>319</v>
      </c>
      <c r="EH24" s="28" t="s">
        <v>319</v>
      </c>
      <c r="EI24" s="28" t="s">
        <v>319</v>
      </c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7"/>
      <c r="FK24" s="15" t="s">
        <v>1057</v>
      </c>
      <c r="FL24" s="6"/>
      <c r="FM24" s="94"/>
    </row>
    <row r="25" spans="1:169" s="3" customFormat="1" ht="33" customHeight="1" x14ac:dyDescent="0.4">
      <c r="A25" s="93"/>
      <c r="B25" s="93"/>
      <c r="C25" s="26"/>
      <c r="D25" s="27" t="s">
        <v>319</v>
      </c>
      <c r="E25" s="2" t="s">
        <v>327</v>
      </c>
      <c r="F25" s="28" t="s">
        <v>319</v>
      </c>
      <c r="G25" s="28" t="s">
        <v>319</v>
      </c>
      <c r="H25" s="28" t="s">
        <v>319</v>
      </c>
      <c r="I25" s="6" t="s">
        <v>571</v>
      </c>
      <c r="J25" s="28" t="s">
        <v>319</v>
      </c>
      <c r="K25" s="28" t="s">
        <v>319</v>
      </c>
      <c r="L25" s="28" t="s">
        <v>319</v>
      </c>
      <c r="M25" s="28" t="s">
        <v>319</v>
      </c>
      <c r="N25" s="28" t="s">
        <v>319</v>
      </c>
      <c r="O25" s="28" t="s">
        <v>319</v>
      </c>
      <c r="P25" s="28" t="s">
        <v>319</v>
      </c>
      <c r="Q25" s="5" t="s">
        <v>698</v>
      </c>
      <c r="R25" s="5" t="s">
        <v>663</v>
      </c>
      <c r="S25" s="6" t="s">
        <v>672</v>
      </c>
      <c r="T25" s="106">
        <v>97440</v>
      </c>
      <c r="U25" s="106">
        <v>162400</v>
      </c>
      <c r="V25" s="106">
        <v>178640</v>
      </c>
      <c r="W25" s="6" t="s">
        <v>665</v>
      </c>
      <c r="X25" s="105">
        <v>13.26</v>
      </c>
      <c r="Y25" s="105">
        <v>13.03</v>
      </c>
      <c r="Z25" s="105">
        <v>12.95</v>
      </c>
      <c r="AA25" s="6" t="s">
        <v>968</v>
      </c>
      <c r="AB25" s="6">
        <v>1.0499999999999989</v>
      </c>
      <c r="AC25" s="6">
        <v>0.78999999999999915</v>
      </c>
      <c r="AD25" s="6">
        <v>0.69999999999999929</v>
      </c>
      <c r="AE25" s="6" t="s">
        <v>956</v>
      </c>
      <c r="AF25" s="6"/>
      <c r="AG25" s="12">
        <v>43</v>
      </c>
      <c r="AH25" s="6"/>
      <c r="AI25" s="6" t="s">
        <v>965</v>
      </c>
      <c r="AJ25" s="112"/>
      <c r="AK25" s="108">
        <v>1.407</v>
      </c>
      <c r="AL25" s="6"/>
      <c r="AM25" s="6" t="s">
        <v>958</v>
      </c>
      <c r="AN25" s="6"/>
      <c r="AO25" s="105">
        <v>0.08</v>
      </c>
      <c r="AP25" s="6"/>
      <c r="AQ25" s="28" t="s">
        <v>319</v>
      </c>
      <c r="AR25" s="28" t="s">
        <v>319</v>
      </c>
      <c r="AS25" s="28" t="s">
        <v>319</v>
      </c>
      <c r="AT25" s="28" t="s">
        <v>319</v>
      </c>
      <c r="AU25" s="28" t="s">
        <v>319</v>
      </c>
      <c r="AV25" s="28" t="s">
        <v>319</v>
      </c>
      <c r="AW25" s="28" t="s">
        <v>319</v>
      </c>
      <c r="AX25" s="28" t="s">
        <v>319</v>
      </c>
      <c r="AY25" s="28" t="s">
        <v>319</v>
      </c>
      <c r="AZ25" s="28" t="s">
        <v>319</v>
      </c>
      <c r="BA25" s="28" t="s">
        <v>319</v>
      </c>
      <c r="BB25" s="6" t="s">
        <v>984</v>
      </c>
      <c r="BC25" s="5" t="s">
        <v>681</v>
      </c>
      <c r="BD25" s="212" t="s">
        <v>1450</v>
      </c>
      <c r="BE25" s="6" t="s">
        <v>1010</v>
      </c>
      <c r="BF25" s="181" t="s">
        <v>1447</v>
      </c>
      <c r="BG25" s="12">
        <v>20.399999999999999</v>
      </c>
      <c r="BH25" s="28" t="s">
        <v>319</v>
      </c>
      <c r="BI25" s="28" t="s">
        <v>319</v>
      </c>
      <c r="BJ25" s="28" t="s">
        <v>319</v>
      </c>
      <c r="BK25" s="28" t="s">
        <v>319</v>
      </c>
      <c r="BL25" s="28" t="s">
        <v>319</v>
      </c>
      <c r="BM25" s="28" t="s">
        <v>319</v>
      </c>
      <c r="BN25" s="28" t="s">
        <v>319</v>
      </c>
      <c r="BO25" s="28" t="s">
        <v>319</v>
      </c>
      <c r="BP25" s="28" t="s">
        <v>319</v>
      </c>
      <c r="BQ25" s="28" t="s">
        <v>319</v>
      </c>
      <c r="BR25" s="113" t="s">
        <v>680</v>
      </c>
      <c r="BS25" s="12">
        <v>1090</v>
      </c>
      <c r="BT25" s="6"/>
      <c r="BU25" s="5"/>
      <c r="BV25" s="6"/>
      <c r="BW25" s="5"/>
      <c r="BX25" s="6"/>
      <c r="BY25" s="6"/>
      <c r="BZ25" s="30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9"/>
      <c r="DB25" s="6"/>
      <c r="DC25" s="30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 t="s">
        <v>319</v>
      </c>
      <c r="DO25" s="28" t="s">
        <v>319</v>
      </c>
      <c r="DP25" s="28" t="s">
        <v>319</v>
      </c>
      <c r="DQ25" s="28" t="s">
        <v>319</v>
      </c>
      <c r="DR25" s="28" t="s">
        <v>319</v>
      </c>
      <c r="DS25" s="28" t="s">
        <v>319</v>
      </c>
      <c r="DT25" s="28" t="s">
        <v>319</v>
      </c>
      <c r="DU25" s="28" t="s">
        <v>319</v>
      </c>
      <c r="DV25" s="28" t="s">
        <v>319</v>
      </c>
      <c r="DW25" s="28" t="s">
        <v>319</v>
      </c>
      <c r="DX25" s="28" t="s">
        <v>319</v>
      </c>
      <c r="DY25" s="28" t="s">
        <v>319</v>
      </c>
      <c r="DZ25" s="28" t="s">
        <v>319</v>
      </c>
      <c r="EA25" s="28" t="s">
        <v>319</v>
      </c>
      <c r="EB25" s="28" t="s">
        <v>319</v>
      </c>
      <c r="EC25" s="28" t="s">
        <v>319</v>
      </c>
      <c r="ED25" s="28" t="s">
        <v>319</v>
      </c>
      <c r="EE25" s="28"/>
      <c r="EF25" s="28" t="s">
        <v>319</v>
      </c>
      <c r="EG25" s="28" t="s">
        <v>319</v>
      </c>
      <c r="EH25" s="28" t="s">
        <v>319</v>
      </c>
      <c r="EI25" s="28" t="s">
        <v>319</v>
      </c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7"/>
      <c r="FK25" s="15" t="s">
        <v>1058</v>
      </c>
      <c r="FL25" s="6"/>
      <c r="FM25" s="94"/>
    </row>
    <row r="26" spans="1:169" s="3" customFormat="1" ht="34.799999999999997" x14ac:dyDescent="0.4">
      <c r="A26" s="93"/>
      <c r="B26" s="93"/>
      <c r="C26" s="26"/>
      <c r="D26" s="27" t="s">
        <v>319</v>
      </c>
      <c r="E26" s="2" t="s">
        <v>328</v>
      </c>
      <c r="F26" s="28" t="s">
        <v>319</v>
      </c>
      <c r="G26" s="28" t="s">
        <v>319</v>
      </c>
      <c r="H26" s="28" t="s">
        <v>319</v>
      </c>
      <c r="I26" s="6" t="s">
        <v>572</v>
      </c>
      <c r="J26" s="28" t="s">
        <v>319</v>
      </c>
      <c r="K26" s="28" t="s">
        <v>319</v>
      </c>
      <c r="L26" s="28" t="s">
        <v>319</v>
      </c>
      <c r="M26" s="28" t="s">
        <v>319</v>
      </c>
      <c r="N26" s="28" t="s">
        <v>319</v>
      </c>
      <c r="O26" s="28" t="s">
        <v>319</v>
      </c>
      <c r="P26" s="28" t="s">
        <v>319</v>
      </c>
      <c r="Q26" s="5" t="s">
        <v>699</v>
      </c>
      <c r="R26" s="5" t="s">
        <v>663</v>
      </c>
      <c r="S26" s="6" t="s">
        <v>669</v>
      </c>
      <c r="T26" s="5" t="s">
        <v>700</v>
      </c>
      <c r="U26" s="5" t="s">
        <v>701</v>
      </c>
      <c r="V26" s="266">
        <v>8000</v>
      </c>
      <c r="W26" s="6" t="s">
        <v>665</v>
      </c>
      <c r="X26" s="105">
        <v>20.32</v>
      </c>
      <c r="Y26" s="105">
        <v>19.93</v>
      </c>
      <c r="Z26" s="105">
        <v>17</v>
      </c>
      <c r="AA26" s="6" t="s">
        <v>963</v>
      </c>
      <c r="AB26" s="224">
        <f>3.52+1.93</f>
        <v>5.45</v>
      </c>
      <c r="AC26" s="224">
        <f>3.82+1.93</f>
        <v>5.75</v>
      </c>
      <c r="AD26" s="224">
        <f>0.7+1.93</f>
        <v>2.63</v>
      </c>
      <c r="AE26" s="6" t="s">
        <v>956</v>
      </c>
      <c r="AF26" s="6"/>
      <c r="AG26" s="12">
        <v>15</v>
      </c>
      <c r="AH26" s="6"/>
      <c r="AI26" s="6" t="s">
        <v>965</v>
      </c>
      <c r="AJ26" s="108"/>
      <c r="AK26" s="108">
        <v>3.2</v>
      </c>
      <c r="AL26" s="6"/>
      <c r="AM26" s="6" t="s">
        <v>958</v>
      </c>
      <c r="AN26" s="6"/>
      <c r="AO26" s="105">
        <v>0.1</v>
      </c>
      <c r="AP26" s="6"/>
      <c r="AQ26" s="28" t="s">
        <v>319</v>
      </c>
      <c r="AR26" s="28" t="s">
        <v>319</v>
      </c>
      <c r="AS26" s="28" t="s">
        <v>319</v>
      </c>
      <c r="AT26" s="28" t="s">
        <v>319</v>
      </c>
      <c r="AU26" s="28" t="s">
        <v>319</v>
      </c>
      <c r="AV26" s="28" t="s">
        <v>319</v>
      </c>
      <c r="AW26" s="28" t="s">
        <v>319</v>
      </c>
      <c r="AX26" s="28" t="s">
        <v>319</v>
      </c>
      <c r="AY26" s="28" t="s">
        <v>319</v>
      </c>
      <c r="AZ26" s="28" t="s">
        <v>319</v>
      </c>
      <c r="BA26" s="28" t="s">
        <v>319</v>
      </c>
      <c r="BB26" s="6" t="s">
        <v>984</v>
      </c>
      <c r="BC26" s="5" t="s">
        <v>1011</v>
      </c>
      <c r="BD26" s="106">
        <v>65</v>
      </c>
      <c r="BE26" s="6" t="s">
        <v>1010</v>
      </c>
      <c r="BF26" s="6"/>
      <c r="BG26" s="12">
        <v>20.5</v>
      </c>
      <c r="BH26" s="28" t="s">
        <v>319</v>
      </c>
      <c r="BI26" s="28" t="s">
        <v>319</v>
      </c>
      <c r="BJ26" s="28" t="s">
        <v>319</v>
      </c>
      <c r="BK26" s="28" t="s">
        <v>319</v>
      </c>
      <c r="BL26" s="28" t="s">
        <v>319</v>
      </c>
      <c r="BM26" s="28" t="s">
        <v>319</v>
      </c>
      <c r="BN26" s="28" t="s">
        <v>319</v>
      </c>
      <c r="BO26" s="28" t="s">
        <v>319</v>
      </c>
      <c r="BP26" s="28" t="s">
        <v>319</v>
      </c>
      <c r="BQ26" s="28" t="s">
        <v>319</v>
      </c>
      <c r="BR26" s="113" t="s">
        <v>1303</v>
      </c>
      <c r="BS26" s="12">
        <v>1120</v>
      </c>
      <c r="BT26" s="6"/>
      <c r="BU26" s="5"/>
      <c r="BV26" s="6"/>
      <c r="BW26" s="5"/>
      <c r="BX26" s="6"/>
      <c r="BY26" s="6"/>
      <c r="BZ26" s="30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9"/>
      <c r="DB26" s="6"/>
      <c r="DC26" s="30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 t="s">
        <v>319</v>
      </c>
      <c r="DO26" s="28" t="s">
        <v>319</v>
      </c>
      <c r="DP26" s="28" t="s">
        <v>319</v>
      </c>
      <c r="DQ26" s="28" t="s">
        <v>319</v>
      </c>
      <c r="DR26" s="28" t="s">
        <v>319</v>
      </c>
      <c r="DS26" s="28" t="s">
        <v>319</v>
      </c>
      <c r="DT26" s="28" t="s">
        <v>319</v>
      </c>
      <c r="DU26" s="28" t="s">
        <v>319</v>
      </c>
      <c r="DV26" s="28" t="s">
        <v>319</v>
      </c>
      <c r="DW26" s="28" t="s">
        <v>319</v>
      </c>
      <c r="DX26" s="28" t="s">
        <v>319</v>
      </c>
      <c r="DY26" s="28" t="s">
        <v>319</v>
      </c>
      <c r="DZ26" s="28" t="s">
        <v>319</v>
      </c>
      <c r="EA26" s="28" t="s">
        <v>319</v>
      </c>
      <c r="EB26" s="28" t="s">
        <v>319</v>
      </c>
      <c r="EC26" s="28" t="s">
        <v>319</v>
      </c>
      <c r="ED26" s="28" t="s">
        <v>319</v>
      </c>
      <c r="EE26" s="28"/>
      <c r="EF26" s="28" t="s">
        <v>319</v>
      </c>
      <c r="EG26" s="28" t="s">
        <v>319</v>
      </c>
      <c r="EH26" s="28" t="s">
        <v>319</v>
      </c>
      <c r="EI26" s="28" t="s">
        <v>319</v>
      </c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7"/>
      <c r="FK26" s="15" t="s">
        <v>1058</v>
      </c>
      <c r="FL26" s="6"/>
      <c r="FM26" s="94"/>
    </row>
    <row r="27" spans="1:169" s="3" customFormat="1" ht="33" customHeight="1" x14ac:dyDescent="0.4">
      <c r="A27" s="93"/>
      <c r="B27" s="93"/>
      <c r="C27" s="26"/>
      <c r="D27" s="27" t="s">
        <v>319</v>
      </c>
      <c r="E27" s="2" t="s">
        <v>329</v>
      </c>
      <c r="F27" s="28" t="s">
        <v>319</v>
      </c>
      <c r="G27" s="28" t="s">
        <v>319</v>
      </c>
      <c r="H27" s="28" t="s">
        <v>319</v>
      </c>
      <c r="I27" s="6" t="s">
        <v>573</v>
      </c>
      <c r="J27" s="28" t="s">
        <v>319</v>
      </c>
      <c r="K27" s="28" t="s">
        <v>319</v>
      </c>
      <c r="L27" s="28" t="s">
        <v>319</v>
      </c>
      <c r="M27" s="28" t="s">
        <v>319</v>
      </c>
      <c r="N27" s="28" t="s">
        <v>319</v>
      </c>
      <c r="O27" s="28" t="s">
        <v>319</v>
      </c>
      <c r="P27" s="28" t="s">
        <v>319</v>
      </c>
      <c r="Q27" s="5" t="s">
        <v>702</v>
      </c>
      <c r="R27" s="5" t="s">
        <v>663</v>
      </c>
      <c r="S27" s="6" t="s">
        <v>678</v>
      </c>
      <c r="T27" s="106">
        <v>97440</v>
      </c>
      <c r="U27" s="106">
        <v>162400</v>
      </c>
      <c r="V27" s="106">
        <v>178640</v>
      </c>
      <c r="W27" s="6" t="s">
        <v>665</v>
      </c>
      <c r="X27" s="105">
        <v>13.45</v>
      </c>
      <c r="Y27" s="105">
        <v>13.18</v>
      </c>
      <c r="Z27" s="105">
        <v>13.08</v>
      </c>
      <c r="AA27" s="6" t="s">
        <v>963</v>
      </c>
      <c r="AB27" s="6">
        <v>1.1199999999999992</v>
      </c>
      <c r="AC27" s="6">
        <v>0.8100000000000005</v>
      </c>
      <c r="AD27" s="6">
        <v>0.69999999999999929</v>
      </c>
      <c r="AE27" s="6" t="s">
        <v>956</v>
      </c>
      <c r="AF27" s="6"/>
      <c r="AG27" s="12">
        <v>43</v>
      </c>
      <c r="AH27" s="6"/>
      <c r="AI27" s="6" t="s">
        <v>965</v>
      </c>
      <c r="AJ27" s="108"/>
      <c r="AK27" s="108">
        <v>0.59599999999999997</v>
      </c>
      <c r="AL27" s="6"/>
      <c r="AM27" s="6" t="s">
        <v>958</v>
      </c>
      <c r="AN27" s="6"/>
      <c r="AO27" s="105">
        <v>0.09</v>
      </c>
      <c r="AP27" s="6"/>
      <c r="AQ27" s="28" t="s">
        <v>319</v>
      </c>
      <c r="AR27" s="28" t="s">
        <v>319</v>
      </c>
      <c r="AS27" s="28" t="s">
        <v>319</v>
      </c>
      <c r="AT27" s="28" t="s">
        <v>319</v>
      </c>
      <c r="AU27" s="28" t="s">
        <v>319</v>
      </c>
      <c r="AV27" s="28" t="s">
        <v>319</v>
      </c>
      <c r="AW27" s="28" t="s">
        <v>319</v>
      </c>
      <c r="AX27" s="28" t="s">
        <v>319</v>
      </c>
      <c r="AY27" s="28" t="s">
        <v>319</v>
      </c>
      <c r="AZ27" s="28" t="s">
        <v>319</v>
      </c>
      <c r="BA27" s="28" t="s">
        <v>319</v>
      </c>
      <c r="BB27" s="6" t="s">
        <v>984</v>
      </c>
      <c r="BC27" s="5" t="s">
        <v>1012</v>
      </c>
      <c r="BD27" s="212" t="s">
        <v>1450</v>
      </c>
      <c r="BE27" s="6" t="s">
        <v>1010</v>
      </c>
      <c r="BF27" s="181" t="s">
        <v>1447</v>
      </c>
      <c r="BG27" s="12">
        <v>19.100000000000001</v>
      </c>
      <c r="BH27" s="28" t="s">
        <v>319</v>
      </c>
      <c r="BI27" s="28" t="s">
        <v>319</v>
      </c>
      <c r="BJ27" s="28" t="s">
        <v>319</v>
      </c>
      <c r="BK27" s="28" t="s">
        <v>319</v>
      </c>
      <c r="BL27" s="28" t="s">
        <v>319</v>
      </c>
      <c r="BM27" s="28" t="s">
        <v>319</v>
      </c>
      <c r="BN27" s="28" t="s">
        <v>319</v>
      </c>
      <c r="BO27" s="28" t="s">
        <v>319</v>
      </c>
      <c r="BP27" s="28" t="s">
        <v>319</v>
      </c>
      <c r="BQ27" s="28" t="s">
        <v>319</v>
      </c>
      <c r="BR27" s="113" t="s">
        <v>680</v>
      </c>
      <c r="BS27" s="12">
        <v>991</v>
      </c>
      <c r="BT27" s="6"/>
      <c r="BU27" s="5"/>
      <c r="BV27" s="6"/>
      <c r="BW27" s="5"/>
      <c r="BX27" s="6"/>
      <c r="BY27" s="6"/>
      <c r="BZ27" s="30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9"/>
      <c r="DB27" s="6"/>
      <c r="DC27" s="30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 t="s">
        <v>319</v>
      </c>
      <c r="DO27" s="28" t="s">
        <v>319</v>
      </c>
      <c r="DP27" s="28" t="s">
        <v>319</v>
      </c>
      <c r="DQ27" s="28" t="s">
        <v>319</v>
      </c>
      <c r="DR27" s="28" t="s">
        <v>319</v>
      </c>
      <c r="DS27" s="28" t="s">
        <v>319</v>
      </c>
      <c r="DT27" s="28" t="s">
        <v>319</v>
      </c>
      <c r="DU27" s="28" t="s">
        <v>319</v>
      </c>
      <c r="DV27" s="28" t="s">
        <v>319</v>
      </c>
      <c r="DW27" s="28" t="s">
        <v>319</v>
      </c>
      <c r="DX27" s="28" t="s">
        <v>319</v>
      </c>
      <c r="DY27" s="28" t="s">
        <v>319</v>
      </c>
      <c r="DZ27" s="28" t="s">
        <v>319</v>
      </c>
      <c r="EA27" s="28" t="s">
        <v>319</v>
      </c>
      <c r="EB27" s="28" t="s">
        <v>319</v>
      </c>
      <c r="EC27" s="28" t="s">
        <v>319</v>
      </c>
      <c r="ED27" s="28" t="s">
        <v>319</v>
      </c>
      <c r="EE27" s="28"/>
      <c r="EF27" s="28" t="s">
        <v>319</v>
      </c>
      <c r="EG27" s="28" t="s">
        <v>319</v>
      </c>
      <c r="EH27" s="28" t="s">
        <v>319</v>
      </c>
      <c r="EI27" s="28" t="s">
        <v>319</v>
      </c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7"/>
      <c r="FK27" s="6"/>
      <c r="FL27" s="6"/>
      <c r="FM27" s="94"/>
    </row>
    <row r="28" spans="1:169" s="3" customFormat="1" x14ac:dyDescent="0.4">
      <c r="A28" s="93"/>
      <c r="B28" s="93"/>
      <c r="C28" s="26"/>
      <c r="D28" s="27" t="s">
        <v>319</v>
      </c>
      <c r="E28" s="2" t="s">
        <v>330</v>
      </c>
      <c r="F28" s="28" t="s">
        <v>319</v>
      </c>
      <c r="G28" s="28" t="s">
        <v>319</v>
      </c>
      <c r="H28" s="28" t="s">
        <v>319</v>
      </c>
      <c r="I28" s="6" t="s">
        <v>574</v>
      </c>
      <c r="J28" s="28" t="s">
        <v>319</v>
      </c>
      <c r="K28" s="28" t="s">
        <v>319</v>
      </c>
      <c r="L28" s="28" t="s">
        <v>319</v>
      </c>
      <c r="M28" s="28" t="s">
        <v>319</v>
      </c>
      <c r="N28" s="28" t="s">
        <v>319</v>
      </c>
      <c r="O28" s="28" t="s">
        <v>319</v>
      </c>
      <c r="P28" s="28" t="s">
        <v>319</v>
      </c>
      <c r="Q28" s="5" t="s">
        <v>683</v>
      </c>
      <c r="R28" s="5" t="s">
        <v>663</v>
      </c>
      <c r="S28" s="6" t="s">
        <v>672</v>
      </c>
      <c r="T28" s="5"/>
      <c r="U28" s="266">
        <v>2499</v>
      </c>
      <c r="V28" s="267">
        <v>8000</v>
      </c>
      <c r="W28" s="6" t="s">
        <v>665</v>
      </c>
      <c r="X28" s="5"/>
      <c r="Y28" s="5"/>
      <c r="Z28" s="105">
        <v>12.45</v>
      </c>
      <c r="AA28" s="6" t="s">
        <v>963</v>
      </c>
      <c r="AB28" s="6"/>
      <c r="AC28" s="6"/>
      <c r="AD28" s="6">
        <v>0.69999999999999929</v>
      </c>
      <c r="AE28" s="6" t="s">
        <v>956</v>
      </c>
      <c r="AF28" s="6"/>
      <c r="AG28" s="12">
        <v>45</v>
      </c>
      <c r="AH28" s="6"/>
      <c r="AI28" s="6" t="s">
        <v>965</v>
      </c>
      <c r="AJ28" s="108"/>
      <c r="AK28" s="108">
        <v>0.59699999999999998</v>
      </c>
      <c r="AL28" s="6"/>
      <c r="AM28" s="6" t="s">
        <v>958</v>
      </c>
      <c r="AN28" s="6"/>
      <c r="AO28" s="105">
        <v>0.09</v>
      </c>
      <c r="AP28" s="6"/>
      <c r="AQ28" s="28" t="s">
        <v>319</v>
      </c>
      <c r="AR28" s="28" t="s">
        <v>319</v>
      </c>
      <c r="AS28" s="28" t="s">
        <v>319</v>
      </c>
      <c r="AT28" s="28" t="s">
        <v>319</v>
      </c>
      <c r="AU28" s="28" t="s">
        <v>319</v>
      </c>
      <c r="AV28" s="28" t="s">
        <v>319</v>
      </c>
      <c r="AW28" s="28" t="s">
        <v>319</v>
      </c>
      <c r="AX28" s="28" t="s">
        <v>319</v>
      </c>
      <c r="AY28" s="28" t="s">
        <v>319</v>
      </c>
      <c r="AZ28" s="28" t="s">
        <v>319</v>
      </c>
      <c r="BA28" s="28" t="s">
        <v>319</v>
      </c>
      <c r="BB28" s="6" t="s">
        <v>984</v>
      </c>
      <c r="BC28" s="5" t="s">
        <v>1011</v>
      </c>
      <c r="BD28" s="106">
        <v>150</v>
      </c>
      <c r="BE28" s="6" t="s">
        <v>1010</v>
      </c>
      <c r="BF28" s="6"/>
      <c r="BG28" s="12">
        <v>16</v>
      </c>
      <c r="BH28" s="28" t="s">
        <v>319</v>
      </c>
      <c r="BI28" s="28" t="s">
        <v>319</v>
      </c>
      <c r="BJ28" s="28" t="s">
        <v>319</v>
      </c>
      <c r="BK28" s="28" t="s">
        <v>319</v>
      </c>
      <c r="BL28" s="28" t="s">
        <v>319</v>
      </c>
      <c r="BM28" s="28" t="s">
        <v>319</v>
      </c>
      <c r="BN28" s="28" t="s">
        <v>319</v>
      </c>
      <c r="BO28" s="28" t="s">
        <v>319</v>
      </c>
      <c r="BP28" s="28" t="s">
        <v>319</v>
      </c>
      <c r="BQ28" s="28" t="s">
        <v>319</v>
      </c>
      <c r="BR28" s="12">
        <v>225.5</v>
      </c>
      <c r="BS28" s="12">
        <v>992.2</v>
      </c>
      <c r="BT28" s="6"/>
      <c r="BU28" s="5"/>
      <c r="BV28" s="6"/>
      <c r="BW28" s="5"/>
      <c r="BX28" s="6"/>
      <c r="BY28" s="6"/>
      <c r="BZ28" s="30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9"/>
      <c r="DB28" s="6"/>
      <c r="DC28" s="30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 t="s">
        <v>319</v>
      </c>
      <c r="DO28" s="28" t="s">
        <v>319</v>
      </c>
      <c r="DP28" s="28" t="s">
        <v>319</v>
      </c>
      <c r="DQ28" s="28" t="s">
        <v>319</v>
      </c>
      <c r="DR28" s="28" t="s">
        <v>319</v>
      </c>
      <c r="DS28" s="28" t="s">
        <v>319</v>
      </c>
      <c r="DT28" s="28" t="s">
        <v>319</v>
      </c>
      <c r="DU28" s="28" t="s">
        <v>319</v>
      </c>
      <c r="DV28" s="28" t="s">
        <v>319</v>
      </c>
      <c r="DW28" s="28" t="s">
        <v>319</v>
      </c>
      <c r="DX28" s="28" t="s">
        <v>319</v>
      </c>
      <c r="DY28" s="28" t="s">
        <v>319</v>
      </c>
      <c r="DZ28" s="28" t="s">
        <v>319</v>
      </c>
      <c r="EA28" s="28" t="s">
        <v>319</v>
      </c>
      <c r="EB28" s="28" t="s">
        <v>319</v>
      </c>
      <c r="EC28" s="28" t="s">
        <v>319</v>
      </c>
      <c r="ED28" s="28" t="s">
        <v>319</v>
      </c>
      <c r="EE28" s="28"/>
      <c r="EF28" s="28" t="s">
        <v>319</v>
      </c>
      <c r="EG28" s="28" t="s">
        <v>319</v>
      </c>
      <c r="EH28" s="28" t="s">
        <v>319</v>
      </c>
      <c r="EI28" s="28" t="s">
        <v>319</v>
      </c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7"/>
      <c r="FK28" s="6"/>
      <c r="FL28" s="6"/>
      <c r="FM28" s="94"/>
    </row>
    <row r="29" spans="1:169" s="3" customFormat="1" x14ac:dyDescent="0.4">
      <c r="A29" s="93"/>
      <c r="B29" s="93"/>
      <c r="C29" s="26"/>
      <c r="D29" s="27" t="s">
        <v>319</v>
      </c>
      <c r="E29" s="2" t="s">
        <v>534</v>
      </c>
      <c r="F29" s="28" t="s">
        <v>319</v>
      </c>
      <c r="G29" s="28" t="s">
        <v>319</v>
      </c>
      <c r="H29" s="28" t="s">
        <v>319</v>
      </c>
      <c r="I29" s="6" t="s">
        <v>575</v>
      </c>
      <c r="J29" s="28" t="s">
        <v>319</v>
      </c>
      <c r="K29" s="28" t="s">
        <v>319</v>
      </c>
      <c r="L29" s="28" t="s">
        <v>319</v>
      </c>
      <c r="M29" s="28" t="s">
        <v>319</v>
      </c>
      <c r="N29" s="28" t="s">
        <v>319</v>
      </c>
      <c r="O29" s="28" t="s">
        <v>319</v>
      </c>
      <c r="P29" s="28" t="s">
        <v>319</v>
      </c>
      <c r="Q29" s="5" t="s">
        <v>703</v>
      </c>
      <c r="R29" s="5" t="s">
        <v>674</v>
      </c>
      <c r="S29" s="6" t="s">
        <v>672</v>
      </c>
      <c r="T29" s="5"/>
      <c r="U29" s="106">
        <v>33299</v>
      </c>
      <c r="V29" s="106">
        <f>U29*1.1</f>
        <v>36628.9</v>
      </c>
      <c r="W29" s="6" t="s">
        <v>665</v>
      </c>
      <c r="X29" s="105" t="s">
        <v>704</v>
      </c>
      <c r="Y29" s="105">
        <v>15.29</v>
      </c>
      <c r="Z29" s="109" t="s">
        <v>1279</v>
      </c>
      <c r="AA29" s="6" t="s">
        <v>982</v>
      </c>
      <c r="AB29" s="6" t="s">
        <v>983</v>
      </c>
      <c r="AC29" s="6" t="s">
        <v>1304</v>
      </c>
      <c r="AD29" s="99" t="s">
        <v>704</v>
      </c>
      <c r="AE29" s="6" t="s">
        <v>984</v>
      </c>
      <c r="AF29" s="6"/>
      <c r="AG29" s="12">
        <v>121</v>
      </c>
      <c r="AH29" s="6"/>
      <c r="AI29" s="6" t="s">
        <v>965</v>
      </c>
      <c r="AJ29" s="108"/>
      <c r="AK29" s="108">
        <v>0.23100000000000001</v>
      </c>
      <c r="AL29" s="6"/>
      <c r="AM29" s="6" t="s">
        <v>958</v>
      </c>
      <c r="AN29" s="6"/>
      <c r="AO29" s="5">
        <v>0.09</v>
      </c>
      <c r="AP29" s="6"/>
      <c r="AQ29" s="28" t="s">
        <v>319</v>
      </c>
      <c r="AR29" s="28" t="s">
        <v>319</v>
      </c>
      <c r="AS29" s="28" t="s">
        <v>319</v>
      </c>
      <c r="AT29" s="28" t="s">
        <v>319</v>
      </c>
      <c r="AU29" s="28" t="s">
        <v>319</v>
      </c>
      <c r="AV29" s="28" t="s">
        <v>319</v>
      </c>
      <c r="AW29" s="28" t="s">
        <v>319</v>
      </c>
      <c r="AX29" s="28" t="s">
        <v>319</v>
      </c>
      <c r="AY29" s="28" t="s">
        <v>319</v>
      </c>
      <c r="AZ29" s="28" t="s">
        <v>319</v>
      </c>
      <c r="BA29" s="28" t="s">
        <v>319</v>
      </c>
      <c r="BB29" s="6" t="s">
        <v>984</v>
      </c>
      <c r="BC29" s="5" t="s">
        <v>1011</v>
      </c>
      <c r="BD29" s="106">
        <v>150</v>
      </c>
      <c r="BE29" s="6" t="s">
        <v>1010</v>
      </c>
      <c r="BF29" s="6"/>
      <c r="BG29" s="12">
        <v>21</v>
      </c>
      <c r="BH29" s="28" t="s">
        <v>319</v>
      </c>
      <c r="BI29" s="28" t="s">
        <v>319</v>
      </c>
      <c r="BJ29" s="28" t="s">
        <v>319</v>
      </c>
      <c r="BK29" s="28" t="s">
        <v>319</v>
      </c>
      <c r="BL29" s="28" t="s">
        <v>319</v>
      </c>
      <c r="BM29" s="28" t="s">
        <v>319</v>
      </c>
      <c r="BN29" s="28" t="s">
        <v>319</v>
      </c>
      <c r="BO29" s="28" t="s">
        <v>319</v>
      </c>
      <c r="BP29" s="28" t="s">
        <v>319</v>
      </c>
      <c r="BQ29" s="28" t="s">
        <v>319</v>
      </c>
      <c r="BR29" s="12">
        <v>225.5</v>
      </c>
      <c r="BS29" s="12">
        <v>944</v>
      </c>
      <c r="BT29" s="6"/>
      <c r="BU29" s="5"/>
      <c r="BV29" s="6"/>
      <c r="BW29" s="5"/>
      <c r="BX29" s="99" t="s">
        <v>1299</v>
      </c>
      <c r="BY29" s="6"/>
      <c r="BZ29" s="30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9"/>
      <c r="DB29" s="6"/>
      <c r="DC29" s="30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 t="s">
        <v>319</v>
      </c>
      <c r="DO29" s="28" t="s">
        <v>319</v>
      </c>
      <c r="DP29" s="28" t="s">
        <v>319</v>
      </c>
      <c r="DQ29" s="28" t="s">
        <v>319</v>
      </c>
      <c r="DR29" s="28" t="s">
        <v>319</v>
      </c>
      <c r="DS29" s="28" t="s">
        <v>319</v>
      </c>
      <c r="DT29" s="28" t="s">
        <v>319</v>
      </c>
      <c r="DU29" s="28" t="s">
        <v>319</v>
      </c>
      <c r="DV29" s="28" t="s">
        <v>319</v>
      </c>
      <c r="DW29" s="28" t="s">
        <v>319</v>
      </c>
      <c r="DX29" s="28" t="s">
        <v>319</v>
      </c>
      <c r="DY29" s="28" t="s">
        <v>319</v>
      </c>
      <c r="DZ29" s="28" t="s">
        <v>319</v>
      </c>
      <c r="EA29" s="28" t="s">
        <v>319</v>
      </c>
      <c r="EB29" s="28" t="s">
        <v>319</v>
      </c>
      <c r="EC29" s="28" t="s">
        <v>319</v>
      </c>
      <c r="ED29" s="28" t="s">
        <v>319</v>
      </c>
      <c r="EE29" s="28"/>
      <c r="EF29" s="28" t="s">
        <v>319</v>
      </c>
      <c r="EG29" s="28" t="s">
        <v>319</v>
      </c>
      <c r="EH29" s="28" t="s">
        <v>319</v>
      </c>
      <c r="EI29" s="28" t="s">
        <v>319</v>
      </c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7"/>
      <c r="FK29" s="6"/>
      <c r="FL29" s="6"/>
      <c r="FM29" s="94"/>
    </row>
    <row r="30" spans="1:169" s="3" customFormat="1" x14ac:dyDescent="0.4">
      <c r="A30" s="93"/>
      <c r="B30" s="93"/>
      <c r="C30" s="26"/>
      <c r="D30" s="27" t="s">
        <v>319</v>
      </c>
      <c r="E30" s="2" t="s">
        <v>441</v>
      </c>
      <c r="F30" s="28" t="s">
        <v>319</v>
      </c>
      <c r="G30" s="28" t="s">
        <v>319</v>
      </c>
      <c r="H30" s="28" t="s">
        <v>319</v>
      </c>
      <c r="I30" s="6" t="s">
        <v>576</v>
      </c>
      <c r="J30" s="28" t="s">
        <v>319</v>
      </c>
      <c r="K30" s="28" t="s">
        <v>319</v>
      </c>
      <c r="L30" s="28" t="s">
        <v>319</v>
      </c>
      <c r="M30" s="28" t="s">
        <v>319</v>
      </c>
      <c r="N30" s="28" t="s">
        <v>319</v>
      </c>
      <c r="O30" s="28" t="s">
        <v>319</v>
      </c>
      <c r="P30" s="28" t="s">
        <v>319</v>
      </c>
      <c r="Q30" s="5" t="s">
        <v>682</v>
      </c>
      <c r="R30" s="5" t="s">
        <v>663</v>
      </c>
      <c r="S30" s="6" t="s">
        <v>669</v>
      </c>
      <c r="T30" s="5" t="s">
        <v>705</v>
      </c>
      <c r="U30" s="5" t="s">
        <v>706</v>
      </c>
      <c r="V30" s="5" t="s">
        <v>707</v>
      </c>
      <c r="W30" s="6" t="s">
        <v>665</v>
      </c>
      <c r="X30" s="105">
        <v>9.35</v>
      </c>
      <c r="Y30" s="105">
        <v>8.3800000000000008</v>
      </c>
      <c r="Z30" s="105">
        <v>8.07</v>
      </c>
      <c r="AA30" s="6" t="s">
        <v>971</v>
      </c>
      <c r="AB30" s="100">
        <f>2.38</f>
        <v>2.38</v>
      </c>
      <c r="AC30" s="100">
        <f>1.1</f>
        <v>1.1000000000000001</v>
      </c>
      <c r="AD30" s="100">
        <f>0.79</f>
        <v>0.79</v>
      </c>
      <c r="AE30" s="6" t="s">
        <v>1257</v>
      </c>
      <c r="AF30" s="6"/>
      <c r="AG30" s="12">
        <v>70</v>
      </c>
      <c r="AH30" s="6"/>
      <c r="AI30" s="6" t="s">
        <v>965</v>
      </c>
      <c r="AJ30" s="108"/>
      <c r="AK30" s="108">
        <v>0.59699999999999998</v>
      </c>
      <c r="AL30" s="6"/>
      <c r="AM30" s="6" t="s">
        <v>958</v>
      </c>
      <c r="AN30" s="6"/>
      <c r="AO30" s="105">
        <v>0.89</v>
      </c>
      <c r="AP30" s="6"/>
      <c r="AQ30" s="28" t="s">
        <v>319</v>
      </c>
      <c r="AR30" s="28" t="s">
        <v>319</v>
      </c>
      <c r="AS30" s="28" t="s">
        <v>319</v>
      </c>
      <c r="AT30" s="28" t="s">
        <v>319</v>
      </c>
      <c r="AU30" s="28" t="s">
        <v>319</v>
      </c>
      <c r="AV30" s="28" t="s">
        <v>319</v>
      </c>
      <c r="AW30" s="28" t="s">
        <v>319</v>
      </c>
      <c r="AX30" s="28" t="s">
        <v>319</v>
      </c>
      <c r="AY30" s="28" t="s">
        <v>319</v>
      </c>
      <c r="AZ30" s="28" t="s">
        <v>319</v>
      </c>
      <c r="BA30" s="28" t="s">
        <v>319</v>
      </c>
      <c r="BB30" s="6" t="s">
        <v>1248</v>
      </c>
      <c r="BC30" s="5" t="s">
        <v>1011</v>
      </c>
      <c r="BD30" s="212" t="s">
        <v>1459</v>
      </c>
      <c r="BE30" s="6" t="s">
        <v>1010</v>
      </c>
      <c r="BF30" s="181" t="s">
        <v>1437</v>
      </c>
      <c r="BG30" s="185">
        <v>17.600000000000001</v>
      </c>
      <c r="BH30" s="28" t="s">
        <v>319</v>
      </c>
      <c r="BI30" s="28" t="s">
        <v>319</v>
      </c>
      <c r="BJ30" s="28" t="s">
        <v>319</v>
      </c>
      <c r="BK30" s="28" t="s">
        <v>319</v>
      </c>
      <c r="BL30" s="28" t="s">
        <v>319</v>
      </c>
      <c r="BM30" s="28" t="s">
        <v>319</v>
      </c>
      <c r="BN30" s="28" t="s">
        <v>319</v>
      </c>
      <c r="BO30" s="28" t="s">
        <v>319</v>
      </c>
      <c r="BP30" s="28" t="s">
        <v>319</v>
      </c>
      <c r="BQ30" s="28" t="s">
        <v>319</v>
      </c>
      <c r="BR30" s="113" t="s">
        <v>1263</v>
      </c>
      <c r="BS30" s="12">
        <v>806.4</v>
      </c>
      <c r="BT30" s="6"/>
      <c r="BU30" s="5"/>
      <c r="BV30" s="6"/>
      <c r="BW30" s="5"/>
      <c r="BX30" s="6"/>
      <c r="BY30" s="6"/>
      <c r="BZ30" s="30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9"/>
      <c r="DB30" s="6"/>
      <c r="DC30" s="30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 t="s">
        <v>319</v>
      </c>
      <c r="DO30" s="28" t="s">
        <v>319</v>
      </c>
      <c r="DP30" s="28" t="s">
        <v>319</v>
      </c>
      <c r="DQ30" s="28" t="s">
        <v>319</v>
      </c>
      <c r="DR30" s="28" t="s">
        <v>319</v>
      </c>
      <c r="DS30" s="28" t="s">
        <v>319</v>
      </c>
      <c r="DT30" s="28" t="s">
        <v>319</v>
      </c>
      <c r="DU30" s="28" t="s">
        <v>319</v>
      </c>
      <c r="DV30" s="28" t="s">
        <v>319</v>
      </c>
      <c r="DW30" s="28" t="s">
        <v>319</v>
      </c>
      <c r="DX30" s="28" t="s">
        <v>319</v>
      </c>
      <c r="DY30" s="28" t="s">
        <v>319</v>
      </c>
      <c r="DZ30" s="28" t="s">
        <v>319</v>
      </c>
      <c r="EA30" s="28" t="s">
        <v>319</v>
      </c>
      <c r="EB30" s="28" t="s">
        <v>319</v>
      </c>
      <c r="EC30" s="28" t="s">
        <v>319</v>
      </c>
      <c r="ED30" s="28" t="s">
        <v>319</v>
      </c>
      <c r="EE30" s="28"/>
      <c r="EF30" s="28" t="s">
        <v>319</v>
      </c>
      <c r="EG30" s="28" t="s">
        <v>319</v>
      </c>
      <c r="EH30" s="28" t="s">
        <v>319</v>
      </c>
      <c r="EI30" s="28" t="s">
        <v>319</v>
      </c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7"/>
      <c r="FK30" s="6"/>
      <c r="FL30" s="6"/>
      <c r="FM30" s="94"/>
    </row>
    <row r="31" spans="1:169" s="22" customFormat="1" x14ac:dyDescent="0.4">
      <c r="A31" s="93"/>
      <c r="B31" s="93"/>
      <c r="C31" s="26"/>
      <c r="D31" s="27"/>
      <c r="E31" s="2" t="s">
        <v>1226</v>
      </c>
      <c r="F31" s="28"/>
      <c r="G31" s="28"/>
      <c r="H31" s="28"/>
      <c r="I31" s="6" t="s">
        <v>576</v>
      </c>
      <c r="J31" s="28"/>
      <c r="K31" s="28"/>
      <c r="L31" s="28"/>
      <c r="M31" s="28"/>
      <c r="N31" s="28"/>
      <c r="O31" s="28"/>
      <c r="P31" s="28"/>
      <c r="Q31" s="5" t="s">
        <v>1228</v>
      </c>
      <c r="R31" s="5" t="s">
        <v>1227</v>
      </c>
      <c r="S31" s="6" t="s">
        <v>664</v>
      </c>
      <c r="T31" s="107" t="s">
        <v>1256</v>
      </c>
      <c r="U31" s="221">
        <v>41178</v>
      </c>
      <c r="V31" s="211">
        <f>41178*1.1</f>
        <v>45295.8</v>
      </c>
      <c r="W31" s="6" t="s">
        <v>1229</v>
      </c>
      <c r="X31" s="105"/>
      <c r="Y31" s="105">
        <v>8</v>
      </c>
      <c r="Z31" s="105"/>
      <c r="AA31" s="6" t="s">
        <v>959</v>
      </c>
      <c r="AB31" s="6"/>
      <c r="AC31" s="225">
        <f>8-0.8-0.25-0.35</f>
        <v>6.6000000000000005</v>
      </c>
      <c r="AD31" s="6"/>
      <c r="AE31" s="6" t="s">
        <v>1258</v>
      </c>
      <c r="AF31" s="6" t="s">
        <v>1260</v>
      </c>
      <c r="AG31" s="12">
        <v>70</v>
      </c>
      <c r="AH31" s="6"/>
      <c r="AI31" s="6" t="s">
        <v>957</v>
      </c>
      <c r="AJ31" s="108">
        <v>0.40100000000000002</v>
      </c>
      <c r="AK31" s="108">
        <v>0.59699999999999998</v>
      </c>
      <c r="AL31" s="6"/>
      <c r="AM31" s="6" t="s">
        <v>1259</v>
      </c>
      <c r="AN31" s="6"/>
      <c r="AO31" s="105">
        <v>0.89</v>
      </c>
      <c r="AP31" s="6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6" t="s">
        <v>1261</v>
      </c>
      <c r="BC31" s="5"/>
      <c r="BD31" s="106">
        <v>100</v>
      </c>
      <c r="BE31" s="6" t="s">
        <v>1008</v>
      </c>
      <c r="BF31" s="6"/>
      <c r="BG31" s="12">
        <v>13.7</v>
      </c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113" t="s">
        <v>1262</v>
      </c>
      <c r="BS31" s="12">
        <v>806.4</v>
      </c>
      <c r="BT31" s="6"/>
      <c r="BU31" s="5"/>
      <c r="BV31" s="6"/>
      <c r="BW31" s="5"/>
      <c r="BX31" s="6"/>
      <c r="BY31" s="6"/>
      <c r="BZ31" s="30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9"/>
      <c r="DB31" s="6"/>
      <c r="DC31" s="30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7"/>
      <c r="FK31" s="6"/>
      <c r="FL31" s="6"/>
      <c r="FM31" s="94"/>
    </row>
    <row r="32" spans="1:169" s="3" customFormat="1" ht="34.799999999999997" x14ac:dyDescent="0.4">
      <c r="A32" s="93"/>
      <c r="B32" s="93"/>
      <c r="C32" s="26"/>
      <c r="D32" s="27" t="s">
        <v>319</v>
      </c>
      <c r="E32" s="2" t="s">
        <v>442</v>
      </c>
      <c r="F32" s="28" t="s">
        <v>319</v>
      </c>
      <c r="G32" s="28" t="s">
        <v>319</v>
      </c>
      <c r="H32" s="28" t="s">
        <v>319</v>
      </c>
      <c r="I32" s="6" t="s">
        <v>577</v>
      </c>
      <c r="J32" s="28" t="s">
        <v>319</v>
      </c>
      <c r="K32" s="28" t="s">
        <v>319</v>
      </c>
      <c r="L32" s="28" t="s">
        <v>319</v>
      </c>
      <c r="M32" s="28" t="s">
        <v>319</v>
      </c>
      <c r="N32" s="28" t="s">
        <v>319</v>
      </c>
      <c r="O32" s="28" t="s">
        <v>319</v>
      </c>
      <c r="P32" s="28" t="s">
        <v>319</v>
      </c>
      <c r="Q32" s="5" t="s">
        <v>693</v>
      </c>
      <c r="R32" s="5" t="s">
        <v>663</v>
      </c>
      <c r="S32" s="6" t="s">
        <v>669</v>
      </c>
      <c r="T32" s="5"/>
      <c r="U32" s="106">
        <v>8256</v>
      </c>
      <c r="V32" s="5" t="s">
        <v>708</v>
      </c>
      <c r="W32" s="6" t="s">
        <v>665</v>
      </c>
      <c r="X32" s="5"/>
      <c r="Y32" s="105">
        <v>2.2000000000000002</v>
      </c>
      <c r="Z32" s="105">
        <v>2.1</v>
      </c>
      <c r="AA32" s="6" t="s">
        <v>963</v>
      </c>
      <c r="AB32" s="6"/>
      <c r="AC32" s="6">
        <v>1.8200000000000003</v>
      </c>
      <c r="AD32" s="6">
        <v>1.7000000000000002</v>
      </c>
      <c r="AE32" s="6" t="s">
        <v>956</v>
      </c>
      <c r="AF32" s="6"/>
      <c r="AG32" s="12">
        <v>70</v>
      </c>
      <c r="AH32" s="6"/>
      <c r="AI32" s="6" t="s">
        <v>965</v>
      </c>
      <c r="AJ32" s="108"/>
      <c r="AK32" s="108">
        <v>0.752</v>
      </c>
      <c r="AL32" s="6"/>
      <c r="AM32" s="6" t="s">
        <v>958</v>
      </c>
      <c r="AN32" s="6"/>
      <c r="AO32" s="105">
        <v>0.89</v>
      </c>
      <c r="AP32" s="6"/>
      <c r="AQ32" s="28" t="s">
        <v>319</v>
      </c>
      <c r="AR32" s="28" t="s">
        <v>319</v>
      </c>
      <c r="AS32" s="28" t="s">
        <v>319</v>
      </c>
      <c r="AT32" s="28" t="s">
        <v>319</v>
      </c>
      <c r="AU32" s="28" t="s">
        <v>319</v>
      </c>
      <c r="AV32" s="28" t="s">
        <v>319</v>
      </c>
      <c r="AW32" s="28" t="s">
        <v>319</v>
      </c>
      <c r="AX32" s="28" t="s">
        <v>319</v>
      </c>
      <c r="AY32" s="28" t="s">
        <v>319</v>
      </c>
      <c r="AZ32" s="28" t="s">
        <v>319</v>
      </c>
      <c r="BA32" s="28" t="s">
        <v>319</v>
      </c>
      <c r="BB32" s="6" t="s">
        <v>984</v>
      </c>
      <c r="BC32" s="5" t="s">
        <v>1011</v>
      </c>
      <c r="BD32" s="183" t="s">
        <v>1451</v>
      </c>
      <c r="BE32" s="6" t="s">
        <v>1010</v>
      </c>
      <c r="BF32" s="181" t="s">
        <v>1437</v>
      </c>
      <c r="BG32" s="12">
        <v>8.5</v>
      </c>
      <c r="BH32" s="28" t="s">
        <v>319</v>
      </c>
      <c r="BI32" s="28" t="s">
        <v>319</v>
      </c>
      <c r="BJ32" s="28" t="s">
        <v>319</v>
      </c>
      <c r="BK32" s="28" t="s">
        <v>319</v>
      </c>
      <c r="BL32" s="28" t="s">
        <v>319</v>
      </c>
      <c r="BM32" s="28" t="s">
        <v>319</v>
      </c>
      <c r="BN32" s="28" t="s">
        <v>319</v>
      </c>
      <c r="BO32" s="28" t="s">
        <v>319</v>
      </c>
      <c r="BP32" s="28" t="s">
        <v>319</v>
      </c>
      <c r="BQ32" s="28" t="s">
        <v>319</v>
      </c>
      <c r="BR32" s="113" t="s">
        <v>1364</v>
      </c>
      <c r="BS32" s="12">
        <v>1009</v>
      </c>
      <c r="BT32" s="6"/>
      <c r="BU32" s="5"/>
      <c r="BV32" s="6"/>
      <c r="BW32" s="5"/>
      <c r="BX32" s="6"/>
      <c r="BY32" s="6"/>
      <c r="BZ32" s="30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9"/>
      <c r="DB32" s="6"/>
      <c r="DC32" s="30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 t="s">
        <v>319</v>
      </c>
      <c r="DO32" s="28" t="s">
        <v>319</v>
      </c>
      <c r="DP32" s="28" t="s">
        <v>319</v>
      </c>
      <c r="DQ32" s="28" t="s">
        <v>319</v>
      </c>
      <c r="DR32" s="28" t="s">
        <v>319</v>
      </c>
      <c r="DS32" s="28" t="s">
        <v>319</v>
      </c>
      <c r="DT32" s="28" t="s">
        <v>319</v>
      </c>
      <c r="DU32" s="28" t="s">
        <v>319</v>
      </c>
      <c r="DV32" s="28" t="s">
        <v>319</v>
      </c>
      <c r="DW32" s="28" t="s">
        <v>319</v>
      </c>
      <c r="DX32" s="28" t="s">
        <v>319</v>
      </c>
      <c r="DY32" s="28" t="s">
        <v>319</v>
      </c>
      <c r="DZ32" s="28" t="s">
        <v>319</v>
      </c>
      <c r="EA32" s="28" t="s">
        <v>319</v>
      </c>
      <c r="EB32" s="28" t="s">
        <v>319</v>
      </c>
      <c r="EC32" s="28" t="s">
        <v>319</v>
      </c>
      <c r="ED32" s="28" t="s">
        <v>319</v>
      </c>
      <c r="EE32" s="28"/>
      <c r="EF32" s="28" t="s">
        <v>319</v>
      </c>
      <c r="EG32" s="28" t="s">
        <v>319</v>
      </c>
      <c r="EH32" s="28" t="s">
        <v>319</v>
      </c>
      <c r="EI32" s="28" t="s">
        <v>319</v>
      </c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7"/>
      <c r="FK32" s="15" t="s">
        <v>1058</v>
      </c>
      <c r="FL32" s="6"/>
      <c r="FM32" s="94"/>
    </row>
    <row r="33" spans="1:169" s="3" customFormat="1" ht="34.799999999999997" x14ac:dyDescent="0.4">
      <c r="A33" s="93"/>
      <c r="B33" s="93"/>
      <c r="C33" s="26"/>
      <c r="D33" s="27" t="s">
        <v>319</v>
      </c>
      <c r="E33" s="2" t="s">
        <v>488</v>
      </c>
      <c r="F33" s="28" t="s">
        <v>319</v>
      </c>
      <c r="G33" s="28" t="s">
        <v>319</v>
      </c>
      <c r="H33" s="28" t="s">
        <v>319</v>
      </c>
      <c r="I33" s="6" t="s">
        <v>576</v>
      </c>
      <c r="J33" s="28" t="s">
        <v>319</v>
      </c>
      <c r="K33" s="28" t="s">
        <v>319</v>
      </c>
      <c r="L33" s="28" t="s">
        <v>319</v>
      </c>
      <c r="M33" s="28" t="s">
        <v>319</v>
      </c>
      <c r="N33" s="28" t="s">
        <v>319</v>
      </c>
      <c r="O33" s="28" t="s">
        <v>319</v>
      </c>
      <c r="P33" s="28" t="s">
        <v>319</v>
      </c>
      <c r="Q33" s="5" t="s">
        <v>709</v>
      </c>
      <c r="R33" s="5" t="s">
        <v>667</v>
      </c>
      <c r="S33" s="6" t="s">
        <v>669</v>
      </c>
      <c r="T33" s="5"/>
      <c r="U33" s="5"/>
      <c r="V33" s="5" t="s">
        <v>710</v>
      </c>
      <c r="W33" s="6" t="s">
        <v>665</v>
      </c>
      <c r="X33" s="5"/>
      <c r="Y33" s="5"/>
      <c r="Z33" s="105">
        <v>0.35</v>
      </c>
      <c r="AA33" s="6" t="s">
        <v>972</v>
      </c>
      <c r="AB33" s="6"/>
      <c r="AC33" s="6"/>
      <c r="AD33" s="6">
        <v>4.9999999999999989E-2</v>
      </c>
      <c r="AE33" s="6" t="s">
        <v>956</v>
      </c>
      <c r="AF33" s="6"/>
      <c r="AG33" s="12">
        <v>70</v>
      </c>
      <c r="AH33" s="6"/>
      <c r="AI33" s="6" t="s">
        <v>965</v>
      </c>
      <c r="AJ33" s="108"/>
      <c r="AK33" s="112">
        <v>1.2E-2</v>
      </c>
      <c r="AL33" s="6"/>
      <c r="AM33" s="6" t="s">
        <v>958</v>
      </c>
      <c r="AN33" s="6"/>
      <c r="AO33" s="107" t="s">
        <v>1364</v>
      </c>
      <c r="AP33" s="6"/>
      <c r="AQ33" s="28" t="s">
        <v>319</v>
      </c>
      <c r="AR33" s="28" t="s">
        <v>319</v>
      </c>
      <c r="AS33" s="28" t="s">
        <v>319</v>
      </c>
      <c r="AT33" s="28" t="s">
        <v>319</v>
      </c>
      <c r="AU33" s="28" t="s">
        <v>319</v>
      </c>
      <c r="AV33" s="28" t="s">
        <v>319</v>
      </c>
      <c r="AW33" s="28" t="s">
        <v>319</v>
      </c>
      <c r="AX33" s="28" t="s">
        <v>319</v>
      </c>
      <c r="AY33" s="28" t="s">
        <v>319</v>
      </c>
      <c r="AZ33" s="28" t="s">
        <v>319</v>
      </c>
      <c r="BA33" s="28" t="s">
        <v>319</v>
      </c>
      <c r="BB33" s="6" t="s">
        <v>984</v>
      </c>
      <c r="BC33" s="5" t="s">
        <v>1012</v>
      </c>
      <c r="BD33" s="183" t="s">
        <v>1451</v>
      </c>
      <c r="BE33" s="6" t="s">
        <v>1010</v>
      </c>
      <c r="BF33" s="181" t="s">
        <v>1437</v>
      </c>
      <c r="BG33" s="12">
        <v>8.5</v>
      </c>
      <c r="BH33" s="28" t="s">
        <v>319</v>
      </c>
      <c r="BI33" s="28" t="s">
        <v>319</v>
      </c>
      <c r="BJ33" s="28" t="s">
        <v>319</v>
      </c>
      <c r="BK33" s="28" t="s">
        <v>319</v>
      </c>
      <c r="BL33" s="28" t="s">
        <v>319</v>
      </c>
      <c r="BM33" s="28" t="s">
        <v>319</v>
      </c>
      <c r="BN33" s="28" t="s">
        <v>319</v>
      </c>
      <c r="BO33" s="28" t="s">
        <v>319</v>
      </c>
      <c r="BP33" s="28" t="s">
        <v>319</v>
      </c>
      <c r="BQ33" s="28" t="s">
        <v>319</v>
      </c>
      <c r="BR33" s="5"/>
      <c r="BS33" s="105"/>
      <c r="BT33" s="6"/>
      <c r="BU33" s="5">
        <v>28.05</v>
      </c>
      <c r="BV33" s="6" t="s">
        <v>1217</v>
      </c>
      <c r="BW33" s="105">
        <v>1.41</v>
      </c>
      <c r="BX33" s="6"/>
      <c r="BY33" s="6"/>
      <c r="BZ33" s="30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9"/>
      <c r="DB33" s="6"/>
      <c r="DC33" s="30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 t="s">
        <v>319</v>
      </c>
      <c r="DO33" s="28" t="s">
        <v>319</v>
      </c>
      <c r="DP33" s="28" t="s">
        <v>319</v>
      </c>
      <c r="DQ33" s="28" t="s">
        <v>319</v>
      </c>
      <c r="DR33" s="28" t="s">
        <v>319</v>
      </c>
      <c r="DS33" s="28" t="s">
        <v>319</v>
      </c>
      <c r="DT33" s="28" t="s">
        <v>319</v>
      </c>
      <c r="DU33" s="28" t="s">
        <v>319</v>
      </c>
      <c r="DV33" s="28" t="s">
        <v>319</v>
      </c>
      <c r="DW33" s="28" t="s">
        <v>319</v>
      </c>
      <c r="DX33" s="28" t="s">
        <v>319</v>
      </c>
      <c r="DY33" s="28" t="s">
        <v>319</v>
      </c>
      <c r="DZ33" s="28" t="s">
        <v>319</v>
      </c>
      <c r="EA33" s="28" t="s">
        <v>319</v>
      </c>
      <c r="EB33" s="28" t="s">
        <v>319</v>
      </c>
      <c r="EC33" s="28" t="s">
        <v>319</v>
      </c>
      <c r="ED33" s="28" t="s">
        <v>319</v>
      </c>
      <c r="EE33" s="28"/>
      <c r="EF33" s="28" t="s">
        <v>319</v>
      </c>
      <c r="EG33" s="28" t="s">
        <v>319</v>
      </c>
      <c r="EH33" s="28" t="s">
        <v>319</v>
      </c>
      <c r="EI33" s="28" t="s">
        <v>319</v>
      </c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7"/>
      <c r="FK33" s="15" t="s">
        <v>1058</v>
      </c>
      <c r="FL33" s="6"/>
      <c r="FM33" s="94"/>
    </row>
    <row r="34" spans="1:169" s="3" customFormat="1" ht="34.799999999999997" x14ac:dyDescent="0.4">
      <c r="A34" s="93"/>
      <c r="B34" s="93"/>
      <c r="C34" s="26"/>
      <c r="D34" s="27" t="s">
        <v>319</v>
      </c>
      <c r="E34" s="2" t="s">
        <v>489</v>
      </c>
      <c r="F34" s="28" t="s">
        <v>319</v>
      </c>
      <c r="G34" s="28" t="s">
        <v>319</v>
      </c>
      <c r="H34" s="28" t="s">
        <v>319</v>
      </c>
      <c r="I34" s="6" t="s">
        <v>578</v>
      </c>
      <c r="J34" s="28" t="s">
        <v>319</v>
      </c>
      <c r="K34" s="28" t="s">
        <v>319</v>
      </c>
      <c r="L34" s="28" t="s">
        <v>319</v>
      </c>
      <c r="M34" s="28" t="s">
        <v>319</v>
      </c>
      <c r="N34" s="28" t="s">
        <v>319</v>
      </c>
      <c r="O34" s="28" t="s">
        <v>319</v>
      </c>
      <c r="P34" s="28" t="s">
        <v>319</v>
      </c>
      <c r="Q34" s="5" t="s">
        <v>677</v>
      </c>
      <c r="R34" s="5" t="s">
        <v>667</v>
      </c>
      <c r="S34" s="6" t="s">
        <v>678</v>
      </c>
      <c r="T34" s="5"/>
      <c r="U34" s="5"/>
      <c r="V34" s="5" t="s">
        <v>710</v>
      </c>
      <c r="W34" s="6" t="s">
        <v>665</v>
      </c>
      <c r="X34" s="5"/>
      <c r="Y34" s="5"/>
      <c r="Z34" s="105">
        <v>7</v>
      </c>
      <c r="AA34" s="6" t="s">
        <v>963</v>
      </c>
      <c r="AB34" s="6"/>
      <c r="AC34" s="6"/>
      <c r="AD34" s="6">
        <v>6.65</v>
      </c>
      <c r="AE34" s="6" t="s">
        <v>956</v>
      </c>
      <c r="AF34" s="6"/>
      <c r="AG34" s="5" t="s">
        <v>970</v>
      </c>
      <c r="AH34" s="6"/>
      <c r="AI34" s="6" t="s">
        <v>976</v>
      </c>
      <c r="AJ34" s="108"/>
      <c r="AK34" s="112">
        <v>1.7999999999999999E-2</v>
      </c>
      <c r="AL34" s="6"/>
      <c r="AM34" s="6"/>
      <c r="AN34" s="6"/>
      <c r="AO34" s="5"/>
      <c r="AP34" s="6"/>
      <c r="AQ34" s="28" t="s">
        <v>319</v>
      </c>
      <c r="AR34" s="28" t="s">
        <v>319</v>
      </c>
      <c r="AS34" s="28" t="s">
        <v>319</v>
      </c>
      <c r="AT34" s="28" t="s">
        <v>319</v>
      </c>
      <c r="AU34" s="28" t="s">
        <v>319</v>
      </c>
      <c r="AV34" s="28" t="s">
        <v>319</v>
      </c>
      <c r="AW34" s="28" t="s">
        <v>319</v>
      </c>
      <c r="AX34" s="28" t="s">
        <v>319</v>
      </c>
      <c r="AY34" s="28" t="s">
        <v>319</v>
      </c>
      <c r="AZ34" s="28" t="s">
        <v>319</v>
      </c>
      <c r="BA34" s="28" t="s">
        <v>319</v>
      </c>
      <c r="BB34" s="6" t="s">
        <v>984</v>
      </c>
      <c r="BC34" s="106">
        <v>-15</v>
      </c>
      <c r="BD34" s="106">
        <v>60</v>
      </c>
      <c r="BE34" s="6" t="s">
        <v>1010</v>
      </c>
      <c r="BF34" s="6"/>
      <c r="BG34" s="12">
        <v>12</v>
      </c>
      <c r="BH34" s="28" t="s">
        <v>319</v>
      </c>
      <c r="BI34" s="28" t="s">
        <v>319</v>
      </c>
      <c r="BJ34" s="28" t="s">
        <v>319</v>
      </c>
      <c r="BK34" s="28" t="s">
        <v>319</v>
      </c>
      <c r="BL34" s="28" t="s">
        <v>319</v>
      </c>
      <c r="BM34" s="28" t="s">
        <v>319</v>
      </c>
      <c r="BN34" s="28" t="s">
        <v>319</v>
      </c>
      <c r="BO34" s="28" t="s">
        <v>319</v>
      </c>
      <c r="BP34" s="28" t="s">
        <v>319</v>
      </c>
      <c r="BQ34" s="28" t="s">
        <v>319</v>
      </c>
      <c r="BR34" s="5"/>
      <c r="BS34" s="5"/>
      <c r="BT34" s="6"/>
      <c r="BU34" s="5">
        <v>28.05</v>
      </c>
      <c r="BV34" s="6" t="s">
        <v>1217</v>
      </c>
      <c r="BW34" s="105">
        <v>1.41</v>
      </c>
      <c r="BX34" s="6"/>
      <c r="BY34" s="6"/>
      <c r="BZ34" s="30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9"/>
      <c r="DB34" s="6"/>
      <c r="DC34" s="30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 t="s">
        <v>319</v>
      </c>
      <c r="DO34" s="28" t="s">
        <v>319</v>
      </c>
      <c r="DP34" s="28" t="s">
        <v>319</v>
      </c>
      <c r="DQ34" s="28" t="s">
        <v>319</v>
      </c>
      <c r="DR34" s="28" t="s">
        <v>319</v>
      </c>
      <c r="DS34" s="28" t="s">
        <v>319</v>
      </c>
      <c r="DT34" s="28" t="s">
        <v>319</v>
      </c>
      <c r="DU34" s="28" t="s">
        <v>319</v>
      </c>
      <c r="DV34" s="28" t="s">
        <v>319</v>
      </c>
      <c r="DW34" s="28" t="s">
        <v>319</v>
      </c>
      <c r="DX34" s="28" t="s">
        <v>319</v>
      </c>
      <c r="DY34" s="28" t="s">
        <v>319</v>
      </c>
      <c r="DZ34" s="28" t="s">
        <v>319</v>
      </c>
      <c r="EA34" s="28" t="s">
        <v>319</v>
      </c>
      <c r="EB34" s="28" t="s">
        <v>319</v>
      </c>
      <c r="EC34" s="28" t="s">
        <v>319</v>
      </c>
      <c r="ED34" s="28" t="s">
        <v>319</v>
      </c>
      <c r="EE34" s="28"/>
      <c r="EF34" s="28" t="s">
        <v>319</v>
      </c>
      <c r="EG34" s="28" t="s">
        <v>319</v>
      </c>
      <c r="EH34" s="28" t="s">
        <v>319</v>
      </c>
      <c r="EI34" s="28" t="s">
        <v>319</v>
      </c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7"/>
      <c r="FK34" s="15" t="s">
        <v>1057</v>
      </c>
      <c r="FL34" s="6"/>
      <c r="FM34" s="94"/>
    </row>
    <row r="35" spans="1:169" s="3" customFormat="1" ht="34.799999999999997" x14ac:dyDescent="0.4">
      <c r="A35" s="93"/>
      <c r="B35" s="93"/>
      <c r="C35" s="26"/>
      <c r="D35" s="27" t="s">
        <v>319</v>
      </c>
      <c r="E35" s="2" t="s">
        <v>443</v>
      </c>
      <c r="F35" s="28" t="s">
        <v>319</v>
      </c>
      <c r="G35" s="28" t="s">
        <v>319</v>
      </c>
      <c r="H35" s="28" t="s">
        <v>319</v>
      </c>
      <c r="I35" s="6" t="s">
        <v>579</v>
      </c>
      <c r="J35" s="28" t="s">
        <v>319</v>
      </c>
      <c r="K35" s="28" t="s">
        <v>319</v>
      </c>
      <c r="L35" s="28" t="s">
        <v>319</v>
      </c>
      <c r="M35" s="28" t="s">
        <v>319</v>
      </c>
      <c r="N35" s="28" t="s">
        <v>319</v>
      </c>
      <c r="O35" s="28" t="s">
        <v>319</v>
      </c>
      <c r="P35" s="28" t="s">
        <v>319</v>
      </c>
      <c r="Q35" s="5" t="s">
        <v>711</v>
      </c>
      <c r="R35" s="5" t="s">
        <v>663</v>
      </c>
      <c r="S35" s="6" t="s">
        <v>669</v>
      </c>
      <c r="T35" s="5"/>
      <c r="U35" s="106">
        <v>188</v>
      </c>
      <c r="V35" s="106">
        <v>207</v>
      </c>
      <c r="W35" s="6" t="s">
        <v>665</v>
      </c>
      <c r="X35" s="5"/>
      <c r="Y35" s="105">
        <v>7.75</v>
      </c>
      <c r="Z35" s="105">
        <v>7.7</v>
      </c>
      <c r="AA35" s="6" t="s">
        <v>968</v>
      </c>
      <c r="AB35" s="6"/>
      <c r="AC35" s="6">
        <v>7.34</v>
      </c>
      <c r="AD35" s="6">
        <v>7.3</v>
      </c>
      <c r="AE35" s="6" t="s">
        <v>956</v>
      </c>
      <c r="AF35" s="6"/>
      <c r="AG35" s="12">
        <v>55</v>
      </c>
      <c r="AH35" s="6"/>
      <c r="AI35" s="6" t="s">
        <v>965</v>
      </c>
      <c r="AJ35" s="108"/>
      <c r="AK35" s="108">
        <v>0.59699999999999998</v>
      </c>
      <c r="AL35" s="6"/>
      <c r="AM35" s="6" t="s">
        <v>958</v>
      </c>
      <c r="AN35" s="6"/>
      <c r="AO35" s="105">
        <v>0.89</v>
      </c>
      <c r="AP35" s="6"/>
      <c r="AQ35" s="28" t="s">
        <v>319</v>
      </c>
      <c r="AR35" s="28" t="s">
        <v>319</v>
      </c>
      <c r="AS35" s="28" t="s">
        <v>319</v>
      </c>
      <c r="AT35" s="28" t="s">
        <v>319</v>
      </c>
      <c r="AU35" s="28" t="s">
        <v>319</v>
      </c>
      <c r="AV35" s="28" t="s">
        <v>319</v>
      </c>
      <c r="AW35" s="28" t="s">
        <v>319</v>
      </c>
      <c r="AX35" s="28" t="s">
        <v>319</v>
      </c>
      <c r="AY35" s="28" t="s">
        <v>319</v>
      </c>
      <c r="AZ35" s="28" t="s">
        <v>319</v>
      </c>
      <c r="BA35" s="28" t="s">
        <v>319</v>
      </c>
      <c r="BB35" s="6" t="s">
        <v>984</v>
      </c>
      <c r="BC35" s="5" t="s">
        <v>1011</v>
      </c>
      <c r="BD35" s="183" t="s">
        <v>1451</v>
      </c>
      <c r="BE35" s="6" t="s">
        <v>1010</v>
      </c>
      <c r="BF35" s="181" t="s">
        <v>1437</v>
      </c>
      <c r="BG35" s="12">
        <v>8.5</v>
      </c>
      <c r="BH35" s="28" t="s">
        <v>319</v>
      </c>
      <c r="BI35" s="28" t="s">
        <v>319</v>
      </c>
      <c r="BJ35" s="28" t="s">
        <v>319</v>
      </c>
      <c r="BK35" s="28" t="s">
        <v>319</v>
      </c>
      <c r="BL35" s="28" t="s">
        <v>319</v>
      </c>
      <c r="BM35" s="28" t="s">
        <v>319</v>
      </c>
      <c r="BN35" s="28" t="s">
        <v>319</v>
      </c>
      <c r="BO35" s="28" t="s">
        <v>319</v>
      </c>
      <c r="BP35" s="28" t="s">
        <v>319</v>
      </c>
      <c r="BQ35" s="28" t="s">
        <v>319</v>
      </c>
      <c r="BR35" s="113" t="s">
        <v>1364</v>
      </c>
      <c r="BS35" s="12">
        <v>992.3</v>
      </c>
      <c r="BT35" s="6"/>
      <c r="BU35" s="5"/>
      <c r="BV35" s="6"/>
      <c r="BW35" s="5"/>
      <c r="BX35" s="6"/>
      <c r="BY35" s="6"/>
      <c r="BZ35" s="30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9"/>
      <c r="DB35" s="6"/>
      <c r="DC35" s="30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 t="s">
        <v>319</v>
      </c>
      <c r="DO35" s="28" t="s">
        <v>319</v>
      </c>
      <c r="DP35" s="28" t="s">
        <v>319</v>
      </c>
      <c r="DQ35" s="28" t="s">
        <v>319</v>
      </c>
      <c r="DR35" s="28" t="s">
        <v>319</v>
      </c>
      <c r="DS35" s="28" t="s">
        <v>319</v>
      </c>
      <c r="DT35" s="28" t="s">
        <v>319</v>
      </c>
      <c r="DU35" s="28" t="s">
        <v>319</v>
      </c>
      <c r="DV35" s="28" t="s">
        <v>319</v>
      </c>
      <c r="DW35" s="28" t="s">
        <v>319</v>
      </c>
      <c r="DX35" s="28" t="s">
        <v>319</v>
      </c>
      <c r="DY35" s="28" t="s">
        <v>319</v>
      </c>
      <c r="DZ35" s="28" t="s">
        <v>319</v>
      </c>
      <c r="EA35" s="28" t="s">
        <v>319</v>
      </c>
      <c r="EB35" s="28" t="s">
        <v>319</v>
      </c>
      <c r="EC35" s="28" t="s">
        <v>319</v>
      </c>
      <c r="ED35" s="28" t="s">
        <v>319</v>
      </c>
      <c r="EE35" s="28"/>
      <c r="EF35" s="28" t="s">
        <v>319</v>
      </c>
      <c r="EG35" s="28" t="s">
        <v>319</v>
      </c>
      <c r="EH35" s="28" t="s">
        <v>319</v>
      </c>
      <c r="EI35" s="28" t="s">
        <v>319</v>
      </c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7"/>
      <c r="FK35" s="15" t="s">
        <v>1058</v>
      </c>
      <c r="FL35" s="6"/>
      <c r="FM35" s="94"/>
    </row>
    <row r="36" spans="1:169" s="3" customFormat="1" ht="34.799999999999997" x14ac:dyDescent="0.4">
      <c r="A36" s="93"/>
      <c r="B36" s="93"/>
      <c r="C36" s="26"/>
      <c r="D36" s="27" t="s">
        <v>319</v>
      </c>
      <c r="E36" s="2" t="s">
        <v>1370</v>
      </c>
      <c r="F36" s="28" t="s">
        <v>319</v>
      </c>
      <c r="G36" s="28" t="s">
        <v>319</v>
      </c>
      <c r="H36" s="28" t="s">
        <v>319</v>
      </c>
      <c r="I36" s="6" t="s">
        <v>579</v>
      </c>
      <c r="J36" s="28" t="s">
        <v>319</v>
      </c>
      <c r="K36" s="28" t="s">
        <v>319</v>
      </c>
      <c r="L36" s="28" t="s">
        <v>319</v>
      </c>
      <c r="M36" s="28" t="s">
        <v>319</v>
      </c>
      <c r="N36" s="28" t="s">
        <v>319</v>
      </c>
      <c r="O36" s="28" t="s">
        <v>319</v>
      </c>
      <c r="P36" s="28" t="s">
        <v>319</v>
      </c>
      <c r="Q36" s="5" t="s">
        <v>712</v>
      </c>
      <c r="R36" s="223" t="s">
        <v>1462</v>
      </c>
      <c r="S36" s="6" t="s">
        <v>669</v>
      </c>
      <c r="T36" s="5"/>
      <c r="U36" s="5">
        <v>3663</v>
      </c>
      <c r="V36" s="5"/>
      <c r="W36" s="6" t="s">
        <v>665</v>
      </c>
      <c r="X36" s="114"/>
      <c r="Y36" s="222">
        <f>Y30-AC30-0.3</f>
        <v>6.9800000000000013</v>
      </c>
      <c r="Z36" s="109"/>
      <c r="AA36" s="6" t="s">
        <v>982</v>
      </c>
      <c r="AB36" s="109" t="s">
        <v>983</v>
      </c>
      <c r="AC36" s="222">
        <f>Y36-0.7-2</f>
        <v>4.2800000000000011</v>
      </c>
      <c r="AD36" s="109" t="s">
        <v>1252</v>
      </c>
      <c r="AE36" s="6" t="s">
        <v>984</v>
      </c>
      <c r="AF36" s="6"/>
      <c r="AG36" s="12">
        <v>55</v>
      </c>
      <c r="AH36" s="6"/>
      <c r="AI36" s="6" t="s">
        <v>965</v>
      </c>
      <c r="AJ36" s="108"/>
      <c r="AK36" s="108">
        <v>1.9099999999999999E-2</v>
      </c>
      <c r="AL36" s="6"/>
      <c r="AM36" s="6" t="s">
        <v>958</v>
      </c>
      <c r="AN36" s="6"/>
      <c r="AO36" s="109" t="s">
        <v>680</v>
      </c>
      <c r="AP36" s="6"/>
      <c r="AQ36" s="28" t="s">
        <v>319</v>
      </c>
      <c r="AR36" s="28" t="s">
        <v>319</v>
      </c>
      <c r="AS36" s="28" t="s">
        <v>319</v>
      </c>
      <c r="AT36" s="28" t="s">
        <v>319</v>
      </c>
      <c r="AU36" s="28" t="s">
        <v>319</v>
      </c>
      <c r="AV36" s="28" t="s">
        <v>319</v>
      </c>
      <c r="AW36" s="28" t="s">
        <v>319</v>
      </c>
      <c r="AX36" s="28" t="s">
        <v>319</v>
      </c>
      <c r="AY36" s="28" t="s">
        <v>319</v>
      </c>
      <c r="AZ36" s="28" t="s">
        <v>319</v>
      </c>
      <c r="BA36" s="28" t="s">
        <v>319</v>
      </c>
      <c r="BB36" s="6" t="s">
        <v>984</v>
      </c>
      <c r="BC36" s="5"/>
      <c r="BD36" s="106" t="s">
        <v>1460</v>
      </c>
      <c r="BE36" s="6" t="s">
        <v>1010</v>
      </c>
      <c r="BF36" s="6" t="s">
        <v>1265</v>
      </c>
      <c r="BG36" s="12">
        <v>8.5</v>
      </c>
      <c r="BH36" s="28" t="s">
        <v>319</v>
      </c>
      <c r="BI36" s="28" t="s">
        <v>319</v>
      </c>
      <c r="BJ36" s="28" t="s">
        <v>319</v>
      </c>
      <c r="BK36" s="28" t="s">
        <v>319</v>
      </c>
      <c r="BL36" s="28" t="s">
        <v>319</v>
      </c>
      <c r="BM36" s="28" t="s">
        <v>319</v>
      </c>
      <c r="BN36" s="28" t="s">
        <v>319</v>
      </c>
      <c r="BO36" s="28" t="s">
        <v>319</v>
      </c>
      <c r="BP36" s="28" t="s">
        <v>319</v>
      </c>
      <c r="BQ36" s="28" t="s">
        <v>319</v>
      </c>
      <c r="BR36" s="113" t="s">
        <v>1263</v>
      </c>
      <c r="BS36" s="115" t="s">
        <v>1264</v>
      </c>
      <c r="BT36" s="6"/>
      <c r="BU36" s="5">
        <v>28.05</v>
      </c>
      <c r="BV36" s="6" t="s">
        <v>1045</v>
      </c>
      <c r="BW36" s="5">
        <v>1.04</v>
      </c>
      <c r="BX36" s="6"/>
      <c r="BY36" s="6"/>
      <c r="BZ36" s="30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9"/>
      <c r="DB36" s="6"/>
      <c r="DC36" s="30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 t="s">
        <v>319</v>
      </c>
      <c r="DO36" s="28" t="s">
        <v>319</v>
      </c>
      <c r="DP36" s="28" t="s">
        <v>319</v>
      </c>
      <c r="DQ36" s="28" t="s">
        <v>319</v>
      </c>
      <c r="DR36" s="28" t="s">
        <v>319</v>
      </c>
      <c r="DS36" s="28" t="s">
        <v>319</v>
      </c>
      <c r="DT36" s="28" t="s">
        <v>319</v>
      </c>
      <c r="DU36" s="28" t="s">
        <v>319</v>
      </c>
      <c r="DV36" s="28" t="s">
        <v>319</v>
      </c>
      <c r="DW36" s="28" t="s">
        <v>319</v>
      </c>
      <c r="DX36" s="28" t="s">
        <v>319</v>
      </c>
      <c r="DY36" s="28" t="s">
        <v>319</v>
      </c>
      <c r="DZ36" s="28" t="s">
        <v>319</v>
      </c>
      <c r="EA36" s="28" t="s">
        <v>319</v>
      </c>
      <c r="EB36" s="28" t="s">
        <v>319</v>
      </c>
      <c r="EC36" s="28" t="s">
        <v>319</v>
      </c>
      <c r="ED36" s="28" t="s">
        <v>319</v>
      </c>
      <c r="EE36" s="28"/>
      <c r="EF36" s="28" t="s">
        <v>319</v>
      </c>
      <c r="EG36" s="28" t="s">
        <v>319</v>
      </c>
      <c r="EH36" s="28" t="s">
        <v>319</v>
      </c>
      <c r="EI36" s="28" t="s">
        <v>319</v>
      </c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7"/>
      <c r="FK36" s="15" t="s">
        <v>1057</v>
      </c>
      <c r="FL36" s="6"/>
      <c r="FM36" s="94"/>
    </row>
    <row r="37" spans="1:169" s="43" customFormat="1" ht="34.799999999999997" x14ac:dyDescent="0.4">
      <c r="A37" s="116"/>
      <c r="B37" s="116"/>
      <c r="C37" s="117"/>
      <c r="D37" s="118" t="s">
        <v>319</v>
      </c>
      <c r="E37" s="119" t="s">
        <v>331</v>
      </c>
      <c r="F37" s="28" t="s">
        <v>319</v>
      </c>
      <c r="G37" s="28" t="s">
        <v>319</v>
      </c>
      <c r="H37" s="28" t="s">
        <v>319</v>
      </c>
      <c r="I37" s="120" t="s">
        <v>580</v>
      </c>
      <c r="J37" s="28" t="s">
        <v>319</v>
      </c>
      <c r="K37" s="28" t="s">
        <v>319</v>
      </c>
      <c r="L37" s="28" t="s">
        <v>319</v>
      </c>
      <c r="M37" s="28" t="s">
        <v>319</v>
      </c>
      <c r="N37" s="28" t="s">
        <v>319</v>
      </c>
      <c r="O37" s="28" t="s">
        <v>319</v>
      </c>
      <c r="P37" s="28" t="s">
        <v>319</v>
      </c>
      <c r="Q37" s="121" t="s">
        <v>693</v>
      </c>
      <c r="R37" s="121" t="s">
        <v>663</v>
      </c>
      <c r="S37" s="120" t="s">
        <v>678</v>
      </c>
      <c r="T37" s="121"/>
      <c r="U37" s="121"/>
      <c r="V37" s="121" t="s">
        <v>714</v>
      </c>
      <c r="W37" s="120" t="s">
        <v>665</v>
      </c>
      <c r="X37" s="121"/>
      <c r="Y37" s="121"/>
      <c r="Z37" s="122">
        <v>11.16</v>
      </c>
      <c r="AA37" s="120" t="s">
        <v>972</v>
      </c>
      <c r="AB37" s="120"/>
      <c r="AC37" s="120"/>
      <c r="AD37" s="120">
        <v>10.6</v>
      </c>
      <c r="AE37" s="120" t="s">
        <v>956</v>
      </c>
      <c r="AF37" s="120"/>
      <c r="AG37" s="123">
        <v>55</v>
      </c>
      <c r="AH37" s="120"/>
      <c r="AI37" s="120" t="s">
        <v>965</v>
      </c>
      <c r="AJ37" s="124"/>
      <c r="AK37" s="124">
        <v>0.752</v>
      </c>
      <c r="AL37" s="120"/>
      <c r="AM37" s="120" t="s">
        <v>958</v>
      </c>
      <c r="AN37" s="120"/>
      <c r="AO37" s="122">
        <v>0.09</v>
      </c>
      <c r="AP37" s="6"/>
      <c r="AQ37" s="28" t="s">
        <v>319</v>
      </c>
      <c r="AR37" s="28" t="s">
        <v>319</v>
      </c>
      <c r="AS37" s="28" t="s">
        <v>319</v>
      </c>
      <c r="AT37" s="28" t="s">
        <v>319</v>
      </c>
      <c r="AU37" s="28" t="s">
        <v>319</v>
      </c>
      <c r="AV37" s="28" t="s">
        <v>319</v>
      </c>
      <c r="AW37" s="28" t="s">
        <v>319</v>
      </c>
      <c r="AX37" s="28" t="s">
        <v>319</v>
      </c>
      <c r="AY37" s="28" t="s">
        <v>319</v>
      </c>
      <c r="AZ37" s="28" t="s">
        <v>319</v>
      </c>
      <c r="BA37" s="28" t="s">
        <v>319</v>
      </c>
      <c r="BB37" s="120" t="s">
        <v>984</v>
      </c>
      <c r="BC37" s="121" t="s">
        <v>1011</v>
      </c>
      <c r="BD37" s="125">
        <v>150</v>
      </c>
      <c r="BE37" s="120" t="s">
        <v>1010</v>
      </c>
      <c r="BF37" s="120"/>
      <c r="BG37" s="123">
        <v>16.5</v>
      </c>
      <c r="BH37" s="28" t="s">
        <v>319</v>
      </c>
      <c r="BI37" s="28" t="s">
        <v>319</v>
      </c>
      <c r="BJ37" s="28" t="s">
        <v>319</v>
      </c>
      <c r="BK37" s="28" t="s">
        <v>319</v>
      </c>
      <c r="BL37" s="28" t="s">
        <v>319</v>
      </c>
      <c r="BM37" s="28" t="s">
        <v>319</v>
      </c>
      <c r="BN37" s="28" t="s">
        <v>319</v>
      </c>
      <c r="BO37" s="28" t="s">
        <v>319</v>
      </c>
      <c r="BP37" s="28" t="s">
        <v>319</v>
      </c>
      <c r="BQ37" s="28" t="s">
        <v>319</v>
      </c>
      <c r="BR37" s="124" t="s">
        <v>670</v>
      </c>
      <c r="BS37" s="123">
        <v>1009</v>
      </c>
      <c r="BT37" s="6"/>
      <c r="BU37" s="121"/>
      <c r="BV37" s="120"/>
      <c r="BW37" s="121"/>
      <c r="BX37" s="120"/>
      <c r="BY37" s="120"/>
      <c r="BZ37" s="30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9"/>
      <c r="DB37" s="120"/>
      <c r="DC37" s="30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 t="s">
        <v>319</v>
      </c>
      <c r="DO37" s="28" t="s">
        <v>319</v>
      </c>
      <c r="DP37" s="28" t="s">
        <v>319</v>
      </c>
      <c r="DQ37" s="28" t="s">
        <v>319</v>
      </c>
      <c r="DR37" s="28" t="s">
        <v>319</v>
      </c>
      <c r="DS37" s="28" t="s">
        <v>319</v>
      </c>
      <c r="DT37" s="28" t="s">
        <v>319</v>
      </c>
      <c r="DU37" s="28" t="s">
        <v>319</v>
      </c>
      <c r="DV37" s="28" t="s">
        <v>319</v>
      </c>
      <c r="DW37" s="28" t="s">
        <v>319</v>
      </c>
      <c r="DX37" s="28" t="s">
        <v>319</v>
      </c>
      <c r="DY37" s="28" t="s">
        <v>319</v>
      </c>
      <c r="DZ37" s="28" t="s">
        <v>319</v>
      </c>
      <c r="EA37" s="28" t="s">
        <v>319</v>
      </c>
      <c r="EB37" s="28" t="s">
        <v>319</v>
      </c>
      <c r="EC37" s="28" t="s">
        <v>319</v>
      </c>
      <c r="ED37" s="28" t="s">
        <v>319</v>
      </c>
      <c r="EE37" s="28"/>
      <c r="EF37" s="28" t="s">
        <v>319</v>
      </c>
      <c r="EG37" s="28" t="s">
        <v>319</v>
      </c>
      <c r="EH37" s="28" t="s">
        <v>319</v>
      </c>
      <c r="EI37" s="28" t="s">
        <v>319</v>
      </c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7"/>
      <c r="FK37" s="126" t="s">
        <v>1058</v>
      </c>
      <c r="FL37" s="120"/>
      <c r="FM37" s="127"/>
    </row>
    <row r="38" spans="1:169" s="3" customFormat="1" ht="34.799999999999997" x14ac:dyDescent="0.4">
      <c r="A38" s="93"/>
      <c r="B38" s="93"/>
      <c r="C38" s="26"/>
      <c r="D38" s="27" t="s">
        <v>319</v>
      </c>
      <c r="E38" s="2" t="s">
        <v>444</v>
      </c>
      <c r="F38" s="28" t="s">
        <v>319</v>
      </c>
      <c r="G38" s="28" t="s">
        <v>319</v>
      </c>
      <c r="H38" s="28" t="s">
        <v>319</v>
      </c>
      <c r="I38" s="6" t="s">
        <v>580</v>
      </c>
      <c r="J38" s="28" t="s">
        <v>319</v>
      </c>
      <c r="K38" s="28" t="s">
        <v>319</v>
      </c>
      <c r="L38" s="28" t="s">
        <v>319</v>
      </c>
      <c r="M38" s="28" t="s">
        <v>319</v>
      </c>
      <c r="N38" s="28" t="s">
        <v>319</v>
      </c>
      <c r="O38" s="28" t="s">
        <v>319</v>
      </c>
      <c r="P38" s="28" t="s">
        <v>319</v>
      </c>
      <c r="Q38" s="5" t="s">
        <v>693</v>
      </c>
      <c r="R38" s="5" t="s">
        <v>663</v>
      </c>
      <c r="S38" s="6" t="s">
        <v>669</v>
      </c>
      <c r="T38" s="5" t="s">
        <v>715</v>
      </c>
      <c r="U38" s="106">
        <v>7144</v>
      </c>
      <c r="V38" s="106">
        <v>14525</v>
      </c>
      <c r="W38" s="6" t="s">
        <v>665</v>
      </c>
      <c r="X38" s="105">
        <v>12.49</v>
      </c>
      <c r="Y38" s="105">
        <v>11.8</v>
      </c>
      <c r="Z38" s="105">
        <v>10.41</v>
      </c>
      <c r="AA38" s="6" t="s">
        <v>963</v>
      </c>
      <c r="AB38" s="225">
        <f>4.57+2.21</f>
        <v>6.78</v>
      </c>
      <c r="AC38" s="225">
        <f>3.24+2.21</f>
        <v>5.45</v>
      </c>
      <c r="AD38" s="225">
        <f>0.7+2.21</f>
        <v>2.91</v>
      </c>
      <c r="AE38" s="6" t="s">
        <v>956</v>
      </c>
      <c r="AF38" s="6"/>
      <c r="AG38" s="12">
        <v>55</v>
      </c>
      <c r="AH38" s="6"/>
      <c r="AI38" s="6" t="s">
        <v>965</v>
      </c>
      <c r="AJ38" s="108"/>
      <c r="AK38" s="108">
        <v>0.752</v>
      </c>
      <c r="AL38" s="6"/>
      <c r="AM38" s="6" t="s">
        <v>958</v>
      </c>
      <c r="AN38" s="6"/>
      <c r="AO38" s="105">
        <v>0.09</v>
      </c>
      <c r="AP38" s="6"/>
      <c r="AQ38" s="28" t="s">
        <v>319</v>
      </c>
      <c r="AR38" s="28" t="s">
        <v>319</v>
      </c>
      <c r="AS38" s="28" t="s">
        <v>319</v>
      </c>
      <c r="AT38" s="28" t="s">
        <v>319</v>
      </c>
      <c r="AU38" s="28" t="s">
        <v>319</v>
      </c>
      <c r="AV38" s="28" t="s">
        <v>319</v>
      </c>
      <c r="AW38" s="28" t="s">
        <v>319</v>
      </c>
      <c r="AX38" s="28" t="s">
        <v>319</v>
      </c>
      <c r="AY38" s="28" t="s">
        <v>319</v>
      </c>
      <c r="AZ38" s="28" t="s">
        <v>319</v>
      </c>
      <c r="BA38" s="28" t="s">
        <v>319</v>
      </c>
      <c r="BB38" s="6" t="s">
        <v>984</v>
      </c>
      <c r="BC38" s="5" t="s">
        <v>1009</v>
      </c>
      <c r="BD38" s="183" t="s">
        <v>1451</v>
      </c>
      <c r="BE38" s="6" t="s">
        <v>1010</v>
      </c>
      <c r="BF38" s="181" t="s">
        <v>1437</v>
      </c>
      <c r="BG38" s="185">
        <v>16.8</v>
      </c>
      <c r="BH38" s="28" t="s">
        <v>319</v>
      </c>
      <c r="BI38" s="28" t="s">
        <v>319</v>
      </c>
      <c r="BJ38" s="28" t="s">
        <v>319</v>
      </c>
      <c r="BK38" s="28" t="s">
        <v>319</v>
      </c>
      <c r="BL38" s="28" t="s">
        <v>319</v>
      </c>
      <c r="BM38" s="28" t="s">
        <v>319</v>
      </c>
      <c r="BN38" s="28" t="s">
        <v>319</v>
      </c>
      <c r="BO38" s="28" t="s">
        <v>319</v>
      </c>
      <c r="BP38" s="28" t="s">
        <v>319</v>
      </c>
      <c r="BQ38" s="28" t="s">
        <v>319</v>
      </c>
      <c r="BR38" s="113" t="s">
        <v>680</v>
      </c>
      <c r="BS38" s="12">
        <v>1009</v>
      </c>
      <c r="BT38" s="6"/>
      <c r="BU38" s="5"/>
      <c r="BV38" s="6"/>
      <c r="BW38" s="5"/>
      <c r="BX38" s="6"/>
      <c r="BY38" s="6"/>
      <c r="BZ38" s="30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9"/>
      <c r="DB38" s="6"/>
      <c r="DC38" s="30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 t="s">
        <v>319</v>
      </c>
      <c r="DO38" s="28" t="s">
        <v>319</v>
      </c>
      <c r="DP38" s="28" t="s">
        <v>319</v>
      </c>
      <c r="DQ38" s="28" t="s">
        <v>319</v>
      </c>
      <c r="DR38" s="28" t="s">
        <v>319</v>
      </c>
      <c r="DS38" s="28" t="s">
        <v>319</v>
      </c>
      <c r="DT38" s="28" t="s">
        <v>319</v>
      </c>
      <c r="DU38" s="28" t="s">
        <v>319</v>
      </c>
      <c r="DV38" s="28" t="s">
        <v>319</v>
      </c>
      <c r="DW38" s="28" t="s">
        <v>319</v>
      </c>
      <c r="DX38" s="28" t="s">
        <v>319</v>
      </c>
      <c r="DY38" s="28" t="s">
        <v>319</v>
      </c>
      <c r="DZ38" s="28" t="s">
        <v>319</v>
      </c>
      <c r="EA38" s="28" t="s">
        <v>319</v>
      </c>
      <c r="EB38" s="28" t="s">
        <v>319</v>
      </c>
      <c r="EC38" s="28" t="s">
        <v>319</v>
      </c>
      <c r="ED38" s="28" t="s">
        <v>319</v>
      </c>
      <c r="EE38" s="28"/>
      <c r="EF38" s="28" t="s">
        <v>319</v>
      </c>
      <c r="EG38" s="28" t="s">
        <v>319</v>
      </c>
      <c r="EH38" s="28" t="s">
        <v>319</v>
      </c>
      <c r="EI38" s="28" t="s">
        <v>319</v>
      </c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7"/>
      <c r="FK38" s="15" t="s">
        <v>1058</v>
      </c>
      <c r="FL38" s="6"/>
      <c r="FM38" s="94"/>
    </row>
    <row r="39" spans="1:169" s="3" customFormat="1" x14ac:dyDescent="0.4">
      <c r="A39" s="93"/>
      <c r="B39" s="93"/>
      <c r="C39" s="26"/>
      <c r="D39" s="27" t="s">
        <v>319</v>
      </c>
      <c r="E39" s="2" t="s">
        <v>332</v>
      </c>
      <c r="F39" s="28" t="s">
        <v>319</v>
      </c>
      <c r="G39" s="28" t="s">
        <v>319</v>
      </c>
      <c r="H39" s="28" t="s">
        <v>319</v>
      </c>
      <c r="I39" s="6" t="s">
        <v>581</v>
      </c>
      <c r="J39" s="28" t="s">
        <v>319</v>
      </c>
      <c r="K39" s="28" t="s">
        <v>319</v>
      </c>
      <c r="L39" s="28" t="s">
        <v>319</v>
      </c>
      <c r="M39" s="28" t="s">
        <v>319</v>
      </c>
      <c r="N39" s="28" t="s">
        <v>319</v>
      </c>
      <c r="O39" s="28" t="s">
        <v>319</v>
      </c>
      <c r="P39" s="28" t="s">
        <v>319</v>
      </c>
      <c r="Q39" s="5" t="s">
        <v>716</v>
      </c>
      <c r="R39" s="5" t="s">
        <v>663</v>
      </c>
      <c r="S39" s="6" t="s">
        <v>678</v>
      </c>
      <c r="T39" s="5"/>
      <c r="U39" s="5"/>
      <c r="V39" s="223">
        <f>6*908</f>
        <v>5448</v>
      </c>
      <c r="W39" s="6" t="s">
        <v>665</v>
      </c>
      <c r="X39" s="5"/>
      <c r="Y39" s="5"/>
      <c r="Z39" s="222">
        <v>14.33</v>
      </c>
      <c r="AA39" s="6" t="s">
        <v>959</v>
      </c>
      <c r="AB39" s="6"/>
      <c r="AC39" s="6"/>
      <c r="AD39" s="219" t="s">
        <v>1464</v>
      </c>
      <c r="AE39" s="6" t="s">
        <v>956</v>
      </c>
      <c r="AF39" s="6"/>
      <c r="AG39" s="12">
        <v>31.4</v>
      </c>
      <c r="AH39" s="6"/>
      <c r="AI39" s="6" t="s">
        <v>965</v>
      </c>
      <c r="AJ39" s="108"/>
      <c r="AK39" s="108">
        <v>1.37</v>
      </c>
      <c r="AL39" s="6"/>
      <c r="AM39" s="6" t="s">
        <v>958</v>
      </c>
      <c r="AN39" s="6"/>
      <c r="AO39" s="105">
        <v>1.02</v>
      </c>
      <c r="AP39" s="6"/>
      <c r="AQ39" s="28" t="s">
        <v>319</v>
      </c>
      <c r="AR39" s="28" t="s">
        <v>319</v>
      </c>
      <c r="AS39" s="28" t="s">
        <v>319</v>
      </c>
      <c r="AT39" s="28" t="s">
        <v>319</v>
      </c>
      <c r="AU39" s="28" t="s">
        <v>319</v>
      </c>
      <c r="AV39" s="28" t="s">
        <v>319</v>
      </c>
      <c r="AW39" s="28" t="s">
        <v>319</v>
      </c>
      <c r="AX39" s="28" t="s">
        <v>319</v>
      </c>
      <c r="AY39" s="28" t="s">
        <v>319</v>
      </c>
      <c r="AZ39" s="28" t="s">
        <v>319</v>
      </c>
      <c r="BA39" s="28" t="s">
        <v>319</v>
      </c>
      <c r="BB39" s="6" t="s">
        <v>984</v>
      </c>
      <c r="BC39" s="5" t="s">
        <v>1011</v>
      </c>
      <c r="BD39" s="106">
        <v>65</v>
      </c>
      <c r="BE39" s="6" t="s">
        <v>1010</v>
      </c>
      <c r="BF39" s="6"/>
      <c r="BG39" s="12">
        <v>18</v>
      </c>
      <c r="BH39" s="28" t="s">
        <v>319</v>
      </c>
      <c r="BI39" s="28" t="s">
        <v>319</v>
      </c>
      <c r="BJ39" s="28" t="s">
        <v>319</v>
      </c>
      <c r="BK39" s="28" t="s">
        <v>319</v>
      </c>
      <c r="BL39" s="28" t="s">
        <v>319</v>
      </c>
      <c r="BM39" s="28" t="s">
        <v>319</v>
      </c>
      <c r="BN39" s="28" t="s">
        <v>319</v>
      </c>
      <c r="BO39" s="28" t="s">
        <v>319</v>
      </c>
      <c r="BP39" s="28" t="s">
        <v>319</v>
      </c>
      <c r="BQ39" s="28" t="s">
        <v>319</v>
      </c>
      <c r="BR39" s="12">
        <v>34.4</v>
      </c>
      <c r="BS39" s="12">
        <v>879</v>
      </c>
      <c r="BT39" s="6"/>
      <c r="BU39" s="5"/>
      <c r="BV39" s="6"/>
      <c r="BW39" s="5"/>
      <c r="BX39" s="6"/>
      <c r="BY39" s="6"/>
      <c r="BZ39" s="30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9"/>
      <c r="DB39" s="6"/>
      <c r="DC39" s="30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 t="s">
        <v>319</v>
      </c>
      <c r="DO39" s="28" t="s">
        <v>319</v>
      </c>
      <c r="DP39" s="28" t="s">
        <v>319</v>
      </c>
      <c r="DQ39" s="28" t="s">
        <v>319</v>
      </c>
      <c r="DR39" s="28" t="s">
        <v>319</v>
      </c>
      <c r="DS39" s="28" t="s">
        <v>319</v>
      </c>
      <c r="DT39" s="28" t="s">
        <v>319</v>
      </c>
      <c r="DU39" s="28" t="s">
        <v>319</v>
      </c>
      <c r="DV39" s="28" t="s">
        <v>319</v>
      </c>
      <c r="DW39" s="28" t="s">
        <v>319</v>
      </c>
      <c r="DX39" s="28" t="s">
        <v>319</v>
      </c>
      <c r="DY39" s="28" t="s">
        <v>319</v>
      </c>
      <c r="DZ39" s="28" t="s">
        <v>319</v>
      </c>
      <c r="EA39" s="28" t="s">
        <v>319</v>
      </c>
      <c r="EB39" s="28" t="s">
        <v>319</v>
      </c>
      <c r="EC39" s="28" t="s">
        <v>319</v>
      </c>
      <c r="ED39" s="28" t="s">
        <v>319</v>
      </c>
      <c r="EE39" s="28"/>
      <c r="EF39" s="28" t="s">
        <v>319</v>
      </c>
      <c r="EG39" s="28" t="s">
        <v>319</v>
      </c>
      <c r="EH39" s="28" t="s">
        <v>319</v>
      </c>
      <c r="EI39" s="28" t="s">
        <v>319</v>
      </c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7"/>
      <c r="FK39" s="6"/>
      <c r="FL39" s="6"/>
      <c r="FM39" s="94"/>
    </row>
    <row r="40" spans="1:169" s="3" customFormat="1" x14ac:dyDescent="0.4">
      <c r="A40" s="93"/>
      <c r="B40" s="93"/>
      <c r="C40" s="26"/>
      <c r="D40" s="27" t="s">
        <v>319</v>
      </c>
      <c r="E40" s="2" t="s">
        <v>535</v>
      </c>
      <c r="F40" s="28" t="s">
        <v>319</v>
      </c>
      <c r="G40" s="28" t="s">
        <v>319</v>
      </c>
      <c r="H40" s="28" t="s">
        <v>319</v>
      </c>
      <c r="I40" s="6" t="s">
        <v>582</v>
      </c>
      <c r="J40" s="28" t="s">
        <v>319</v>
      </c>
      <c r="K40" s="28" t="s">
        <v>319</v>
      </c>
      <c r="L40" s="28" t="s">
        <v>319</v>
      </c>
      <c r="M40" s="28" t="s">
        <v>319</v>
      </c>
      <c r="N40" s="28" t="s">
        <v>319</v>
      </c>
      <c r="O40" s="28" t="s">
        <v>319</v>
      </c>
      <c r="P40" s="28" t="s">
        <v>319</v>
      </c>
      <c r="Q40" s="5" t="s">
        <v>717</v>
      </c>
      <c r="R40" s="5" t="s">
        <v>713</v>
      </c>
      <c r="S40" s="6" t="s">
        <v>669</v>
      </c>
      <c r="T40" s="5"/>
      <c r="U40" s="106">
        <v>20000</v>
      </c>
      <c r="V40" s="106">
        <v>22000</v>
      </c>
      <c r="W40" s="6" t="s">
        <v>665</v>
      </c>
      <c r="X40" s="105"/>
      <c r="Y40" s="105">
        <v>3</v>
      </c>
      <c r="Z40" s="105"/>
      <c r="AA40" s="6" t="s">
        <v>982</v>
      </c>
      <c r="AB40" s="6"/>
      <c r="AC40" s="105">
        <v>2.9750000000000001</v>
      </c>
      <c r="AD40" s="6"/>
      <c r="AE40" s="6" t="s">
        <v>984</v>
      </c>
      <c r="AF40" s="6"/>
      <c r="AG40" s="12">
        <v>38</v>
      </c>
      <c r="AH40" s="6"/>
      <c r="AI40" s="6" t="s">
        <v>965</v>
      </c>
      <c r="AJ40" s="108"/>
      <c r="AK40" s="108">
        <v>1.304</v>
      </c>
      <c r="AL40" s="6"/>
      <c r="AM40" s="6" t="s">
        <v>958</v>
      </c>
      <c r="AN40" s="6"/>
      <c r="AO40" s="5">
        <v>6.9000000000000006E-2</v>
      </c>
      <c r="AP40" s="6"/>
      <c r="AQ40" s="28" t="s">
        <v>319</v>
      </c>
      <c r="AR40" s="28" t="s">
        <v>319</v>
      </c>
      <c r="AS40" s="28" t="s">
        <v>319</v>
      </c>
      <c r="AT40" s="28" t="s">
        <v>319</v>
      </c>
      <c r="AU40" s="28" t="s">
        <v>319</v>
      </c>
      <c r="AV40" s="28" t="s">
        <v>319</v>
      </c>
      <c r="AW40" s="28" t="s">
        <v>319</v>
      </c>
      <c r="AX40" s="28" t="s">
        <v>319</v>
      </c>
      <c r="AY40" s="28" t="s">
        <v>319</v>
      </c>
      <c r="AZ40" s="28" t="s">
        <v>319</v>
      </c>
      <c r="BA40" s="28" t="s">
        <v>319</v>
      </c>
      <c r="BB40" s="6" t="s">
        <v>984</v>
      </c>
      <c r="BC40" s="5" t="s">
        <v>1011</v>
      </c>
      <c r="BD40" s="106">
        <v>80</v>
      </c>
      <c r="BE40" s="6" t="s">
        <v>1010</v>
      </c>
      <c r="BF40" s="6"/>
      <c r="BG40" s="12">
        <v>8.5</v>
      </c>
      <c r="BH40" s="28" t="s">
        <v>319</v>
      </c>
      <c r="BI40" s="28" t="s">
        <v>319</v>
      </c>
      <c r="BJ40" s="28" t="s">
        <v>319</v>
      </c>
      <c r="BK40" s="28" t="s">
        <v>319</v>
      </c>
      <c r="BL40" s="28" t="s">
        <v>319</v>
      </c>
      <c r="BM40" s="28" t="s">
        <v>319</v>
      </c>
      <c r="BN40" s="28" t="s">
        <v>319</v>
      </c>
      <c r="BO40" s="28" t="s">
        <v>319</v>
      </c>
      <c r="BP40" s="28" t="s">
        <v>319</v>
      </c>
      <c r="BQ40" s="28" t="s">
        <v>319</v>
      </c>
      <c r="BR40" s="113" t="s">
        <v>680</v>
      </c>
      <c r="BS40" s="6" t="s">
        <v>1266</v>
      </c>
      <c r="BT40" s="6"/>
      <c r="BU40" s="5"/>
      <c r="BV40" s="6"/>
      <c r="BW40" s="5"/>
      <c r="BX40" s="6"/>
      <c r="BY40" s="6"/>
      <c r="BZ40" s="30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9"/>
      <c r="DB40" s="6"/>
      <c r="DC40" s="30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 t="s">
        <v>319</v>
      </c>
      <c r="DO40" s="28" t="s">
        <v>319</v>
      </c>
      <c r="DP40" s="28" t="s">
        <v>319</v>
      </c>
      <c r="DQ40" s="28" t="s">
        <v>319</v>
      </c>
      <c r="DR40" s="28" t="s">
        <v>319</v>
      </c>
      <c r="DS40" s="28" t="s">
        <v>319</v>
      </c>
      <c r="DT40" s="28" t="s">
        <v>319</v>
      </c>
      <c r="DU40" s="28" t="s">
        <v>319</v>
      </c>
      <c r="DV40" s="28" t="s">
        <v>319</v>
      </c>
      <c r="DW40" s="28" t="s">
        <v>319</v>
      </c>
      <c r="DX40" s="28" t="s">
        <v>319</v>
      </c>
      <c r="DY40" s="28" t="s">
        <v>319</v>
      </c>
      <c r="DZ40" s="28" t="s">
        <v>319</v>
      </c>
      <c r="EA40" s="28" t="s">
        <v>319</v>
      </c>
      <c r="EB40" s="28" t="s">
        <v>319</v>
      </c>
      <c r="EC40" s="28" t="s">
        <v>319</v>
      </c>
      <c r="ED40" s="28" t="s">
        <v>319</v>
      </c>
      <c r="EE40" s="28"/>
      <c r="EF40" s="28" t="s">
        <v>319</v>
      </c>
      <c r="EG40" s="28" t="s">
        <v>319</v>
      </c>
      <c r="EH40" s="28" t="s">
        <v>319</v>
      </c>
      <c r="EI40" s="28" t="s">
        <v>319</v>
      </c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7"/>
      <c r="FK40" s="6"/>
      <c r="FL40" s="6"/>
      <c r="FM40" s="94"/>
    </row>
    <row r="41" spans="1:169" s="3" customFormat="1" x14ac:dyDescent="0.4">
      <c r="A41" s="93"/>
      <c r="B41" s="93"/>
      <c r="C41" s="26"/>
      <c r="D41" s="27" t="s">
        <v>319</v>
      </c>
      <c r="E41" s="2" t="s">
        <v>536</v>
      </c>
      <c r="F41" s="28" t="s">
        <v>319</v>
      </c>
      <c r="G41" s="28" t="s">
        <v>319</v>
      </c>
      <c r="H41" s="28" t="s">
        <v>319</v>
      </c>
      <c r="I41" s="6" t="s">
        <v>581</v>
      </c>
      <c r="J41" s="28" t="s">
        <v>319</v>
      </c>
      <c r="K41" s="28" t="s">
        <v>319</v>
      </c>
      <c r="L41" s="28" t="s">
        <v>319</v>
      </c>
      <c r="M41" s="28" t="s">
        <v>319</v>
      </c>
      <c r="N41" s="28" t="s">
        <v>319</v>
      </c>
      <c r="O41" s="28" t="s">
        <v>319</v>
      </c>
      <c r="P41" s="28" t="s">
        <v>319</v>
      </c>
      <c r="Q41" s="5" t="s">
        <v>718</v>
      </c>
      <c r="R41" s="5" t="s">
        <v>674</v>
      </c>
      <c r="S41" s="6" t="s">
        <v>678</v>
      </c>
      <c r="T41" s="107" t="s">
        <v>1267</v>
      </c>
      <c r="U41" s="106">
        <v>5000</v>
      </c>
      <c r="V41" s="114">
        <v>7000</v>
      </c>
      <c r="W41" s="6" t="s">
        <v>665</v>
      </c>
      <c r="X41" s="105"/>
      <c r="Y41" s="105">
        <v>3</v>
      </c>
      <c r="Z41" s="105"/>
      <c r="AA41" s="6" t="s">
        <v>982</v>
      </c>
      <c r="AB41" s="6"/>
      <c r="AC41" s="105">
        <v>2.9750000000000001</v>
      </c>
      <c r="AD41" s="6"/>
      <c r="AE41" s="6" t="s">
        <v>984</v>
      </c>
      <c r="AF41" s="6"/>
      <c r="AG41" s="12">
        <v>40</v>
      </c>
      <c r="AH41" s="6"/>
      <c r="AI41" s="6" t="s">
        <v>976</v>
      </c>
      <c r="AJ41" s="108"/>
      <c r="AK41" s="108">
        <v>1.304</v>
      </c>
      <c r="AL41" s="6"/>
      <c r="AM41" s="6" t="s">
        <v>958</v>
      </c>
      <c r="AN41" s="6"/>
      <c r="AO41" s="5">
        <v>6.9000000000000006E-2</v>
      </c>
      <c r="AP41" s="6"/>
      <c r="AQ41" s="28" t="s">
        <v>319</v>
      </c>
      <c r="AR41" s="28" t="s">
        <v>319</v>
      </c>
      <c r="AS41" s="28" t="s">
        <v>319</v>
      </c>
      <c r="AT41" s="28" t="s">
        <v>319</v>
      </c>
      <c r="AU41" s="28" t="s">
        <v>319</v>
      </c>
      <c r="AV41" s="28" t="s">
        <v>319</v>
      </c>
      <c r="AW41" s="28" t="s">
        <v>319</v>
      </c>
      <c r="AX41" s="28" t="s">
        <v>319</v>
      </c>
      <c r="AY41" s="28" t="s">
        <v>319</v>
      </c>
      <c r="AZ41" s="28" t="s">
        <v>319</v>
      </c>
      <c r="BA41" s="28" t="s">
        <v>319</v>
      </c>
      <c r="BB41" s="6" t="s">
        <v>984</v>
      </c>
      <c r="BC41" s="5" t="s">
        <v>1011</v>
      </c>
      <c r="BD41" s="106">
        <v>80</v>
      </c>
      <c r="BE41" s="6" t="s">
        <v>1010</v>
      </c>
      <c r="BF41" s="6"/>
      <c r="BG41" s="12">
        <v>12.3</v>
      </c>
      <c r="BH41" s="28" t="s">
        <v>319</v>
      </c>
      <c r="BI41" s="28" t="s">
        <v>319</v>
      </c>
      <c r="BJ41" s="28" t="s">
        <v>319</v>
      </c>
      <c r="BK41" s="28" t="s">
        <v>319</v>
      </c>
      <c r="BL41" s="28" t="s">
        <v>319</v>
      </c>
      <c r="BM41" s="28" t="s">
        <v>319</v>
      </c>
      <c r="BN41" s="28" t="s">
        <v>319</v>
      </c>
      <c r="BO41" s="28" t="s">
        <v>319</v>
      </c>
      <c r="BP41" s="28" t="s">
        <v>319</v>
      </c>
      <c r="BQ41" s="28" t="s">
        <v>319</v>
      </c>
      <c r="BR41" s="113" t="s">
        <v>680</v>
      </c>
      <c r="BS41" s="6" t="s">
        <v>1266</v>
      </c>
      <c r="BT41" s="6"/>
      <c r="BU41" s="5"/>
      <c r="BV41" s="6"/>
      <c r="BW41" s="5"/>
      <c r="BX41" s="99" t="s">
        <v>680</v>
      </c>
      <c r="BY41" s="6"/>
      <c r="BZ41" s="30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9"/>
      <c r="DB41" s="6"/>
      <c r="DC41" s="30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 t="s">
        <v>319</v>
      </c>
      <c r="DO41" s="28" t="s">
        <v>319</v>
      </c>
      <c r="DP41" s="28" t="s">
        <v>319</v>
      </c>
      <c r="DQ41" s="28" t="s">
        <v>319</v>
      </c>
      <c r="DR41" s="28" t="s">
        <v>319</v>
      </c>
      <c r="DS41" s="28" t="s">
        <v>319</v>
      </c>
      <c r="DT41" s="28" t="s">
        <v>319</v>
      </c>
      <c r="DU41" s="28" t="s">
        <v>319</v>
      </c>
      <c r="DV41" s="28" t="s">
        <v>319</v>
      </c>
      <c r="DW41" s="28" t="s">
        <v>319</v>
      </c>
      <c r="DX41" s="28" t="s">
        <v>319</v>
      </c>
      <c r="DY41" s="28" t="s">
        <v>319</v>
      </c>
      <c r="DZ41" s="28" t="s">
        <v>319</v>
      </c>
      <c r="EA41" s="28" t="s">
        <v>319</v>
      </c>
      <c r="EB41" s="28" t="s">
        <v>319</v>
      </c>
      <c r="EC41" s="28" t="s">
        <v>319</v>
      </c>
      <c r="ED41" s="28" t="s">
        <v>319</v>
      </c>
      <c r="EE41" s="28"/>
      <c r="EF41" s="28" t="s">
        <v>319</v>
      </c>
      <c r="EG41" s="28" t="s">
        <v>319</v>
      </c>
      <c r="EH41" s="28" t="s">
        <v>319</v>
      </c>
      <c r="EI41" s="28" t="s">
        <v>319</v>
      </c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7"/>
      <c r="FK41" s="6"/>
      <c r="FL41" s="6"/>
      <c r="FM41" s="94"/>
    </row>
    <row r="42" spans="1:169" s="3" customFormat="1" x14ac:dyDescent="0.4">
      <c r="A42" s="93"/>
      <c r="B42" s="93"/>
      <c r="C42" s="26"/>
      <c r="D42" s="27" t="s">
        <v>319</v>
      </c>
      <c r="E42" s="2" t="s">
        <v>537</v>
      </c>
      <c r="F42" s="28" t="s">
        <v>319</v>
      </c>
      <c r="G42" s="28" t="s">
        <v>319</v>
      </c>
      <c r="H42" s="28" t="s">
        <v>319</v>
      </c>
      <c r="I42" s="6" t="s">
        <v>581</v>
      </c>
      <c r="J42" s="28" t="s">
        <v>319</v>
      </c>
      <c r="K42" s="28" t="s">
        <v>319</v>
      </c>
      <c r="L42" s="28" t="s">
        <v>319</v>
      </c>
      <c r="M42" s="28" t="s">
        <v>319</v>
      </c>
      <c r="N42" s="28" t="s">
        <v>319</v>
      </c>
      <c r="O42" s="28" t="s">
        <v>319</v>
      </c>
      <c r="P42" s="28" t="s">
        <v>319</v>
      </c>
      <c r="Q42" s="5" t="s">
        <v>719</v>
      </c>
      <c r="R42" s="5" t="s">
        <v>674</v>
      </c>
      <c r="S42" s="6" t="s">
        <v>669</v>
      </c>
      <c r="T42" s="5"/>
      <c r="U42" s="106">
        <v>20000</v>
      </c>
      <c r="V42" s="106">
        <v>22000</v>
      </c>
      <c r="W42" s="6" t="s">
        <v>665</v>
      </c>
      <c r="X42" s="105"/>
      <c r="Y42" s="105">
        <v>3</v>
      </c>
      <c r="Z42" s="105"/>
      <c r="AA42" s="6" t="s">
        <v>982</v>
      </c>
      <c r="AB42" s="6"/>
      <c r="AC42" s="105">
        <v>2.9750000000000001</v>
      </c>
      <c r="AD42" s="6"/>
      <c r="AE42" s="6" t="s">
        <v>1210</v>
      </c>
      <c r="AF42" s="6"/>
      <c r="AG42" s="12">
        <v>38</v>
      </c>
      <c r="AH42" s="6"/>
      <c r="AI42" s="6" t="s">
        <v>957</v>
      </c>
      <c r="AJ42" s="108"/>
      <c r="AK42" s="108">
        <v>1.304</v>
      </c>
      <c r="AL42" s="6"/>
      <c r="AM42" s="6" t="s">
        <v>958</v>
      </c>
      <c r="AN42" s="6"/>
      <c r="AO42" s="5">
        <v>6.9000000000000006E-2</v>
      </c>
      <c r="AP42" s="6"/>
      <c r="AQ42" s="28" t="s">
        <v>319</v>
      </c>
      <c r="AR42" s="28" t="s">
        <v>319</v>
      </c>
      <c r="AS42" s="28" t="s">
        <v>319</v>
      </c>
      <c r="AT42" s="28" t="s">
        <v>319</v>
      </c>
      <c r="AU42" s="28" t="s">
        <v>319</v>
      </c>
      <c r="AV42" s="28" t="s">
        <v>319</v>
      </c>
      <c r="AW42" s="28" t="s">
        <v>319</v>
      </c>
      <c r="AX42" s="28" t="s">
        <v>319</v>
      </c>
      <c r="AY42" s="28" t="s">
        <v>319</v>
      </c>
      <c r="AZ42" s="28" t="s">
        <v>319</v>
      </c>
      <c r="BA42" s="28" t="s">
        <v>319</v>
      </c>
      <c r="BB42" s="6" t="s">
        <v>984</v>
      </c>
      <c r="BC42" s="5" t="s">
        <v>1011</v>
      </c>
      <c r="BD42" s="106">
        <v>80</v>
      </c>
      <c r="BE42" s="6" t="s">
        <v>1010</v>
      </c>
      <c r="BF42" s="6"/>
      <c r="BG42" s="12">
        <v>8.5</v>
      </c>
      <c r="BH42" s="28" t="s">
        <v>319</v>
      </c>
      <c r="BI42" s="28" t="s">
        <v>319</v>
      </c>
      <c r="BJ42" s="28" t="s">
        <v>319</v>
      </c>
      <c r="BK42" s="28" t="s">
        <v>319</v>
      </c>
      <c r="BL42" s="28" t="s">
        <v>319</v>
      </c>
      <c r="BM42" s="28" t="s">
        <v>319</v>
      </c>
      <c r="BN42" s="28" t="s">
        <v>319</v>
      </c>
      <c r="BO42" s="28" t="s">
        <v>319</v>
      </c>
      <c r="BP42" s="28" t="s">
        <v>319</v>
      </c>
      <c r="BQ42" s="28" t="s">
        <v>319</v>
      </c>
      <c r="BR42" s="113" t="s">
        <v>680</v>
      </c>
      <c r="BS42" s="6" t="s">
        <v>1266</v>
      </c>
      <c r="BT42" s="6"/>
      <c r="BU42" s="5"/>
      <c r="BV42" s="6"/>
      <c r="BW42" s="5"/>
      <c r="BX42" s="99" t="s">
        <v>680</v>
      </c>
      <c r="BY42" s="6"/>
      <c r="BZ42" s="30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9"/>
      <c r="DB42" s="6"/>
      <c r="DC42" s="30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 t="s">
        <v>319</v>
      </c>
      <c r="DO42" s="28" t="s">
        <v>319</v>
      </c>
      <c r="DP42" s="28" t="s">
        <v>319</v>
      </c>
      <c r="DQ42" s="28" t="s">
        <v>319</v>
      </c>
      <c r="DR42" s="28" t="s">
        <v>319</v>
      </c>
      <c r="DS42" s="28" t="s">
        <v>319</v>
      </c>
      <c r="DT42" s="28" t="s">
        <v>319</v>
      </c>
      <c r="DU42" s="28" t="s">
        <v>319</v>
      </c>
      <c r="DV42" s="28" t="s">
        <v>319</v>
      </c>
      <c r="DW42" s="28" t="s">
        <v>319</v>
      </c>
      <c r="DX42" s="28" t="s">
        <v>319</v>
      </c>
      <c r="DY42" s="28" t="s">
        <v>319</v>
      </c>
      <c r="DZ42" s="28" t="s">
        <v>319</v>
      </c>
      <c r="EA42" s="28" t="s">
        <v>319</v>
      </c>
      <c r="EB42" s="28" t="s">
        <v>319</v>
      </c>
      <c r="EC42" s="28" t="s">
        <v>319</v>
      </c>
      <c r="ED42" s="28" t="s">
        <v>319</v>
      </c>
      <c r="EE42" s="28"/>
      <c r="EF42" s="28" t="s">
        <v>319</v>
      </c>
      <c r="EG42" s="28" t="s">
        <v>319</v>
      </c>
      <c r="EH42" s="28" t="s">
        <v>319</v>
      </c>
      <c r="EI42" s="28" t="s">
        <v>319</v>
      </c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7"/>
      <c r="FK42" s="6"/>
      <c r="FL42" s="6"/>
      <c r="FM42" s="94"/>
    </row>
    <row r="43" spans="1:169" s="22" customFormat="1" ht="27.75" customHeight="1" x14ac:dyDescent="0.4">
      <c r="A43" s="93"/>
      <c r="B43" s="93"/>
      <c r="C43" s="26"/>
      <c r="D43" s="27"/>
      <c r="E43" s="2" t="s">
        <v>1220</v>
      </c>
      <c r="F43" s="28"/>
      <c r="G43" s="28"/>
      <c r="H43" s="28"/>
      <c r="I43" s="6" t="s">
        <v>1204</v>
      </c>
      <c r="J43" s="28"/>
      <c r="K43" s="28"/>
      <c r="L43" s="28"/>
      <c r="M43" s="28"/>
      <c r="N43" s="28"/>
      <c r="O43" s="28"/>
      <c r="P43" s="28"/>
      <c r="Q43" s="5" t="s">
        <v>1205</v>
      </c>
      <c r="R43" s="5" t="s">
        <v>1206</v>
      </c>
      <c r="S43" s="6" t="s">
        <v>664</v>
      </c>
      <c r="T43" s="215">
        <f>U43/2</f>
        <v>166</v>
      </c>
      <c r="U43" s="183">
        <v>332</v>
      </c>
      <c r="V43" s="183">
        <f>U43*2</f>
        <v>664</v>
      </c>
      <c r="W43" s="6" t="s">
        <v>1207</v>
      </c>
      <c r="X43" s="114" t="s">
        <v>1208</v>
      </c>
      <c r="Y43" s="105">
        <v>7</v>
      </c>
      <c r="Z43" s="114" t="s">
        <v>1208</v>
      </c>
      <c r="AA43" s="6" t="s">
        <v>959</v>
      </c>
      <c r="AB43" s="112">
        <f>Y43-0.0005</f>
        <v>6.9995000000000003</v>
      </c>
      <c r="AC43" s="114" t="s">
        <v>1209</v>
      </c>
      <c r="AD43" s="112">
        <f>Y43-0.0175</f>
        <v>6.9824999999999999</v>
      </c>
      <c r="AE43" s="6" t="s">
        <v>984</v>
      </c>
      <c r="AF43" s="6"/>
      <c r="AG43" s="12" t="s">
        <v>1211</v>
      </c>
      <c r="AH43" s="6"/>
      <c r="AI43" s="6" t="s">
        <v>1212</v>
      </c>
      <c r="AJ43" s="108"/>
      <c r="AK43" s="108">
        <v>1.7000000000000001E-2</v>
      </c>
      <c r="AL43" s="6"/>
      <c r="AM43" s="6" t="s">
        <v>1213</v>
      </c>
      <c r="AN43" s="6"/>
      <c r="AO43" s="107" t="s">
        <v>1250</v>
      </c>
      <c r="AP43" s="6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6" t="s">
        <v>984</v>
      </c>
      <c r="BC43" s="5"/>
      <c r="BD43" s="106">
        <v>65</v>
      </c>
      <c r="BE43" s="6" t="s">
        <v>1214</v>
      </c>
      <c r="BF43" s="6"/>
      <c r="BG43" s="12">
        <v>12</v>
      </c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128" t="s">
        <v>1264</v>
      </c>
      <c r="BS43" s="129" t="s">
        <v>1264</v>
      </c>
      <c r="BT43" s="6"/>
      <c r="BU43" s="5">
        <v>28.05</v>
      </c>
      <c r="BV43" s="6" t="s">
        <v>1217</v>
      </c>
      <c r="BW43" s="5">
        <v>1.04</v>
      </c>
      <c r="BX43" s="6"/>
      <c r="BY43" s="6"/>
      <c r="BZ43" s="30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9"/>
      <c r="DB43" s="6"/>
      <c r="DC43" s="30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7"/>
      <c r="FK43" s="6"/>
      <c r="FL43" s="6"/>
      <c r="FM43" s="94"/>
    </row>
    <row r="44" spans="1:169" s="3" customFormat="1" ht="34.799999999999997" x14ac:dyDescent="0.4">
      <c r="A44" s="93"/>
      <c r="B44" s="93"/>
      <c r="C44" s="26"/>
      <c r="D44" s="27" t="s">
        <v>319</v>
      </c>
      <c r="E44" s="2" t="s">
        <v>333</v>
      </c>
      <c r="F44" s="28" t="s">
        <v>319</v>
      </c>
      <c r="G44" s="28" t="s">
        <v>319</v>
      </c>
      <c r="H44" s="28" t="s">
        <v>319</v>
      </c>
      <c r="I44" s="6" t="s">
        <v>583</v>
      </c>
      <c r="J44" s="28" t="s">
        <v>319</v>
      </c>
      <c r="K44" s="28" t="s">
        <v>319</v>
      </c>
      <c r="L44" s="28" t="s">
        <v>319</v>
      </c>
      <c r="M44" s="28" t="s">
        <v>319</v>
      </c>
      <c r="N44" s="28" t="s">
        <v>319</v>
      </c>
      <c r="O44" s="28" t="s">
        <v>319</v>
      </c>
      <c r="P44" s="28" t="s">
        <v>319</v>
      </c>
      <c r="Q44" s="5" t="s">
        <v>720</v>
      </c>
      <c r="R44" s="5" t="s">
        <v>663</v>
      </c>
      <c r="S44" s="6" t="s">
        <v>678</v>
      </c>
      <c r="T44" s="5"/>
      <c r="U44" s="266">
        <v>1038</v>
      </c>
      <c r="V44" s="267">
        <v>3200</v>
      </c>
      <c r="W44" s="6" t="s">
        <v>665</v>
      </c>
      <c r="X44" s="5"/>
      <c r="Y44" s="105">
        <v>9.86</v>
      </c>
      <c r="Z44" s="109" t="s">
        <v>1279</v>
      </c>
      <c r="AA44" s="6" t="s">
        <v>963</v>
      </c>
      <c r="AB44" s="6"/>
      <c r="AC44" s="105">
        <v>8</v>
      </c>
      <c r="AD44" s="109" t="s">
        <v>1284</v>
      </c>
      <c r="AE44" s="6" t="s">
        <v>956</v>
      </c>
      <c r="AF44" s="6"/>
      <c r="AG44" s="12">
        <v>38</v>
      </c>
      <c r="AH44" s="6"/>
      <c r="AI44" s="6" t="s">
        <v>965</v>
      </c>
      <c r="AJ44" s="112"/>
      <c r="AK44" s="108">
        <v>3.2</v>
      </c>
      <c r="AL44" s="6"/>
      <c r="AM44" s="6" t="s">
        <v>958</v>
      </c>
      <c r="AN44" s="6"/>
      <c r="AO44" s="5">
        <v>5.2999999999999999E-2</v>
      </c>
      <c r="AP44" s="6"/>
      <c r="AQ44" s="28" t="s">
        <v>319</v>
      </c>
      <c r="AR44" s="28" t="s">
        <v>319</v>
      </c>
      <c r="AS44" s="28" t="s">
        <v>319</v>
      </c>
      <c r="AT44" s="28" t="s">
        <v>319</v>
      </c>
      <c r="AU44" s="28" t="s">
        <v>319</v>
      </c>
      <c r="AV44" s="28" t="s">
        <v>319</v>
      </c>
      <c r="AW44" s="28" t="s">
        <v>319</v>
      </c>
      <c r="AX44" s="28" t="s">
        <v>319</v>
      </c>
      <c r="AY44" s="28" t="s">
        <v>319</v>
      </c>
      <c r="AZ44" s="28" t="s">
        <v>319</v>
      </c>
      <c r="BA44" s="28" t="s">
        <v>319</v>
      </c>
      <c r="BB44" s="6" t="s">
        <v>984</v>
      </c>
      <c r="BC44" s="5" t="s">
        <v>1011</v>
      </c>
      <c r="BD44" s="5">
        <v>80</v>
      </c>
      <c r="BE44" s="6" t="s">
        <v>1010</v>
      </c>
      <c r="BF44" s="6"/>
      <c r="BG44" s="5">
        <v>13.3</v>
      </c>
      <c r="BH44" s="28" t="s">
        <v>319</v>
      </c>
      <c r="BI44" s="28" t="s">
        <v>319</v>
      </c>
      <c r="BJ44" s="28" t="s">
        <v>319</v>
      </c>
      <c r="BK44" s="28" t="s">
        <v>319</v>
      </c>
      <c r="BL44" s="28" t="s">
        <v>319</v>
      </c>
      <c r="BM44" s="28" t="s">
        <v>319</v>
      </c>
      <c r="BN44" s="28" t="s">
        <v>319</v>
      </c>
      <c r="BO44" s="28" t="s">
        <v>319</v>
      </c>
      <c r="BP44" s="28" t="s">
        <v>319</v>
      </c>
      <c r="BQ44" s="28" t="s">
        <v>319</v>
      </c>
      <c r="BR44" s="99" t="s">
        <v>1305</v>
      </c>
      <c r="BS44" s="6" t="s">
        <v>1308</v>
      </c>
      <c r="BT44" s="6"/>
      <c r="BU44" s="5"/>
      <c r="BV44" s="6"/>
      <c r="BW44" s="5"/>
      <c r="BX44" s="99" t="s">
        <v>1299</v>
      </c>
      <c r="BY44" s="6"/>
      <c r="BZ44" s="30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9"/>
      <c r="DB44" s="6"/>
      <c r="DC44" s="30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 t="s">
        <v>319</v>
      </c>
      <c r="DO44" s="28" t="s">
        <v>319</v>
      </c>
      <c r="DP44" s="28" t="s">
        <v>319</v>
      </c>
      <c r="DQ44" s="28" t="s">
        <v>319</v>
      </c>
      <c r="DR44" s="28" t="s">
        <v>319</v>
      </c>
      <c r="DS44" s="28" t="s">
        <v>319</v>
      </c>
      <c r="DT44" s="28" t="s">
        <v>319</v>
      </c>
      <c r="DU44" s="28" t="s">
        <v>319</v>
      </c>
      <c r="DV44" s="28" t="s">
        <v>319</v>
      </c>
      <c r="DW44" s="28" t="s">
        <v>319</v>
      </c>
      <c r="DX44" s="28" t="s">
        <v>319</v>
      </c>
      <c r="DY44" s="28" t="s">
        <v>319</v>
      </c>
      <c r="DZ44" s="28" t="s">
        <v>319</v>
      </c>
      <c r="EA44" s="28" t="s">
        <v>319</v>
      </c>
      <c r="EB44" s="28" t="s">
        <v>319</v>
      </c>
      <c r="EC44" s="28" t="s">
        <v>319</v>
      </c>
      <c r="ED44" s="28" t="s">
        <v>319</v>
      </c>
      <c r="EE44" s="28"/>
      <c r="EF44" s="28" t="s">
        <v>319</v>
      </c>
      <c r="EG44" s="28" t="s">
        <v>319</v>
      </c>
      <c r="EH44" s="28" t="s">
        <v>319</v>
      </c>
      <c r="EI44" s="28" t="s">
        <v>319</v>
      </c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7"/>
      <c r="FK44" s="15" t="s">
        <v>1057</v>
      </c>
      <c r="FL44" s="6"/>
      <c r="FM44" s="94"/>
    </row>
    <row r="45" spans="1:169" s="3" customFormat="1" ht="34.799999999999997" x14ac:dyDescent="0.4">
      <c r="A45" s="93"/>
      <c r="B45" s="93"/>
      <c r="C45" s="26"/>
      <c r="D45" s="27" t="s">
        <v>319</v>
      </c>
      <c r="E45" s="2" t="s">
        <v>334</v>
      </c>
      <c r="F45" s="28" t="s">
        <v>319</v>
      </c>
      <c r="G45" s="28" t="s">
        <v>319</v>
      </c>
      <c r="H45" s="28" t="s">
        <v>319</v>
      </c>
      <c r="I45" s="6" t="s">
        <v>583</v>
      </c>
      <c r="J45" s="28" t="s">
        <v>319</v>
      </c>
      <c r="K45" s="28" t="s">
        <v>319</v>
      </c>
      <c r="L45" s="28" t="s">
        <v>319</v>
      </c>
      <c r="M45" s="28" t="s">
        <v>319</v>
      </c>
      <c r="N45" s="28" t="s">
        <v>319</v>
      </c>
      <c r="O45" s="28" t="s">
        <v>319</v>
      </c>
      <c r="P45" s="28" t="s">
        <v>319</v>
      </c>
      <c r="Q45" s="5" t="s">
        <v>683</v>
      </c>
      <c r="R45" s="5" t="s">
        <v>663</v>
      </c>
      <c r="S45" s="6" t="s">
        <v>678</v>
      </c>
      <c r="T45" s="266"/>
      <c r="U45" s="266">
        <v>1557</v>
      </c>
      <c r="V45" s="267">
        <v>4800</v>
      </c>
      <c r="W45" s="6" t="s">
        <v>665</v>
      </c>
      <c r="X45" s="5"/>
      <c r="Y45" s="105">
        <v>12.5</v>
      </c>
      <c r="Z45" s="5"/>
      <c r="AA45" s="6" t="s">
        <v>963</v>
      </c>
      <c r="AB45" s="6"/>
      <c r="AC45" s="105">
        <v>10</v>
      </c>
      <c r="AD45" s="6"/>
      <c r="AE45" s="6" t="s">
        <v>985</v>
      </c>
      <c r="AF45" s="6"/>
      <c r="AG45" s="12">
        <v>45</v>
      </c>
      <c r="AH45" s="6"/>
      <c r="AI45" s="6" t="s">
        <v>965</v>
      </c>
      <c r="AJ45" s="5"/>
      <c r="AK45" s="108">
        <v>0.59699999999999998</v>
      </c>
      <c r="AL45" s="6"/>
      <c r="AM45" s="6" t="s">
        <v>958</v>
      </c>
      <c r="AN45" s="6"/>
      <c r="AO45" s="5">
        <v>0.09</v>
      </c>
      <c r="AP45" s="6"/>
      <c r="AQ45" s="28" t="s">
        <v>319</v>
      </c>
      <c r="AR45" s="28" t="s">
        <v>319</v>
      </c>
      <c r="AS45" s="28" t="s">
        <v>319</v>
      </c>
      <c r="AT45" s="28" t="s">
        <v>319</v>
      </c>
      <c r="AU45" s="28" t="s">
        <v>319</v>
      </c>
      <c r="AV45" s="28" t="s">
        <v>319</v>
      </c>
      <c r="AW45" s="28" t="s">
        <v>319</v>
      </c>
      <c r="AX45" s="28" t="s">
        <v>319</v>
      </c>
      <c r="AY45" s="28" t="s">
        <v>319</v>
      </c>
      <c r="AZ45" s="28" t="s">
        <v>319</v>
      </c>
      <c r="BA45" s="28" t="s">
        <v>319</v>
      </c>
      <c r="BB45" s="6" t="s">
        <v>984</v>
      </c>
      <c r="BC45" s="5" t="s">
        <v>1009</v>
      </c>
      <c r="BD45" s="106">
        <v>150</v>
      </c>
      <c r="BE45" s="6" t="s">
        <v>1010</v>
      </c>
      <c r="BF45" s="6"/>
      <c r="BG45" s="12">
        <v>21</v>
      </c>
      <c r="BH45" s="28" t="s">
        <v>319</v>
      </c>
      <c r="BI45" s="28" t="s">
        <v>319</v>
      </c>
      <c r="BJ45" s="28" t="s">
        <v>319</v>
      </c>
      <c r="BK45" s="28" t="s">
        <v>319</v>
      </c>
      <c r="BL45" s="28" t="s">
        <v>319</v>
      </c>
      <c r="BM45" s="28" t="s">
        <v>319</v>
      </c>
      <c r="BN45" s="28" t="s">
        <v>319</v>
      </c>
      <c r="BO45" s="28" t="s">
        <v>319</v>
      </c>
      <c r="BP45" s="28" t="s">
        <v>319</v>
      </c>
      <c r="BQ45" s="28" t="s">
        <v>319</v>
      </c>
      <c r="BR45" s="130">
        <v>225.5</v>
      </c>
      <c r="BS45" s="130">
        <v>992.3</v>
      </c>
      <c r="BT45" s="6"/>
      <c r="BU45" s="5"/>
      <c r="BV45" s="6"/>
      <c r="BW45" s="5"/>
      <c r="BX45" s="99" t="s">
        <v>1303</v>
      </c>
      <c r="BY45" s="6"/>
      <c r="BZ45" s="30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9"/>
      <c r="DB45" s="6"/>
      <c r="DC45" s="30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 t="s">
        <v>319</v>
      </c>
      <c r="DO45" s="28" t="s">
        <v>319</v>
      </c>
      <c r="DP45" s="28" t="s">
        <v>319</v>
      </c>
      <c r="DQ45" s="28" t="s">
        <v>319</v>
      </c>
      <c r="DR45" s="28" t="s">
        <v>319</v>
      </c>
      <c r="DS45" s="28" t="s">
        <v>319</v>
      </c>
      <c r="DT45" s="28" t="s">
        <v>319</v>
      </c>
      <c r="DU45" s="28" t="s">
        <v>319</v>
      </c>
      <c r="DV45" s="28" t="s">
        <v>319</v>
      </c>
      <c r="DW45" s="28" t="s">
        <v>319</v>
      </c>
      <c r="DX45" s="28" t="s">
        <v>319</v>
      </c>
      <c r="DY45" s="28" t="s">
        <v>319</v>
      </c>
      <c r="DZ45" s="28" t="s">
        <v>319</v>
      </c>
      <c r="EA45" s="28" t="s">
        <v>319</v>
      </c>
      <c r="EB45" s="28" t="s">
        <v>319</v>
      </c>
      <c r="EC45" s="28" t="s">
        <v>319</v>
      </c>
      <c r="ED45" s="28" t="s">
        <v>319</v>
      </c>
      <c r="EE45" s="28"/>
      <c r="EF45" s="28" t="s">
        <v>319</v>
      </c>
      <c r="EG45" s="28" t="s">
        <v>319</v>
      </c>
      <c r="EH45" s="28" t="s">
        <v>319</v>
      </c>
      <c r="EI45" s="28" t="s">
        <v>319</v>
      </c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7"/>
      <c r="FK45" s="15" t="s">
        <v>1057</v>
      </c>
      <c r="FL45" s="6"/>
      <c r="FM45" s="94"/>
    </row>
    <row r="46" spans="1:169" s="22" customFormat="1" ht="34.799999999999997" x14ac:dyDescent="0.4">
      <c r="A46" s="93"/>
      <c r="B46" s="93"/>
      <c r="C46" s="26"/>
      <c r="D46" s="27"/>
      <c r="E46" s="2" t="s">
        <v>1216</v>
      </c>
      <c r="F46" s="28"/>
      <c r="G46" s="28"/>
      <c r="H46" s="28"/>
      <c r="I46" s="6" t="s">
        <v>1218</v>
      </c>
      <c r="J46" s="28"/>
      <c r="K46" s="28"/>
      <c r="L46" s="28"/>
      <c r="M46" s="28"/>
      <c r="N46" s="28"/>
      <c r="O46" s="28"/>
      <c r="P46" s="28"/>
      <c r="Q46" s="5" t="s">
        <v>1205</v>
      </c>
      <c r="R46" s="5" t="s">
        <v>1206</v>
      </c>
      <c r="S46" s="6" t="s">
        <v>664</v>
      </c>
      <c r="T46" s="215">
        <f>U46/2</f>
        <v>52.25</v>
      </c>
      <c r="U46" s="180">
        <v>104.5</v>
      </c>
      <c r="V46" s="183">
        <f>U46*2</f>
        <v>209</v>
      </c>
      <c r="W46" s="6" t="s">
        <v>1207</v>
      </c>
      <c r="X46" s="114" t="s">
        <v>1208</v>
      </c>
      <c r="Y46" s="105">
        <v>7</v>
      </c>
      <c r="Z46" s="114" t="s">
        <v>1208</v>
      </c>
      <c r="AA46" s="6" t="s">
        <v>959</v>
      </c>
      <c r="AB46" s="112">
        <f>Y46-0.0005</f>
        <v>6.9995000000000003</v>
      </c>
      <c r="AC46" s="114" t="s">
        <v>1209</v>
      </c>
      <c r="AD46" s="112">
        <f>Y46-0.0175</f>
        <v>6.9824999999999999</v>
      </c>
      <c r="AE46" s="6" t="s">
        <v>984</v>
      </c>
      <c r="AF46" s="6"/>
      <c r="AG46" s="12" t="s">
        <v>1211</v>
      </c>
      <c r="AH46" s="6"/>
      <c r="AI46" s="6" t="s">
        <v>1212</v>
      </c>
      <c r="AJ46" s="5"/>
      <c r="AK46" s="108">
        <v>1.7000000000000001E-2</v>
      </c>
      <c r="AL46" s="6"/>
      <c r="AM46" s="6" t="s">
        <v>1213</v>
      </c>
      <c r="AN46" s="6"/>
      <c r="AO46" s="107" t="s">
        <v>1250</v>
      </c>
      <c r="AP46" s="6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6" t="s">
        <v>984</v>
      </c>
      <c r="BC46" s="5"/>
      <c r="BD46" s="106">
        <v>65</v>
      </c>
      <c r="BE46" s="6" t="s">
        <v>1214</v>
      </c>
      <c r="BF46" s="6"/>
      <c r="BG46" s="12">
        <v>12</v>
      </c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131" t="s">
        <v>1264</v>
      </c>
      <c r="BS46" s="132" t="s">
        <v>1264</v>
      </c>
      <c r="BT46" s="95"/>
      <c r="BU46" s="5">
        <v>28.05</v>
      </c>
      <c r="BV46" s="6" t="s">
        <v>1217</v>
      </c>
      <c r="BW46" s="5">
        <v>1.04</v>
      </c>
      <c r="BX46" s="6"/>
      <c r="BY46" s="6"/>
      <c r="BZ46" s="30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9"/>
      <c r="DB46" s="6"/>
      <c r="DC46" s="30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7"/>
      <c r="FK46" s="15" t="s">
        <v>1057</v>
      </c>
      <c r="FL46" s="6"/>
      <c r="FM46" s="94"/>
    </row>
    <row r="47" spans="1:169" s="3" customFormat="1" ht="34.799999999999997" x14ac:dyDescent="0.4">
      <c r="A47" s="93"/>
      <c r="B47" s="93"/>
      <c r="C47" s="26"/>
      <c r="D47" s="27" t="s">
        <v>319</v>
      </c>
      <c r="E47" s="2" t="s">
        <v>335</v>
      </c>
      <c r="F47" s="28" t="s">
        <v>319</v>
      </c>
      <c r="G47" s="28" t="s">
        <v>319</v>
      </c>
      <c r="H47" s="28" t="s">
        <v>319</v>
      </c>
      <c r="I47" s="6" t="s">
        <v>583</v>
      </c>
      <c r="J47" s="28" t="s">
        <v>319</v>
      </c>
      <c r="K47" s="28" t="s">
        <v>319</v>
      </c>
      <c r="L47" s="28" t="s">
        <v>319</v>
      </c>
      <c r="M47" s="28" t="s">
        <v>319</v>
      </c>
      <c r="N47" s="28" t="s">
        <v>319</v>
      </c>
      <c r="O47" s="28" t="s">
        <v>319</v>
      </c>
      <c r="P47" s="28" t="s">
        <v>319</v>
      </c>
      <c r="Q47" s="5" t="s">
        <v>699</v>
      </c>
      <c r="R47" s="5" t="s">
        <v>663</v>
      </c>
      <c r="S47" s="6" t="s">
        <v>678</v>
      </c>
      <c r="T47" s="5"/>
      <c r="U47" s="5"/>
      <c r="V47" s="232">
        <f>2.9*1120</f>
        <v>3248</v>
      </c>
      <c r="W47" s="6" t="s">
        <v>665</v>
      </c>
      <c r="X47" s="5"/>
      <c r="Y47" s="5"/>
      <c r="Z47" s="105">
        <v>19.96</v>
      </c>
      <c r="AA47" s="6" t="s">
        <v>968</v>
      </c>
      <c r="AB47" s="6"/>
      <c r="AC47" s="96"/>
      <c r="AD47" s="6" t="s">
        <v>1481</v>
      </c>
      <c r="AE47" s="6" t="s">
        <v>967</v>
      </c>
      <c r="AF47" s="6"/>
      <c r="AG47" s="12">
        <v>15</v>
      </c>
      <c r="AH47" s="6"/>
      <c r="AI47" s="6" t="s">
        <v>965</v>
      </c>
      <c r="AJ47" s="108"/>
      <c r="AK47" s="108">
        <v>3.2</v>
      </c>
      <c r="AL47" s="6"/>
      <c r="AM47" s="6" t="s">
        <v>958</v>
      </c>
      <c r="AN47" s="6"/>
      <c r="AO47" s="105">
        <v>0.1</v>
      </c>
      <c r="AP47" s="6"/>
      <c r="AQ47" s="28" t="s">
        <v>319</v>
      </c>
      <c r="AR47" s="28" t="s">
        <v>319</v>
      </c>
      <c r="AS47" s="28" t="s">
        <v>319</v>
      </c>
      <c r="AT47" s="28" t="s">
        <v>319</v>
      </c>
      <c r="AU47" s="28" t="s">
        <v>319</v>
      </c>
      <c r="AV47" s="28" t="s">
        <v>319</v>
      </c>
      <c r="AW47" s="28" t="s">
        <v>319</v>
      </c>
      <c r="AX47" s="28" t="s">
        <v>319</v>
      </c>
      <c r="AY47" s="28" t="s">
        <v>319</v>
      </c>
      <c r="AZ47" s="28" t="s">
        <v>319</v>
      </c>
      <c r="BA47" s="28" t="s">
        <v>319</v>
      </c>
      <c r="BB47" s="6" t="s">
        <v>984</v>
      </c>
      <c r="BC47" s="5" t="s">
        <v>1011</v>
      </c>
      <c r="BD47" s="106">
        <v>65</v>
      </c>
      <c r="BE47" s="6" t="s">
        <v>1010</v>
      </c>
      <c r="BF47" s="6"/>
      <c r="BG47" s="12">
        <v>21.5</v>
      </c>
      <c r="BH47" s="28" t="s">
        <v>319</v>
      </c>
      <c r="BI47" s="28" t="s">
        <v>319</v>
      </c>
      <c r="BJ47" s="28" t="s">
        <v>319</v>
      </c>
      <c r="BK47" s="28" t="s">
        <v>319</v>
      </c>
      <c r="BL47" s="28" t="s">
        <v>319</v>
      </c>
      <c r="BM47" s="28" t="s">
        <v>319</v>
      </c>
      <c r="BN47" s="28" t="s">
        <v>319</v>
      </c>
      <c r="BO47" s="28" t="s">
        <v>319</v>
      </c>
      <c r="BP47" s="28" t="s">
        <v>319</v>
      </c>
      <c r="BQ47" s="28" t="s">
        <v>319</v>
      </c>
      <c r="BR47" s="99" t="s">
        <v>1305</v>
      </c>
      <c r="BS47" s="133">
        <v>1120</v>
      </c>
      <c r="BT47" s="6"/>
      <c r="BU47" s="5"/>
      <c r="BV47" s="6"/>
      <c r="BW47" s="5"/>
      <c r="BX47" s="6"/>
      <c r="BY47" s="6"/>
      <c r="BZ47" s="30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9"/>
      <c r="DB47" s="6"/>
      <c r="DC47" s="30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 t="s">
        <v>319</v>
      </c>
      <c r="DO47" s="28" t="s">
        <v>319</v>
      </c>
      <c r="DP47" s="28" t="s">
        <v>319</v>
      </c>
      <c r="DQ47" s="28" t="s">
        <v>319</v>
      </c>
      <c r="DR47" s="28" t="s">
        <v>319</v>
      </c>
      <c r="DS47" s="28" t="s">
        <v>319</v>
      </c>
      <c r="DT47" s="28" t="s">
        <v>319</v>
      </c>
      <c r="DU47" s="28" t="s">
        <v>319</v>
      </c>
      <c r="DV47" s="28" t="s">
        <v>319</v>
      </c>
      <c r="DW47" s="28" t="s">
        <v>319</v>
      </c>
      <c r="DX47" s="28" t="s">
        <v>319</v>
      </c>
      <c r="DY47" s="28" t="s">
        <v>319</v>
      </c>
      <c r="DZ47" s="28" t="s">
        <v>319</v>
      </c>
      <c r="EA47" s="28" t="s">
        <v>319</v>
      </c>
      <c r="EB47" s="28" t="s">
        <v>319</v>
      </c>
      <c r="EC47" s="28" t="s">
        <v>319</v>
      </c>
      <c r="ED47" s="28" t="s">
        <v>319</v>
      </c>
      <c r="EE47" s="28"/>
      <c r="EF47" s="28" t="s">
        <v>319</v>
      </c>
      <c r="EG47" s="28" t="s">
        <v>319</v>
      </c>
      <c r="EH47" s="28" t="s">
        <v>319</v>
      </c>
      <c r="EI47" s="28" t="s">
        <v>319</v>
      </c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7"/>
      <c r="FK47" s="15" t="s">
        <v>1058</v>
      </c>
      <c r="FL47" s="6"/>
      <c r="FM47" s="94"/>
    </row>
    <row r="48" spans="1:169" s="3" customFormat="1" ht="34.799999999999997" x14ac:dyDescent="0.4">
      <c r="A48" s="93"/>
      <c r="B48" s="93"/>
      <c r="C48" s="26"/>
      <c r="D48" s="27" t="s">
        <v>319</v>
      </c>
      <c r="E48" s="2" t="s">
        <v>538</v>
      </c>
      <c r="F48" s="28" t="s">
        <v>319</v>
      </c>
      <c r="G48" s="28" t="s">
        <v>319</v>
      </c>
      <c r="H48" s="28" t="s">
        <v>319</v>
      </c>
      <c r="I48" s="6" t="s">
        <v>584</v>
      </c>
      <c r="J48" s="28" t="s">
        <v>319</v>
      </c>
      <c r="K48" s="28" t="s">
        <v>319</v>
      </c>
      <c r="L48" s="28" t="s">
        <v>319</v>
      </c>
      <c r="M48" s="28" t="s">
        <v>319</v>
      </c>
      <c r="N48" s="28" t="s">
        <v>319</v>
      </c>
      <c r="O48" s="28" t="s">
        <v>319</v>
      </c>
      <c r="P48" s="28" t="s">
        <v>319</v>
      </c>
      <c r="Q48" s="5" t="s">
        <v>720</v>
      </c>
      <c r="R48" s="5" t="s">
        <v>663</v>
      </c>
      <c r="S48" s="6" t="s">
        <v>669</v>
      </c>
      <c r="T48" s="107" t="s">
        <v>1306</v>
      </c>
      <c r="U48" s="114" t="s">
        <v>1284</v>
      </c>
      <c r="V48" s="232">
        <f>1.5*1550</f>
        <v>2325</v>
      </c>
      <c r="W48" s="6" t="s">
        <v>665</v>
      </c>
      <c r="X48" s="5"/>
      <c r="Y48" s="105">
        <v>9.86</v>
      </c>
      <c r="Z48" s="105"/>
      <c r="AA48" s="6" t="s">
        <v>982</v>
      </c>
      <c r="AB48" s="6"/>
      <c r="AC48" s="105">
        <v>8</v>
      </c>
      <c r="AD48" s="6"/>
      <c r="AE48" s="6" t="s">
        <v>984</v>
      </c>
      <c r="AF48" s="6"/>
      <c r="AG48" s="12" t="s">
        <v>986</v>
      </c>
      <c r="AH48" s="6"/>
      <c r="AI48" s="6" t="s">
        <v>965</v>
      </c>
      <c r="AJ48" s="108"/>
      <c r="AK48" s="108">
        <v>3.2</v>
      </c>
      <c r="AL48" s="6"/>
      <c r="AM48" s="6" t="s">
        <v>958</v>
      </c>
      <c r="AN48" s="6"/>
      <c r="AO48" s="5">
        <v>5.2999999999999999E-2</v>
      </c>
      <c r="AP48" s="6"/>
      <c r="AQ48" s="28" t="s">
        <v>319</v>
      </c>
      <c r="AR48" s="28" t="s">
        <v>319</v>
      </c>
      <c r="AS48" s="28" t="s">
        <v>319</v>
      </c>
      <c r="AT48" s="28" t="s">
        <v>319</v>
      </c>
      <c r="AU48" s="28" t="s">
        <v>319</v>
      </c>
      <c r="AV48" s="28" t="s">
        <v>319</v>
      </c>
      <c r="AW48" s="28" t="s">
        <v>319</v>
      </c>
      <c r="AX48" s="28" t="s">
        <v>319</v>
      </c>
      <c r="AY48" s="28" t="s">
        <v>319</v>
      </c>
      <c r="AZ48" s="28" t="s">
        <v>319</v>
      </c>
      <c r="BA48" s="28" t="s">
        <v>319</v>
      </c>
      <c r="BB48" s="6" t="s">
        <v>984</v>
      </c>
      <c r="BC48" s="5" t="s">
        <v>1011</v>
      </c>
      <c r="BD48" s="106">
        <v>80</v>
      </c>
      <c r="BE48" s="6" t="s">
        <v>1010</v>
      </c>
      <c r="BF48" s="6"/>
      <c r="BG48" s="12">
        <v>13.3</v>
      </c>
      <c r="BH48" s="28" t="s">
        <v>319</v>
      </c>
      <c r="BI48" s="28" t="s">
        <v>319</v>
      </c>
      <c r="BJ48" s="28" t="s">
        <v>319</v>
      </c>
      <c r="BK48" s="28" t="s">
        <v>319</v>
      </c>
      <c r="BL48" s="28" t="s">
        <v>319</v>
      </c>
      <c r="BM48" s="28" t="s">
        <v>319</v>
      </c>
      <c r="BN48" s="28" t="s">
        <v>319</v>
      </c>
      <c r="BO48" s="28" t="s">
        <v>319</v>
      </c>
      <c r="BP48" s="28" t="s">
        <v>319</v>
      </c>
      <c r="BQ48" s="28" t="s">
        <v>319</v>
      </c>
      <c r="BR48" s="99" t="s">
        <v>1307</v>
      </c>
      <c r="BS48" s="6" t="s">
        <v>1308</v>
      </c>
      <c r="BT48" s="6"/>
      <c r="BU48" s="5"/>
      <c r="BV48" s="6"/>
      <c r="BW48" s="5"/>
      <c r="BX48" s="99" t="s">
        <v>1299</v>
      </c>
      <c r="BY48" s="6"/>
      <c r="BZ48" s="30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9"/>
      <c r="DB48" s="6"/>
      <c r="DC48" s="30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 t="s">
        <v>319</v>
      </c>
      <c r="DO48" s="28" t="s">
        <v>319</v>
      </c>
      <c r="DP48" s="28" t="s">
        <v>319</v>
      </c>
      <c r="DQ48" s="28" t="s">
        <v>319</v>
      </c>
      <c r="DR48" s="28" t="s">
        <v>319</v>
      </c>
      <c r="DS48" s="28" t="s">
        <v>319</v>
      </c>
      <c r="DT48" s="28" t="s">
        <v>319</v>
      </c>
      <c r="DU48" s="28" t="s">
        <v>319</v>
      </c>
      <c r="DV48" s="28" t="s">
        <v>319</v>
      </c>
      <c r="DW48" s="28" t="s">
        <v>319</v>
      </c>
      <c r="DX48" s="28" t="s">
        <v>319</v>
      </c>
      <c r="DY48" s="28" t="s">
        <v>319</v>
      </c>
      <c r="DZ48" s="28" t="s">
        <v>319</v>
      </c>
      <c r="EA48" s="28" t="s">
        <v>319</v>
      </c>
      <c r="EB48" s="28" t="s">
        <v>319</v>
      </c>
      <c r="EC48" s="28" t="s">
        <v>319</v>
      </c>
      <c r="ED48" s="28" t="s">
        <v>319</v>
      </c>
      <c r="EE48" s="28"/>
      <c r="EF48" s="28" t="s">
        <v>319</v>
      </c>
      <c r="EG48" s="28" t="s">
        <v>319</v>
      </c>
      <c r="EH48" s="28" t="s">
        <v>319</v>
      </c>
      <c r="EI48" s="28" t="s">
        <v>319</v>
      </c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7"/>
      <c r="FK48" s="15" t="s">
        <v>1058</v>
      </c>
      <c r="FL48" s="6"/>
      <c r="FM48" s="97"/>
    </row>
    <row r="49" spans="1:169" s="22" customFormat="1" ht="34.799999999999997" x14ac:dyDescent="0.4">
      <c r="A49" s="93"/>
      <c r="B49" s="93"/>
      <c r="C49" s="26"/>
      <c r="D49" s="27"/>
      <c r="E49" s="2" t="s">
        <v>1215</v>
      </c>
      <c r="F49" s="28"/>
      <c r="G49" s="28"/>
      <c r="H49" s="28"/>
      <c r="I49" s="6" t="s">
        <v>1219</v>
      </c>
      <c r="J49" s="28"/>
      <c r="K49" s="28"/>
      <c r="L49" s="28"/>
      <c r="M49" s="28"/>
      <c r="N49" s="28"/>
      <c r="O49" s="28"/>
      <c r="P49" s="28"/>
      <c r="Q49" s="5" t="s">
        <v>1205</v>
      </c>
      <c r="R49" s="5" t="s">
        <v>1206</v>
      </c>
      <c r="S49" s="6" t="s">
        <v>664</v>
      </c>
      <c r="T49" s="215">
        <f>U49/2</f>
        <v>108.5</v>
      </c>
      <c r="U49" s="183">
        <v>217</v>
      </c>
      <c r="V49" s="183">
        <f>U49*2</f>
        <v>434</v>
      </c>
      <c r="W49" s="6" t="s">
        <v>1207</v>
      </c>
      <c r="X49" s="114" t="s">
        <v>1208</v>
      </c>
      <c r="Y49" s="105">
        <v>7</v>
      </c>
      <c r="Z49" s="114" t="s">
        <v>1208</v>
      </c>
      <c r="AA49" s="6" t="s">
        <v>959</v>
      </c>
      <c r="AB49" s="112">
        <f>Y49-0.0005</f>
        <v>6.9995000000000003</v>
      </c>
      <c r="AC49" s="114" t="s">
        <v>1209</v>
      </c>
      <c r="AD49" s="112">
        <f>Y49-0.0175</f>
        <v>6.9824999999999999</v>
      </c>
      <c r="AE49" s="6" t="s">
        <v>984</v>
      </c>
      <c r="AF49" s="6"/>
      <c r="AG49" s="12" t="s">
        <v>1211</v>
      </c>
      <c r="AH49" s="6"/>
      <c r="AI49" s="6" t="s">
        <v>1212</v>
      </c>
      <c r="AJ49" s="108"/>
      <c r="AK49" s="108">
        <v>1.7000000000000001E-2</v>
      </c>
      <c r="AL49" s="6"/>
      <c r="AM49" s="6" t="s">
        <v>1213</v>
      </c>
      <c r="AN49" s="6"/>
      <c r="AO49" s="107" t="s">
        <v>1250</v>
      </c>
      <c r="AP49" s="6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6" t="s">
        <v>984</v>
      </c>
      <c r="BC49" s="5"/>
      <c r="BD49" s="106">
        <v>65</v>
      </c>
      <c r="BE49" s="6" t="s">
        <v>1214</v>
      </c>
      <c r="BF49" s="6"/>
      <c r="BG49" s="12">
        <v>12</v>
      </c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131" t="s">
        <v>1264</v>
      </c>
      <c r="BS49" s="132" t="s">
        <v>1264</v>
      </c>
      <c r="BT49" s="6"/>
      <c r="BU49" s="5">
        <v>28.05</v>
      </c>
      <c r="BV49" s="6" t="s">
        <v>1217</v>
      </c>
      <c r="BW49" s="5">
        <v>1.04</v>
      </c>
      <c r="BX49" s="6"/>
      <c r="BY49" s="6"/>
      <c r="BZ49" s="30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9"/>
      <c r="DB49" s="6"/>
      <c r="DC49" s="30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7"/>
      <c r="FK49" s="15" t="s">
        <v>1057</v>
      </c>
      <c r="FL49" s="6"/>
      <c r="FM49" s="94"/>
    </row>
    <row r="50" spans="1:169" s="3" customFormat="1" ht="52.2" x14ac:dyDescent="0.4">
      <c r="A50" s="93"/>
      <c r="B50" s="93"/>
      <c r="C50" s="26"/>
      <c r="D50" s="27" t="s">
        <v>319</v>
      </c>
      <c r="E50" s="2" t="s">
        <v>1343</v>
      </c>
      <c r="F50" s="28" t="s">
        <v>319</v>
      </c>
      <c r="G50" s="28" t="s">
        <v>319</v>
      </c>
      <c r="H50" s="28" t="s">
        <v>319</v>
      </c>
      <c r="I50" s="6" t="s">
        <v>585</v>
      </c>
      <c r="J50" s="28" t="s">
        <v>319</v>
      </c>
      <c r="K50" s="28" t="s">
        <v>319</v>
      </c>
      <c r="L50" s="28" t="s">
        <v>319</v>
      </c>
      <c r="M50" s="28" t="s">
        <v>319</v>
      </c>
      <c r="N50" s="28" t="s">
        <v>319</v>
      </c>
      <c r="O50" s="28" t="s">
        <v>319</v>
      </c>
      <c r="P50" s="28" t="s">
        <v>319</v>
      </c>
      <c r="Q50" s="5" t="s">
        <v>673</v>
      </c>
      <c r="R50" s="5" t="s">
        <v>667</v>
      </c>
      <c r="S50" s="6" t="s">
        <v>672</v>
      </c>
      <c r="T50" s="107" t="s">
        <v>680</v>
      </c>
      <c r="U50" s="134">
        <v>318507</v>
      </c>
      <c r="V50" s="107" t="s">
        <v>680</v>
      </c>
      <c r="W50" s="6" t="s">
        <v>665</v>
      </c>
      <c r="X50" s="5"/>
      <c r="Y50" s="5">
        <v>2.94</v>
      </c>
      <c r="Z50" s="5"/>
      <c r="AA50" s="6" t="s">
        <v>963</v>
      </c>
      <c r="AB50" s="107"/>
      <c r="AC50" s="135">
        <v>0.62</v>
      </c>
      <c r="AD50" s="5"/>
      <c r="AE50" s="6" t="s">
        <v>956</v>
      </c>
      <c r="AF50" s="6"/>
      <c r="AG50" s="12">
        <v>59.9</v>
      </c>
      <c r="AH50" s="6"/>
      <c r="AI50" s="6" t="s">
        <v>965</v>
      </c>
      <c r="AJ50" s="108"/>
      <c r="AK50" s="5">
        <v>0.01</v>
      </c>
      <c r="AL50" s="6"/>
      <c r="AM50" s="6" t="s">
        <v>1213</v>
      </c>
      <c r="AN50" s="6"/>
      <c r="AO50" s="5"/>
      <c r="AP50" s="6"/>
      <c r="AQ50" s="28" t="s">
        <v>319</v>
      </c>
      <c r="AR50" s="28" t="s">
        <v>319</v>
      </c>
      <c r="AS50" s="28" t="s">
        <v>319</v>
      </c>
      <c r="AT50" s="28" t="s">
        <v>319</v>
      </c>
      <c r="AU50" s="28" t="s">
        <v>319</v>
      </c>
      <c r="AV50" s="28" t="s">
        <v>319</v>
      </c>
      <c r="AW50" s="28" t="s">
        <v>319</v>
      </c>
      <c r="AX50" s="28" t="s">
        <v>319</v>
      </c>
      <c r="AY50" s="28" t="s">
        <v>319</v>
      </c>
      <c r="AZ50" s="28" t="s">
        <v>319</v>
      </c>
      <c r="BA50" s="28" t="s">
        <v>319</v>
      </c>
      <c r="BB50" s="6" t="s">
        <v>984</v>
      </c>
      <c r="BC50" s="5" t="s">
        <v>1009</v>
      </c>
      <c r="BD50" s="106" t="s">
        <v>1331</v>
      </c>
      <c r="BE50" s="6" t="s">
        <v>1010</v>
      </c>
      <c r="BF50" s="6" t="s">
        <v>1328</v>
      </c>
      <c r="BG50" s="12">
        <v>14.7</v>
      </c>
      <c r="BH50" s="28" t="s">
        <v>319</v>
      </c>
      <c r="BI50" s="28" t="s">
        <v>319</v>
      </c>
      <c r="BJ50" s="28" t="s">
        <v>319</v>
      </c>
      <c r="BK50" s="28" t="s">
        <v>319</v>
      </c>
      <c r="BL50" s="28" t="s">
        <v>319</v>
      </c>
      <c r="BM50" s="28" t="s">
        <v>319</v>
      </c>
      <c r="BN50" s="28" t="s">
        <v>319</v>
      </c>
      <c r="BO50" s="28" t="s">
        <v>319</v>
      </c>
      <c r="BP50" s="28" t="s">
        <v>319</v>
      </c>
      <c r="BQ50" s="28" t="s">
        <v>319</v>
      </c>
      <c r="BR50" s="5"/>
      <c r="BS50" s="5"/>
      <c r="BT50" s="6"/>
      <c r="BU50" s="5">
        <v>27.2</v>
      </c>
      <c r="BV50" s="6" t="s">
        <v>1332</v>
      </c>
      <c r="BW50" s="5">
        <v>1.22</v>
      </c>
      <c r="BX50" s="6"/>
      <c r="BY50" s="6"/>
      <c r="BZ50" s="30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9"/>
      <c r="DB50" s="6"/>
      <c r="DC50" s="30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 t="s">
        <v>319</v>
      </c>
      <c r="DO50" s="28" t="s">
        <v>319</v>
      </c>
      <c r="DP50" s="28" t="s">
        <v>319</v>
      </c>
      <c r="DQ50" s="28" t="s">
        <v>319</v>
      </c>
      <c r="DR50" s="28" t="s">
        <v>319</v>
      </c>
      <c r="DS50" s="28" t="s">
        <v>319</v>
      </c>
      <c r="DT50" s="28" t="s">
        <v>319</v>
      </c>
      <c r="DU50" s="28" t="s">
        <v>319</v>
      </c>
      <c r="DV50" s="28" t="s">
        <v>319</v>
      </c>
      <c r="DW50" s="28" t="s">
        <v>319</v>
      </c>
      <c r="DX50" s="28" t="s">
        <v>319</v>
      </c>
      <c r="DY50" s="28" t="s">
        <v>319</v>
      </c>
      <c r="DZ50" s="28" t="s">
        <v>319</v>
      </c>
      <c r="EA50" s="28" t="s">
        <v>319</v>
      </c>
      <c r="EB50" s="28" t="s">
        <v>319</v>
      </c>
      <c r="EC50" s="28" t="s">
        <v>319</v>
      </c>
      <c r="ED50" s="28" t="s">
        <v>319</v>
      </c>
      <c r="EE50" s="28"/>
      <c r="EF50" s="28" t="s">
        <v>319</v>
      </c>
      <c r="EG50" s="28" t="s">
        <v>319</v>
      </c>
      <c r="EH50" s="28" t="s">
        <v>319</v>
      </c>
      <c r="EI50" s="28" t="s">
        <v>319</v>
      </c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7"/>
      <c r="FK50" s="15" t="s">
        <v>1056</v>
      </c>
      <c r="FL50" s="6"/>
      <c r="FM50" s="94"/>
    </row>
    <row r="51" spans="1:169" s="3" customFormat="1" ht="52.2" x14ac:dyDescent="0.4">
      <c r="A51" s="93"/>
      <c r="B51" s="93"/>
      <c r="C51" s="26"/>
      <c r="D51" s="27" t="s">
        <v>319</v>
      </c>
      <c r="E51" s="2" t="s">
        <v>1344</v>
      </c>
      <c r="F51" s="28" t="s">
        <v>319</v>
      </c>
      <c r="G51" s="28" t="s">
        <v>319</v>
      </c>
      <c r="H51" s="28" t="s">
        <v>319</v>
      </c>
      <c r="I51" s="6" t="s">
        <v>585</v>
      </c>
      <c r="J51" s="28" t="s">
        <v>319</v>
      </c>
      <c r="K51" s="28" t="s">
        <v>319</v>
      </c>
      <c r="L51" s="28" t="s">
        <v>319</v>
      </c>
      <c r="M51" s="28" t="s">
        <v>319</v>
      </c>
      <c r="N51" s="28" t="s">
        <v>319</v>
      </c>
      <c r="O51" s="28" t="s">
        <v>319</v>
      </c>
      <c r="P51" s="28" t="s">
        <v>319</v>
      </c>
      <c r="Q51" s="5" t="s">
        <v>673</v>
      </c>
      <c r="R51" s="5" t="s">
        <v>667</v>
      </c>
      <c r="S51" s="6" t="s">
        <v>664</v>
      </c>
      <c r="T51" s="107" t="s">
        <v>680</v>
      </c>
      <c r="U51" s="134">
        <v>698454</v>
      </c>
      <c r="V51" s="107" t="s">
        <v>680</v>
      </c>
      <c r="W51" s="6" t="s">
        <v>665</v>
      </c>
      <c r="X51" s="5"/>
      <c r="Y51" s="5">
        <v>13.61</v>
      </c>
      <c r="Z51" s="5"/>
      <c r="AA51" s="6" t="s">
        <v>955</v>
      </c>
      <c r="AB51" s="107"/>
      <c r="AC51" s="135">
        <v>9.99</v>
      </c>
      <c r="AD51" s="5"/>
      <c r="AE51" s="6" t="s">
        <v>956</v>
      </c>
      <c r="AF51" s="6"/>
      <c r="AG51" s="12">
        <v>33.700000000000003</v>
      </c>
      <c r="AH51" s="6"/>
      <c r="AI51" s="6" t="s">
        <v>957</v>
      </c>
      <c r="AJ51" s="108"/>
      <c r="AK51" s="5">
        <v>0.01</v>
      </c>
      <c r="AL51" s="6"/>
      <c r="AM51" s="6" t="s">
        <v>1213</v>
      </c>
      <c r="AN51" s="6"/>
      <c r="AO51" s="5"/>
      <c r="AP51" s="6"/>
      <c r="AQ51" s="28" t="s">
        <v>319</v>
      </c>
      <c r="AR51" s="28" t="s">
        <v>319</v>
      </c>
      <c r="AS51" s="28" t="s">
        <v>319</v>
      </c>
      <c r="AT51" s="28" t="s">
        <v>319</v>
      </c>
      <c r="AU51" s="28" t="s">
        <v>319</v>
      </c>
      <c r="AV51" s="28" t="s">
        <v>319</v>
      </c>
      <c r="AW51" s="28" t="s">
        <v>319</v>
      </c>
      <c r="AX51" s="28" t="s">
        <v>319</v>
      </c>
      <c r="AY51" s="28" t="s">
        <v>319</v>
      </c>
      <c r="AZ51" s="28" t="s">
        <v>319</v>
      </c>
      <c r="BA51" s="28" t="s">
        <v>319</v>
      </c>
      <c r="BB51" s="6" t="s">
        <v>984</v>
      </c>
      <c r="BC51" s="5" t="s">
        <v>680</v>
      </c>
      <c r="BD51" s="106" t="s">
        <v>1331</v>
      </c>
      <c r="BE51" s="6" t="s">
        <v>1008</v>
      </c>
      <c r="BF51" s="6" t="s">
        <v>1328</v>
      </c>
      <c r="BG51" s="12">
        <v>14.7</v>
      </c>
      <c r="BH51" s="28" t="s">
        <v>319</v>
      </c>
      <c r="BI51" s="28" t="s">
        <v>319</v>
      </c>
      <c r="BJ51" s="28" t="s">
        <v>319</v>
      </c>
      <c r="BK51" s="28" t="s">
        <v>319</v>
      </c>
      <c r="BL51" s="28" t="s">
        <v>319</v>
      </c>
      <c r="BM51" s="28" t="s">
        <v>319</v>
      </c>
      <c r="BN51" s="28" t="s">
        <v>319</v>
      </c>
      <c r="BO51" s="28" t="s">
        <v>319</v>
      </c>
      <c r="BP51" s="28" t="s">
        <v>319</v>
      </c>
      <c r="BQ51" s="28" t="s">
        <v>319</v>
      </c>
      <c r="BR51" s="5"/>
      <c r="BS51" s="5"/>
      <c r="BT51" s="6"/>
      <c r="BU51" s="5">
        <v>29.2</v>
      </c>
      <c r="BV51" s="6" t="s">
        <v>1333</v>
      </c>
      <c r="BW51" s="5">
        <v>1.21</v>
      </c>
      <c r="BX51" s="6"/>
      <c r="BY51" s="6"/>
      <c r="BZ51" s="30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9"/>
      <c r="DB51" s="6"/>
      <c r="DC51" s="30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 t="s">
        <v>319</v>
      </c>
      <c r="DO51" s="28" t="s">
        <v>319</v>
      </c>
      <c r="DP51" s="28" t="s">
        <v>319</v>
      </c>
      <c r="DQ51" s="28" t="s">
        <v>319</v>
      </c>
      <c r="DR51" s="28" t="s">
        <v>319</v>
      </c>
      <c r="DS51" s="28" t="s">
        <v>319</v>
      </c>
      <c r="DT51" s="28" t="s">
        <v>319</v>
      </c>
      <c r="DU51" s="28" t="s">
        <v>319</v>
      </c>
      <c r="DV51" s="28" t="s">
        <v>319</v>
      </c>
      <c r="DW51" s="28" t="s">
        <v>319</v>
      </c>
      <c r="DX51" s="28" t="s">
        <v>319</v>
      </c>
      <c r="DY51" s="28" t="s">
        <v>319</v>
      </c>
      <c r="DZ51" s="28" t="s">
        <v>319</v>
      </c>
      <c r="EA51" s="28" t="s">
        <v>319</v>
      </c>
      <c r="EB51" s="28" t="s">
        <v>319</v>
      </c>
      <c r="EC51" s="28" t="s">
        <v>319</v>
      </c>
      <c r="ED51" s="28" t="s">
        <v>319</v>
      </c>
      <c r="EE51" s="28"/>
      <c r="EF51" s="28" t="s">
        <v>319</v>
      </c>
      <c r="EG51" s="28" t="s">
        <v>319</v>
      </c>
      <c r="EH51" s="28" t="s">
        <v>319</v>
      </c>
      <c r="EI51" s="28" t="s">
        <v>319</v>
      </c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7"/>
      <c r="FK51" s="15" t="s">
        <v>1056</v>
      </c>
      <c r="FL51" s="6"/>
      <c r="FM51" s="94"/>
    </row>
    <row r="52" spans="1:169" s="3" customFormat="1" ht="52.2" x14ac:dyDescent="0.4">
      <c r="A52" s="93"/>
      <c r="B52" s="93"/>
      <c r="C52" s="26"/>
      <c r="D52" s="27" t="s">
        <v>319</v>
      </c>
      <c r="E52" s="2" t="s">
        <v>1345</v>
      </c>
      <c r="F52" s="28" t="s">
        <v>319</v>
      </c>
      <c r="G52" s="28" t="s">
        <v>319</v>
      </c>
      <c r="H52" s="28" t="s">
        <v>319</v>
      </c>
      <c r="I52" s="6" t="s">
        <v>585</v>
      </c>
      <c r="J52" s="28" t="s">
        <v>319</v>
      </c>
      <c r="K52" s="28" t="s">
        <v>319</v>
      </c>
      <c r="L52" s="28" t="s">
        <v>319</v>
      </c>
      <c r="M52" s="28" t="s">
        <v>319</v>
      </c>
      <c r="N52" s="28" t="s">
        <v>319</v>
      </c>
      <c r="O52" s="28" t="s">
        <v>319</v>
      </c>
      <c r="P52" s="28" t="s">
        <v>319</v>
      </c>
      <c r="Q52" s="5" t="s">
        <v>673</v>
      </c>
      <c r="R52" s="5" t="s">
        <v>667</v>
      </c>
      <c r="S52" s="6" t="s">
        <v>664</v>
      </c>
      <c r="T52" s="107" t="s">
        <v>680</v>
      </c>
      <c r="U52" s="134">
        <v>212338</v>
      </c>
      <c r="V52" s="107" t="s">
        <v>680</v>
      </c>
      <c r="W52" s="6" t="s">
        <v>665</v>
      </c>
      <c r="X52" s="5"/>
      <c r="Y52" s="5">
        <v>3.46</v>
      </c>
      <c r="Z52" s="5"/>
      <c r="AA52" s="6" t="s">
        <v>955</v>
      </c>
      <c r="AB52" s="107"/>
      <c r="AC52" s="135">
        <v>1.4</v>
      </c>
      <c r="AD52" s="5"/>
      <c r="AE52" s="6" t="s">
        <v>956</v>
      </c>
      <c r="AF52" s="6"/>
      <c r="AG52" s="12">
        <v>59.9</v>
      </c>
      <c r="AH52" s="6"/>
      <c r="AI52" s="6" t="s">
        <v>957</v>
      </c>
      <c r="AJ52" s="108"/>
      <c r="AK52" s="5">
        <v>0.01</v>
      </c>
      <c r="AL52" s="6"/>
      <c r="AM52" s="6" t="s">
        <v>1213</v>
      </c>
      <c r="AN52" s="6"/>
      <c r="AO52" s="5"/>
      <c r="AP52" s="6"/>
      <c r="AQ52" s="28" t="s">
        <v>319</v>
      </c>
      <c r="AR52" s="28" t="s">
        <v>319</v>
      </c>
      <c r="AS52" s="28" t="s">
        <v>319</v>
      </c>
      <c r="AT52" s="28" t="s">
        <v>319</v>
      </c>
      <c r="AU52" s="28" t="s">
        <v>319</v>
      </c>
      <c r="AV52" s="28" t="s">
        <v>319</v>
      </c>
      <c r="AW52" s="28" t="s">
        <v>319</v>
      </c>
      <c r="AX52" s="28" t="s">
        <v>319</v>
      </c>
      <c r="AY52" s="28" t="s">
        <v>319</v>
      </c>
      <c r="AZ52" s="28" t="s">
        <v>319</v>
      </c>
      <c r="BA52" s="28" t="s">
        <v>319</v>
      </c>
      <c r="BB52" s="6" t="s">
        <v>984</v>
      </c>
      <c r="BC52" s="5" t="s">
        <v>680</v>
      </c>
      <c r="BD52" s="106" t="s">
        <v>1331</v>
      </c>
      <c r="BE52" s="6" t="s">
        <v>1008</v>
      </c>
      <c r="BF52" s="6" t="s">
        <v>1328</v>
      </c>
      <c r="BG52" s="12">
        <v>14.7</v>
      </c>
      <c r="BH52" s="28" t="s">
        <v>319</v>
      </c>
      <c r="BI52" s="28" t="s">
        <v>319</v>
      </c>
      <c r="BJ52" s="28" t="s">
        <v>319</v>
      </c>
      <c r="BK52" s="28" t="s">
        <v>319</v>
      </c>
      <c r="BL52" s="28" t="s">
        <v>319</v>
      </c>
      <c r="BM52" s="28" t="s">
        <v>319</v>
      </c>
      <c r="BN52" s="28" t="s">
        <v>319</v>
      </c>
      <c r="BO52" s="28" t="s">
        <v>319</v>
      </c>
      <c r="BP52" s="28" t="s">
        <v>319</v>
      </c>
      <c r="BQ52" s="28" t="s">
        <v>319</v>
      </c>
      <c r="BR52" s="5"/>
      <c r="BS52" s="5"/>
      <c r="BT52" s="6"/>
      <c r="BU52" s="5">
        <v>27.2</v>
      </c>
      <c r="BV52" s="6" t="s">
        <v>1332</v>
      </c>
      <c r="BW52" s="5">
        <v>1.22</v>
      </c>
      <c r="BX52" s="6"/>
      <c r="BY52" s="6"/>
      <c r="BZ52" s="30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9"/>
      <c r="DB52" s="6"/>
      <c r="DC52" s="30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 t="s">
        <v>319</v>
      </c>
      <c r="DO52" s="28" t="s">
        <v>319</v>
      </c>
      <c r="DP52" s="28" t="s">
        <v>319</v>
      </c>
      <c r="DQ52" s="28" t="s">
        <v>319</v>
      </c>
      <c r="DR52" s="28" t="s">
        <v>319</v>
      </c>
      <c r="DS52" s="28" t="s">
        <v>319</v>
      </c>
      <c r="DT52" s="28" t="s">
        <v>319</v>
      </c>
      <c r="DU52" s="28" t="s">
        <v>319</v>
      </c>
      <c r="DV52" s="28" t="s">
        <v>319</v>
      </c>
      <c r="DW52" s="28" t="s">
        <v>319</v>
      </c>
      <c r="DX52" s="28" t="s">
        <v>319</v>
      </c>
      <c r="DY52" s="28" t="s">
        <v>319</v>
      </c>
      <c r="DZ52" s="28" t="s">
        <v>319</v>
      </c>
      <c r="EA52" s="28" t="s">
        <v>319</v>
      </c>
      <c r="EB52" s="28" t="s">
        <v>319</v>
      </c>
      <c r="EC52" s="28" t="s">
        <v>319</v>
      </c>
      <c r="ED52" s="28" t="s">
        <v>319</v>
      </c>
      <c r="EE52" s="28"/>
      <c r="EF52" s="28" t="s">
        <v>319</v>
      </c>
      <c r="EG52" s="28" t="s">
        <v>319</v>
      </c>
      <c r="EH52" s="28" t="s">
        <v>319</v>
      </c>
      <c r="EI52" s="28" t="s">
        <v>319</v>
      </c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7"/>
      <c r="FK52" s="15" t="s">
        <v>1056</v>
      </c>
      <c r="FL52" s="6"/>
      <c r="FM52" s="94"/>
    </row>
    <row r="53" spans="1:169" s="3" customFormat="1" ht="52.2" x14ac:dyDescent="0.4">
      <c r="A53" s="93"/>
      <c r="B53" s="93"/>
      <c r="C53" s="26"/>
      <c r="D53" s="27" t="s">
        <v>319</v>
      </c>
      <c r="E53" s="2" t="s">
        <v>1346</v>
      </c>
      <c r="F53" s="28" t="s">
        <v>319</v>
      </c>
      <c r="G53" s="28" t="s">
        <v>319</v>
      </c>
      <c r="H53" s="28" t="s">
        <v>319</v>
      </c>
      <c r="I53" s="6" t="s">
        <v>585</v>
      </c>
      <c r="J53" s="28" t="s">
        <v>319</v>
      </c>
      <c r="K53" s="28" t="s">
        <v>319</v>
      </c>
      <c r="L53" s="28" t="s">
        <v>319</v>
      </c>
      <c r="M53" s="28" t="s">
        <v>319</v>
      </c>
      <c r="N53" s="28" t="s">
        <v>319</v>
      </c>
      <c r="O53" s="28" t="s">
        <v>319</v>
      </c>
      <c r="P53" s="28" t="s">
        <v>319</v>
      </c>
      <c r="Q53" s="5" t="s">
        <v>673</v>
      </c>
      <c r="R53" s="5" t="s">
        <v>667</v>
      </c>
      <c r="S53" s="6" t="s">
        <v>664</v>
      </c>
      <c r="T53" s="107" t="s">
        <v>680</v>
      </c>
      <c r="U53" s="134">
        <v>465636</v>
      </c>
      <c r="V53" s="107" t="s">
        <v>680</v>
      </c>
      <c r="W53" s="6" t="s">
        <v>665</v>
      </c>
      <c r="X53" s="5"/>
      <c r="Y53" s="13">
        <v>14</v>
      </c>
      <c r="Z53" s="5"/>
      <c r="AA53" s="6" t="s">
        <v>955</v>
      </c>
      <c r="AB53" s="5"/>
      <c r="AC53" s="135">
        <v>11.19</v>
      </c>
      <c r="AD53" s="5"/>
      <c r="AE53" s="6" t="s">
        <v>956</v>
      </c>
      <c r="AF53" s="6"/>
      <c r="AG53" s="12">
        <v>33.700000000000003</v>
      </c>
      <c r="AH53" s="6"/>
      <c r="AI53" s="6" t="s">
        <v>957</v>
      </c>
      <c r="AJ53" s="108"/>
      <c r="AK53" s="5">
        <v>0.01</v>
      </c>
      <c r="AL53" s="6"/>
      <c r="AM53" s="6" t="s">
        <v>1213</v>
      </c>
      <c r="AN53" s="6"/>
      <c r="AO53" s="5"/>
      <c r="AP53" s="6"/>
      <c r="AQ53" s="28" t="s">
        <v>319</v>
      </c>
      <c r="AR53" s="28" t="s">
        <v>319</v>
      </c>
      <c r="AS53" s="28" t="s">
        <v>319</v>
      </c>
      <c r="AT53" s="28" t="s">
        <v>319</v>
      </c>
      <c r="AU53" s="28" t="s">
        <v>319</v>
      </c>
      <c r="AV53" s="28" t="s">
        <v>319</v>
      </c>
      <c r="AW53" s="28" t="s">
        <v>319</v>
      </c>
      <c r="AX53" s="28" t="s">
        <v>319</v>
      </c>
      <c r="AY53" s="28" t="s">
        <v>319</v>
      </c>
      <c r="AZ53" s="28" t="s">
        <v>319</v>
      </c>
      <c r="BA53" s="28" t="s">
        <v>319</v>
      </c>
      <c r="BB53" s="6" t="s">
        <v>984</v>
      </c>
      <c r="BC53" s="5" t="s">
        <v>680</v>
      </c>
      <c r="BD53" s="106" t="s">
        <v>1331</v>
      </c>
      <c r="BE53" s="6" t="s">
        <v>1008</v>
      </c>
      <c r="BF53" s="6" t="s">
        <v>1328</v>
      </c>
      <c r="BG53" s="12">
        <v>14.7</v>
      </c>
      <c r="BH53" s="28" t="s">
        <v>319</v>
      </c>
      <c r="BI53" s="28" t="s">
        <v>319</v>
      </c>
      <c r="BJ53" s="28" t="s">
        <v>319</v>
      </c>
      <c r="BK53" s="28" t="s">
        <v>319</v>
      </c>
      <c r="BL53" s="28" t="s">
        <v>319</v>
      </c>
      <c r="BM53" s="28" t="s">
        <v>319</v>
      </c>
      <c r="BN53" s="28" t="s">
        <v>319</v>
      </c>
      <c r="BO53" s="28" t="s">
        <v>319</v>
      </c>
      <c r="BP53" s="28" t="s">
        <v>319</v>
      </c>
      <c r="BQ53" s="28" t="s">
        <v>319</v>
      </c>
      <c r="BR53" s="5"/>
      <c r="BS53" s="5"/>
      <c r="BT53" s="6"/>
      <c r="BU53" s="5">
        <v>29.2</v>
      </c>
      <c r="BV53" s="6" t="s">
        <v>1334</v>
      </c>
      <c r="BW53" s="5">
        <v>1.21</v>
      </c>
      <c r="BX53" s="6"/>
      <c r="BY53" s="6"/>
      <c r="BZ53" s="30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9"/>
      <c r="DB53" s="6"/>
      <c r="DC53" s="30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 t="s">
        <v>319</v>
      </c>
      <c r="DO53" s="28" t="s">
        <v>319</v>
      </c>
      <c r="DP53" s="28" t="s">
        <v>319</v>
      </c>
      <c r="DQ53" s="28" t="s">
        <v>319</v>
      </c>
      <c r="DR53" s="28" t="s">
        <v>319</v>
      </c>
      <c r="DS53" s="28" t="s">
        <v>319</v>
      </c>
      <c r="DT53" s="28" t="s">
        <v>319</v>
      </c>
      <c r="DU53" s="28" t="s">
        <v>319</v>
      </c>
      <c r="DV53" s="28" t="s">
        <v>319</v>
      </c>
      <c r="DW53" s="28" t="s">
        <v>319</v>
      </c>
      <c r="DX53" s="28" t="s">
        <v>319</v>
      </c>
      <c r="DY53" s="28" t="s">
        <v>319</v>
      </c>
      <c r="DZ53" s="28" t="s">
        <v>319</v>
      </c>
      <c r="EA53" s="28" t="s">
        <v>319</v>
      </c>
      <c r="EB53" s="28" t="s">
        <v>319</v>
      </c>
      <c r="EC53" s="28" t="s">
        <v>319</v>
      </c>
      <c r="ED53" s="28" t="s">
        <v>319</v>
      </c>
      <c r="EE53" s="28"/>
      <c r="EF53" s="28" t="s">
        <v>319</v>
      </c>
      <c r="EG53" s="28" t="s">
        <v>319</v>
      </c>
      <c r="EH53" s="28" t="s">
        <v>319</v>
      </c>
      <c r="EI53" s="28" t="s">
        <v>319</v>
      </c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7"/>
      <c r="FK53" s="15" t="s">
        <v>1056</v>
      </c>
      <c r="FL53" s="6"/>
      <c r="FM53" s="94"/>
    </row>
    <row r="54" spans="1:169" s="3" customFormat="1" x14ac:dyDescent="0.4">
      <c r="A54" s="93"/>
      <c r="B54" s="93"/>
      <c r="C54" s="26"/>
      <c r="D54" s="27" t="s">
        <v>319</v>
      </c>
      <c r="E54" s="2" t="s">
        <v>445</v>
      </c>
      <c r="F54" s="28" t="s">
        <v>319</v>
      </c>
      <c r="G54" s="28" t="s">
        <v>319</v>
      </c>
      <c r="H54" s="28" t="s">
        <v>319</v>
      </c>
      <c r="I54" s="6" t="s">
        <v>586</v>
      </c>
      <c r="J54" s="28" t="s">
        <v>319</v>
      </c>
      <c r="K54" s="28" t="s">
        <v>319</v>
      </c>
      <c r="L54" s="28" t="s">
        <v>319</v>
      </c>
      <c r="M54" s="28" t="s">
        <v>319</v>
      </c>
      <c r="N54" s="28" t="s">
        <v>319</v>
      </c>
      <c r="O54" s="28" t="s">
        <v>319</v>
      </c>
      <c r="P54" s="28" t="s">
        <v>319</v>
      </c>
      <c r="Q54" s="5" t="s">
        <v>721</v>
      </c>
      <c r="R54" s="5" t="s">
        <v>663</v>
      </c>
      <c r="S54" s="6" t="s">
        <v>678</v>
      </c>
      <c r="T54" s="5" t="s">
        <v>722</v>
      </c>
      <c r="U54" s="5" t="s">
        <v>723</v>
      </c>
      <c r="V54" s="106">
        <v>173855</v>
      </c>
      <c r="W54" s="6" t="s">
        <v>665</v>
      </c>
      <c r="X54" s="105">
        <v>15.65</v>
      </c>
      <c r="Y54" s="105">
        <v>15.37</v>
      </c>
      <c r="Z54" s="105">
        <v>15.09</v>
      </c>
      <c r="AA54" s="6" t="s">
        <v>963</v>
      </c>
      <c r="AB54" s="6">
        <v>9.36</v>
      </c>
      <c r="AC54" s="6">
        <v>8.7099999999999991</v>
      </c>
      <c r="AD54" s="6">
        <v>8.4600000000000009</v>
      </c>
      <c r="AE54" s="6" t="s">
        <v>956</v>
      </c>
      <c r="AF54" s="6"/>
      <c r="AG54" s="12">
        <v>21</v>
      </c>
      <c r="AH54" s="6"/>
      <c r="AI54" s="6" t="s">
        <v>965</v>
      </c>
      <c r="AJ54" s="108"/>
      <c r="AK54" s="108">
        <v>8.6999999999999994E-2</v>
      </c>
      <c r="AL54" s="6"/>
      <c r="AM54" s="6" t="s">
        <v>958</v>
      </c>
      <c r="AN54" s="6"/>
      <c r="AO54" s="105">
        <v>10.81</v>
      </c>
      <c r="AP54" s="6"/>
      <c r="AQ54" s="28" t="s">
        <v>319</v>
      </c>
      <c r="AR54" s="28" t="s">
        <v>319</v>
      </c>
      <c r="AS54" s="28" t="s">
        <v>319</v>
      </c>
      <c r="AT54" s="28" t="s">
        <v>319</v>
      </c>
      <c r="AU54" s="28" t="s">
        <v>319</v>
      </c>
      <c r="AV54" s="28" t="s">
        <v>319</v>
      </c>
      <c r="AW54" s="28" t="s">
        <v>319</v>
      </c>
      <c r="AX54" s="28" t="s">
        <v>319</v>
      </c>
      <c r="AY54" s="28" t="s">
        <v>319</v>
      </c>
      <c r="AZ54" s="28" t="s">
        <v>319</v>
      </c>
      <c r="BA54" s="28" t="s">
        <v>319</v>
      </c>
      <c r="BB54" s="6" t="s">
        <v>984</v>
      </c>
      <c r="BC54" s="106">
        <v>-47</v>
      </c>
      <c r="BD54" s="106">
        <v>100</v>
      </c>
      <c r="BE54" s="6" t="s">
        <v>1010</v>
      </c>
      <c r="BF54" s="6"/>
      <c r="BG54" s="12">
        <v>27</v>
      </c>
      <c r="BH54" s="28" t="s">
        <v>319</v>
      </c>
      <c r="BI54" s="28" t="s">
        <v>319</v>
      </c>
      <c r="BJ54" s="28" t="s">
        <v>319</v>
      </c>
      <c r="BK54" s="28" t="s">
        <v>319</v>
      </c>
      <c r="BL54" s="28" t="s">
        <v>319</v>
      </c>
      <c r="BM54" s="28" t="s">
        <v>319</v>
      </c>
      <c r="BN54" s="28" t="s">
        <v>319</v>
      </c>
      <c r="BO54" s="28" t="s">
        <v>319</v>
      </c>
      <c r="BP54" s="28" t="s">
        <v>319</v>
      </c>
      <c r="BQ54" s="28" t="s">
        <v>319</v>
      </c>
      <c r="BR54" s="12">
        <v>47.1</v>
      </c>
      <c r="BS54" s="12">
        <v>512.4</v>
      </c>
      <c r="BT54" s="6"/>
      <c r="BU54" s="5"/>
      <c r="BV54" s="6"/>
      <c r="BW54" s="5"/>
      <c r="BX54" s="6" t="s">
        <v>1054</v>
      </c>
      <c r="BY54" s="6"/>
      <c r="BZ54" s="30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9"/>
      <c r="DB54" s="6"/>
      <c r="DC54" s="30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 t="s">
        <v>319</v>
      </c>
      <c r="DO54" s="28" t="s">
        <v>319</v>
      </c>
      <c r="DP54" s="28" t="s">
        <v>319</v>
      </c>
      <c r="DQ54" s="28" t="s">
        <v>319</v>
      </c>
      <c r="DR54" s="28" t="s">
        <v>319</v>
      </c>
      <c r="DS54" s="28" t="s">
        <v>319</v>
      </c>
      <c r="DT54" s="28" t="s">
        <v>319</v>
      </c>
      <c r="DU54" s="28" t="s">
        <v>319</v>
      </c>
      <c r="DV54" s="28" t="s">
        <v>319</v>
      </c>
      <c r="DW54" s="28" t="s">
        <v>319</v>
      </c>
      <c r="DX54" s="28" t="s">
        <v>319</v>
      </c>
      <c r="DY54" s="28" t="s">
        <v>319</v>
      </c>
      <c r="DZ54" s="28" t="s">
        <v>319</v>
      </c>
      <c r="EA54" s="28" t="s">
        <v>319</v>
      </c>
      <c r="EB54" s="28" t="s">
        <v>319</v>
      </c>
      <c r="EC54" s="28" t="s">
        <v>319</v>
      </c>
      <c r="ED54" s="28" t="s">
        <v>319</v>
      </c>
      <c r="EE54" s="28"/>
      <c r="EF54" s="28" t="s">
        <v>319</v>
      </c>
      <c r="EG54" s="28" t="s">
        <v>319</v>
      </c>
      <c r="EH54" s="28" t="s">
        <v>319</v>
      </c>
      <c r="EI54" s="28" t="s">
        <v>319</v>
      </c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7"/>
      <c r="FK54" s="6"/>
      <c r="FL54" s="6"/>
      <c r="FM54" s="97"/>
    </row>
    <row r="55" spans="1:169" s="3" customFormat="1" x14ac:dyDescent="0.4">
      <c r="A55" s="93"/>
      <c r="B55" s="93"/>
      <c r="C55" s="26"/>
      <c r="D55" s="27" t="s">
        <v>319</v>
      </c>
      <c r="E55" s="2" t="s">
        <v>446</v>
      </c>
      <c r="F55" s="28" t="s">
        <v>319</v>
      </c>
      <c r="G55" s="28" t="s">
        <v>319</v>
      </c>
      <c r="H55" s="28" t="s">
        <v>319</v>
      </c>
      <c r="I55" s="6" t="s">
        <v>587</v>
      </c>
      <c r="J55" s="28" t="s">
        <v>319</v>
      </c>
      <c r="K55" s="28" t="s">
        <v>319</v>
      </c>
      <c r="L55" s="28" t="s">
        <v>319</v>
      </c>
      <c r="M55" s="28" t="s">
        <v>319</v>
      </c>
      <c r="N55" s="28" t="s">
        <v>319</v>
      </c>
      <c r="O55" s="28" t="s">
        <v>319</v>
      </c>
      <c r="P55" s="28" t="s">
        <v>319</v>
      </c>
      <c r="Q55" s="5" t="s">
        <v>673</v>
      </c>
      <c r="R55" s="5" t="s">
        <v>663</v>
      </c>
      <c r="S55" s="6" t="s">
        <v>678</v>
      </c>
      <c r="T55" s="5" t="s">
        <v>724</v>
      </c>
      <c r="U55" s="5" t="s">
        <v>725</v>
      </c>
      <c r="V55" s="5" t="s">
        <v>726</v>
      </c>
      <c r="W55" s="6" t="s">
        <v>665</v>
      </c>
      <c r="X55" s="105">
        <v>10.039999999999999</v>
      </c>
      <c r="Y55" s="105">
        <v>9.81</v>
      </c>
      <c r="Z55" s="105">
        <v>9.73</v>
      </c>
      <c r="AA55" s="6" t="s">
        <v>955</v>
      </c>
      <c r="AB55" s="219" t="s">
        <v>1476</v>
      </c>
      <c r="AC55" s="219" t="s">
        <v>1477</v>
      </c>
      <c r="AD55" s="219" t="s">
        <v>1475</v>
      </c>
      <c r="AE55" s="6" t="s">
        <v>956</v>
      </c>
      <c r="AF55" s="6"/>
      <c r="AG55" s="12">
        <v>10.199999999999999</v>
      </c>
      <c r="AH55" s="6"/>
      <c r="AI55" s="6" t="s">
        <v>964</v>
      </c>
      <c r="AJ55" s="108"/>
      <c r="AK55" s="108">
        <v>1.234</v>
      </c>
      <c r="AL55" s="6"/>
      <c r="AM55" s="6" t="s">
        <v>958</v>
      </c>
      <c r="AN55" s="6"/>
      <c r="AO55" s="105">
        <v>5.93</v>
      </c>
      <c r="AP55" s="6"/>
      <c r="AQ55" s="28" t="s">
        <v>319</v>
      </c>
      <c r="AR55" s="28" t="s">
        <v>319</v>
      </c>
      <c r="AS55" s="28" t="s">
        <v>319</v>
      </c>
      <c r="AT55" s="28" t="s">
        <v>319</v>
      </c>
      <c r="AU55" s="28" t="s">
        <v>319</v>
      </c>
      <c r="AV55" s="28" t="s">
        <v>319</v>
      </c>
      <c r="AW55" s="28" t="s">
        <v>319</v>
      </c>
      <c r="AX55" s="28" t="s">
        <v>319</v>
      </c>
      <c r="AY55" s="28" t="s">
        <v>319</v>
      </c>
      <c r="AZ55" s="28" t="s">
        <v>319</v>
      </c>
      <c r="BA55" s="28" t="s">
        <v>319</v>
      </c>
      <c r="BB55" s="6" t="s">
        <v>984</v>
      </c>
      <c r="BC55" s="5" t="s">
        <v>1011</v>
      </c>
      <c r="BD55" s="183" t="s">
        <v>1458</v>
      </c>
      <c r="BE55" s="6" t="s">
        <v>1010</v>
      </c>
      <c r="BF55" s="181" t="s">
        <v>1437</v>
      </c>
      <c r="BG55" s="12">
        <v>14.7</v>
      </c>
      <c r="BH55" s="28" t="s">
        <v>319</v>
      </c>
      <c r="BI55" s="28" t="s">
        <v>319</v>
      </c>
      <c r="BJ55" s="28" t="s">
        <v>319</v>
      </c>
      <c r="BK55" s="28" t="s">
        <v>319</v>
      </c>
      <c r="BL55" s="28" t="s">
        <v>319</v>
      </c>
      <c r="BM55" s="28" t="s">
        <v>319</v>
      </c>
      <c r="BN55" s="28" t="s">
        <v>319</v>
      </c>
      <c r="BO55" s="28" t="s">
        <v>319</v>
      </c>
      <c r="BP55" s="28" t="s">
        <v>319</v>
      </c>
      <c r="BQ55" s="28" t="s">
        <v>319</v>
      </c>
      <c r="BR55" s="12">
        <v>225.5</v>
      </c>
      <c r="BS55" s="12">
        <v>1010.4</v>
      </c>
      <c r="BT55" s="6"/>
      <c r="BU55" s="5"/>
      <c r="BV55" s="6"/>
      <c r="BW55" s="5"/>
      <c r="BX55" s="6"/>
      <c r="BY55" s="6"/>
      <c r="BZ55" s="30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9"/>
      <c r="DB55" s="6"/>
      <c r="DC55" s="30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 t="s">
        <v>319</v>
      </c>
      <c r="DO55" s="28" t="s">
        <v>319</v>
      </c>
      <c r="DP55" s="28" t="s">
        <v>319</v>
      </c>
      <c r="DQ55" s="28" t="s">
        <v>319</v>
      </c>
      <c r="DR55" s="28" t="s">
        <v>319</v>
      </c>
      <c r="DS55" s="28" t="s">
        <v>319</v>
      </c>
      <c r="DT55" s="28" t="s">
        <v>319</v>
      </c>
      <c r="DU55" s="28" t="s">
        <v>319</v>
      </c>
      <c r="DV55" s="28" t="s">
        <v>319</v>
      </c>
      <c r="DW55" s="28" t="s">
        <v>319</v>
      </c>
      <c r="DX55" s="28" t="s">
        <v>319</v>
      </c>
      <c r="DY55" s="28" t="s">
        <v>319</v>
      </c>
      <c r="DZ55" s="28" t="s">
        <v>319</v>
      </c>
      <c r="EA55" s="28" t="s">
        <v>319</v>
      </c>
      <c r="EB55" s="28" t="s">
        <v>319</v>
      </c>
      <c r="EC55" s="28" t="s">
        <v>319</v>
      </c>
      <c r="ED55" s="28" t="s">
        <v>319</v>
      </c>
      <c r="EE55" s="28"/>
      <c r="EF55" s="28" t="s">
        <v>319</v>
      </c>
      <c r="EG55" s="28" t="s">
        <v>319</v>
      </c>
      <c r="EH55" s="28" t="s">
        <v>319</v>
      </c>
      <c r="EI55" s="28" t="s">
        <v>319</v>
      </c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7"/>
      <c r="FK55" s="6"/>
      <c r="FL55" s="6"/>
      <c r="FM55" s="97"/>
    </row>
    <row r="56" spans="1:169" s="3" customFormat="1" x14ac:dyDescent="0.4">
      <c r="A56" s="93"/>
      <c r="B56" s="93"/>
      <c r="C56" s="26"/>
      <c r="D56" s="27" t="s">
        <v>319</v>
      </c>
      <c r="E56" s="2" t="s">
        <v>490</v>
      </c>
      <c r="F56" s="28" t="s">
        <v>319</v>
      </c>
      <c r="G56" s="28" t="s">
        <v>319</v>
      </c>
      <c r="H56" s="28" t="s">
        <v>319</v>
      </c>
      <c r="I56" s="6" t="s">
        <v>587</v>
      </c>
      <c r="J56" s="28" t="s">
        <v>319</v>
      </c>
      <c r="K56" s="28" t="s">
        <v>319</v>
      </c>
      <c r="L56" s="28" t="s">
        <v>319</v>
      </c>
      <c r="M56" s="28" t="s">
        <v>319</v>
      </c>
      <c r="N56" s="28" t="s">
        <v>319</v>
      </c>
      <c r="O56" s="28" t="s">
        <v>319</v>
      </c>
      <c r="P56" s="28" t="s">
        <v>319</v>
      </c>
      <c r="Q56" s="5" t="s">
        <v>721</v>
      </c>
      <c r="R56" s="5" t="s">
        <v>667</v>
      </c>
      <c r="S56" s="6" t="s">
        <v>678</v>
      </c>
      <c r="T56" s="5" t="s">
        <v>722</v>
      </c>
      <c r="U56" s="5" t="s">
        <v>727</v>
      </c>
      <c r="V56" s="106">
        <v>173855</v>
      </c>
      <c r="W56" s="6" t="s">
        <v>665</v>
      </c>
      <c r="X56" s="105">
        <v>6.08</v>
      </c>
      <c r="Y56" s="105">
        <v>6.36</v>
      </c>
      <c r="Z56" s="105">
        <v>6.32</v>
      </c>
      <c r="AA56" s="6" t="s">
        <v>963</v>
      </c>
      <c r="AB56" s="6">
        <v>0.29999999999999982</v>
      </c>
      <c r="AC56" s="6">
        <v>0.30000000000000071</v>
      </c>
      <c r="AD56" s="6">
        <v>0.30000000000000071</v>
      </c>
      <c r="AE56" s="6" t="s">
        <v>956</v>
      </c>
      <c r="AF56" s="6"/>
      <c r="AG56" s="12">
        <v>4</v>
      </c>
      <c r="AH56" s="6"/>
      <c r="AI56" s="6" t="s">
        <v>965</v>
      </c>
      <c r="AJ56" s="5"/>
      <c r="AK56" s="112">
        <v>8.3999999999999995E-3</v>
      </c>
      <c r="AL56" s="6"/>
      <c r="AM56" s="6"/>
      <c r="AN56" s="6"/>
      <c r="AO56" s="5"/>
      <c r="AP56" s="6"/>
      <c r="AQ56" s="28" t="s">
        <v>319</v>
      </c>
      <c r="AR56" s="28" t="s">
        <v>319</v>
      </c>
      <c r="AS56" s="28" t="s">
        <v>319</v>
      </c>
      <c r="AT56" s="28" t="s">
        <v>319</v>
      </c>
      <c r="AU56" s="28" t="s">
        <v>319</v>
      </c>
      <c r="AV56" s="28" t="s">
        <v>319</v>
      </c>
      <c r="AW56" s="28" t="s">
        <v>319</v>
      </c>
      <c r="AX56" s="28" t="s">
        <v>319</v>
      </c>
      <c r="AY56" s="28" t="s">
        <v>319</v>
      </c>
      <c r="AZ56" s="28" t="s">
        <v>319</v>
      </c>
      <c r="BA56" s="28" t="s">
        <v>319</v>
      </c>
      <c r="BB56" s="6" t="s">
        <v>984</v>
      </c>
      <c r="BC56" s="106">
        <v>-47</v>
      </c>
      <c r="BD56" s="106">
        <v>65</v>
      </c>
      <c r="BE56" s="6" t="s">
        <v>1010</v>
      </c>
      <c r="BF56" s="6"/>
      <c r="BG56" s="12">
        <v>18</v>
      </c>
      <c r="BH56" s="28" t="s">
        <v>319</v>
      </c>
      <c r="BI56" s="28" t="s">
        <v>319</v>
      </c>
      <c r="BJ56" s="28" t="s">
        <v>319</v>
      </c>
      <c r="BK56" s="28" t="s">
        <v>319</v>
      </c>
      <c r="BL56" s="28" t="s">
        <v>319</v>
      </c>
      <c r="BM56" s="28" t="s">
        <v>319</v>
      </c>
      <c r="BN56" s="28" t="s">
        <v>319</v>
      </c>
      <c r="BO56" s="28" t="s">
        <v>319</v>
      </c>
      <c r="BP56" s="28" t="s">
        <v>319</v>
      </c>
      <c r="BQ56" s="28" t="s">
        <v>319</v>
      </c>
      <c r="BR56" s="5"/>
      <c r="BS56" s="105"/>
      <c r="BT56" s="6"/>
      <c r="BU56" s="12">
        <v>42.1</v>
      </c>
      <c r="BV56" s="6" t="s">
        <v>1021</v>
      </c>
      <c r="BW56" s="105">
        <v>1.23</v>
      </c>
      <c r="BX56" s="6"/>
      <c r="BY56" s="6"/>
      <c r="BZ56" s="30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9"/>
      <c r="DB56" s="6"/>
      <c r="DC56" s="30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 t="s">
        <v>319</v>
      </c>
      <c r="DO56" s="28" t="s">
        <v>319</v>
      </c>
      <c r="DP56" s="28" t="s">
        <v>319</v>
      </c>
      <c r="DQ56" s="28" t="s">
        <v>319</v>
      </c>
      <c r="DR56" s="28" t="s">
        <v>319</v>
      </c>
      <c r="DS56" s="28" t="s">
        <v>319</v>
      </c>
      <c r="DT56" s="28" t="s">
        <v>319</v>
      </c>
      <c r="DU56" s="28" t="s">
        <v>319</v>
      </c>
      <c r="DV56" s="28" t="s">
        <v>319</v>
      </c>
      <c r="DW56" s="28" t="s">
        <v>319</v>
      </c>
      <c r="DX56" s="28" t="s">
        <v>319</v>
      </c>
      <c r="DY56" s="28" t="s">
        <v>319</v>
      </c>
      <c r="DZ56" s="28" t="s">
        <v>319</v>
      </c>
      <c r="EA56" s="28" t="s">
        <v>319</v>
      </c>
      <c r="EB56" s="28" t="s">
        <v>319</v>
      </c>
      <c r="EC56" s="28" t="s">
        <v>319</v>
      </c>
      <c r="ED56" s="28" t="s">
        <v>319</v>
      </c>
      <c r="EE56" s="28"/>
      <c r="EF56" s="28" t="s">
        <v>319</v>
      </c>
      <c r="EG56" s="28" t="s">
        <v>319</v>
      </c>
      <c r="EH56" s="28" t="s">
        <v>319</v>
      </c>
      <c r="EI56" s="28" t="s">
        <v>319</v>
      </c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7"/>
      <c r="FK56" s="6"/>
      <c r="FL56" s="6"/>
      <c r="FM56" s="94"/>
    </row>
    <row r="57" spans="1:169" s="89" customFormat="1" ht="52.2" x14ac:dyDescent="0.4">
      <c r="A57" s="93"/>
      <c r="B57" s="98"/>
      <c r="C57" s="26"/>
      <c r="D57" s="27"/>
      <c r="E57" s="2" t="s">
        <v>1128</v>
      </c>
      <c r="F57" s="28"/>
      <c r="G57" s="28"/>
      <c r="H57" s="28"/>
      <c r="I57" s="6" t="s">
        <v>1129</v>
      </c>
      <c r="J57" s="28"/>
      <c r="K57" s="28"/>
      <c r="L57" s="28"/>
      <c r="M57" s="28"/>
      <c r="N57" s="28"/>
      <c r="O57" s="28"/>
      <c r="P57" s="28"/>
      <c r="Q57" s="5" t="s">
        <v>1130</v>
      </c>
      <c r="R57" s="5" t="s">
        <v>1131</v>
      </c>
      <c r="S57" s="6" t="s">
        <v>1132</v>
      </c>
      <c r="T57" s="105" t="s">
        <v>1171</v>
      </c>
      <c r="U57" s="5">
        <v>6090</v>
      </c>
      <c r="V57" s="105" t="s">
        <v>1171</v>
      </c>
      <c r="W57" s="6" t="s">
        <v>665</v>
      </c>
      <c r="X57" s="105" t="s">
        <v>1171</v>
      </c>
      <c r="Y57" s="105">
        <v>9.4</v>
      </c>
      <c r="Z57" s="105" t="s">
        <v>1171</v>
      </c>
      <c r="AA57" s="6" t="s">
        <v>982</v>
      </c>
      <c r="AB57" s="105" t="s">
        <v>1171</v>
      </c>
      <c r="AC57" s="6" t="s">
        <v>990</v>
      </c>
      <c r="AD57" s="105" t="s">
        <v>1171</v>
      </c>
      <c r="AE57" s="6" t="s">
        <v>984</v>
      </c>
      <c r="AF57" s="105" t="s">
        <v>1171</v>
      </c>
      <c r="AG57" s="12">
        <v>10.199999999999999</v>
      </c>
      <c r="AH57" s="105" t="s">
        <v>1171</v>
      </c>
      <c r="AI57" s="6" t="s">
        <v>966</v>
      </c>
      <c r="AJ57" s="5"/>
      <c r="AK57" s="112">
        <v>0.01</v>
      </c>
      <c r="AL57" s="6"/>
      <c r="AM57" s="6" t="s">
        <v>958</v>
      </c>
      <c r="AN57" s="6"/>
      <c r="AO57" s="5" t="s">
        <v>1171</v>
      </c>
      <c r="AP57" s="6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6" t="s">
        <v>984</v>
      </c>
      <c r="BC57" s="106" t="s">
        <v>1149</v>
      </c>
      <c r="BD57" s="106" t="s">
        <v>1173</v>
      </c>
      <c r="BE57" s="6" t="s">
        <v>665</v>
      </c>
      <c r="BF57" s="181" t="s">
        <v>1447</v>
      </c>
      <c r="BG57" s="12" t="s">
        <v>1175</v>
      </c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105" t="s">
        <v>680</v>
      </c>
      <c r="BS57" s="105" t="s">
        <v>1149</v>
      </c>
      <c r="BT57" s="6"/>
      <c r="BU57" s="12">
        <v>24.15</v>
      </c>
      <c r="BV57" s="6" t="s">
        <v>1147</v>
      </c>
      <c r="BW57" s="105">
        <v>1.2909999999999999</v>
      </c>
      <c r="BX57" s="6" t="s">
        <v>1171</v>
      </c>
      <c r="BY57" s="15" t="s">
        <v>1148</v>
      </c>
      <c r="BZ57" s="30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9"/>
      <c r="DB57" s="6"/>
      <c r="DC57" s="30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7"/>
      <c r="FK57" s="15" t="s">
        <v>1056</v>
      </c>
      <c r="FL57" s="6"/>
      <c r="FM57" s="94"/>
    </row>
    <row r="58" spans="1:169" s="3" customFormat="1" ht="52.2" x14ac:dyDescent="0.4">
      <c r="A58" s="93"/>
      <c r="B58" s="98"/>
      <c r="C58" s="26"/>
      <c r="D58" s="27"/>
      <c r="E58" s="2" t="s">
        <v>1150</v>
      </c>
      <c r="F58" s="28"/>
      <c r="G58" s="28"/>
      <c r="H58" s="28"/>
      <c r="I58" s="6" t="s">
        <v>1129</v>
      </c>
      <c r="J58" s="28"/>
      <c r="K58" s="28"/>
      <c r="L58" s="28"/>
      <c r="M58" s="28"/>
      <c r="N58" s="28"/>
      <c r="O58" s="28"/>
      <c r="P58" s="28"/>
      <c r="Q58" s="5" t="s">
        <v>1130</v>
      </c>
      <c r="R58" s="5" t="s">
        <v>1131</v>
      </c>
      <c r="S58" s="6" t="s">
        <v>1132</v>
      </c>
      <c r="T58" s="105" t="s">
        <v>1171</v>
      </c>
      <c r="U58" s="5">
        <v>6090</v>
      </c>
      <c r="V58" s="105" t="s">
        <v>1171</v>
      </c>
      <c r="W58" s="6" t="s">
        <v>665</v>
      </c>
      <c r="X58" s="105" t="s">
        <v>1171</v>
      </c>
      <c r="Y58" s="105">
        <v>9.4</v>
      </c>
      <c r="Z58" s="105" t="s">
        <v>1171</v>
      </c>
      <c r="AA58" s="6" t="s">
        <v>982</v>
      </c>
      <c r="AB58" s="105" t="s">
        <v>1171</v>
      </c>
      <c r="AC58" s="6" t="s">
        <v>990</v>
      </c>
      <c r="AD58" s="105" t="s">
        <v>1171</v>
      </c>
      <c r="AE58" s="6" t="s">
        <v>984</v>
      </c>
      <c r="AF58" s="105" t="s">
        <v>1171</v>
      </c>
      <c r="AG58" s="12">
        <v>10.199999999999999</v>
      </c>
      <c r="AH58" s="105" t="s">
        <v>1171</v>
      </c>
      <c r="AI58" s="6" t="s">
        <v>966</v>
      </c>
      <c r="AJ58" s="5"/>
      <c r="AK58" s="112">
        <v>0.01</v>
      </c>
      <c r="AL58" s="6"/>
      <c r="AM58" s="6" t="s">
        <v>958</v>
      </c>
      <c r="AN58" s="6"/>
      <c r="AO58" s="5" t="s">
        <v>1171</v>
      </c>
      <c r="AP58" s="6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6" t="s">
        <v>984</v>
      </c>
      <c r="BC58" s="106" t="s">
        <v>1149</v>
      </c>
      <c r="BD58" s="106" t="s">
        <v>1173</v>
      </c>
      <c r="BE58" s="6" t="s">
        <v>665</v>
      </c>
      <c r="BF58" s="181" t="s">
        <v>1447</v>
      </c>
      <c r="BG58" s="12" t="s">
        <v>1175</v>
      </c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105" t="s">
        <v>680</v>
      </c>
      <c r="BS58" s="105" t="s">
        <v>1149</v>
      </c>
      <c r="BT58" s="6"/>
      <c r="BU58" s="12">
        <v>24.15</v>
      </c>
      <c r="BV58" s="6" t="s">
        <v>1147</v>
      </c>
      <c r="BW58" s="105">
        <v>1.2909999999999999</v>
      </c>
      <c r="BX58" s="6" t="s">
        <v>1177</v>
      </c>
      <c r="BY58" s="15" t="s">
        <v>1148</v>
      </c>
      <c r="BZ58" s="30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9"/>
      <c r="DB58" s="6"/>
      <c r="DC58" s="30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7"/>
      <c r="FK58" s="15" t="s">
        <v>1056</v>
      </c>
      <c r="FL58" s="6"/>
      <c r="FM58" s="94"/>
    </row>
    <row r="59" spans="1:169" s="3" customFormat="1" ht="52.2" x14ac:dyDescent="0.4">
      <c r="A59" s="93"/>
      <c r="B59" s="98"/>
      <c r="C59" s="26"/>
      <c r="D59" s="27"/>
      <c r="E59" s="2" t="s">
        <v>1151</v>
      </c>
      <c r="F59" s="28"/>
      <c r="G59" s="28"/>
      <c r="H59" s="28"/>
      <c r="I59" s="6" t="s">
        <v>1129</v>
      </c>
      <c r="J59" s="28"/>
      <c r="K59" s="28"/>
      <c r="L59" s="28"/>
      <c r="M59" s="28"/>
      <c r="N59" s="28"/>
      <c r="O59" s="28"/>
      <c r="P59" s="28"/>
      <c r="Q59" s="5" t="s">
        <v>1130</v>
      </c>
      <c r="R59" s="5" t="s">
        <v>1131</v>
      </c>
      <c r="S59" s="6" t="s">
        <v>1132</v>
      </c>
      <c r="T59" s="105" t="s">
        <v>1171</v>
      </c>
      <c r="U59" s="5">
        <v>6018</v>
      </c>
      <c r="V59" s="105" t="s">
        <v>1171</v>
      </c>
      <c r="W59" s="6" t="s">
        <v>665</v>
      </c>
      <c r="X59" s="105" t="s">
        <v>1171</v>
      </c>
      <c r="Y59" s="105">
        <v>0.74</v>
      </c>
      <c r="Z59" s="105" t="s">
        <v>1171</v>
      </c>
      <c r="AA59" s="6" t="s">
        <v>982</v>
      </c>
      <c r="AB59" s="105" t="s">
        <v>1171</v>
      </c>
      <c r="AC59" s="6" t="s">
        <v>990</v>
      </c>
      <c r="AD59" s="105" t="s">
        <v>1171</v>
      </c>
      <c r="AE59" s="6" t="s">
        <v>984</v>
      </c>
      <c r="AF59" s="105" t="s">
        <v>1171</v>
      </c>
      <c r="AG59" s="12">
        <v>10.199999999999999</v>
      </c>
      <c r="AH59" s="105" t="s">
        <v>1171</v>
      </c>
      <c r="AI59" s="6" t="s">
        <v>966</v>
      </c>
      <c r="AJ59" s="5"/>
      <c r="AK59" s="112">
        <v>0.01</v>
      </c>
      <c r="AL59" s="6"/>
      <c r="AM59" s="6" t="s">
        <v>958</v>
      </c>
      <c r="AN59" s="6"/>
      <c r="AO59" s="5" t="s">
        <v>1171</v>
      </c>
      <c r="AP59" s="6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6" t="s">
        <v>984</v>
      </c>
      <c r="BC59" s="106"/>
      <c r="BD59" s="106" t="s">
        <v>1173</v>
      </c>
      <c r="BE59" s="6" t="s">
        <v>665</v>
      </c>
      <c r="BF59" s="181" t="s">
        <v>1447</v>
      </c>
      <c r="BG59" s="12" t="s">
        <v>1175</v>
      </c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105" t="s">
        <v>680</v>
      </c>
      <c r="BS59" s="105" t="s">
        <v>680</v>
      </c>
      <c r="BT59" s="6"/>
      <c r="BU59" s="12">
        <v>24.15</v>
      </c>
      <c r="BV59" s="6" t="s">
        <v>1147</v>
      </c>
      <c r="BW59" s="105">
        <v>1.2909999999999999</v>
      </c>
      <c r="BX59" s="6" t="s">
        <v>1171</v>
      </c>
      <c r="BY59" s="15" t="s">
        <v>1148</v>
      </c>
      <c r="BZ59" s="30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9"/>
      <c r="DB59" s="6"/>
      <c r="DC59" s="30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7"/>
      <c r="FK59" s="15" t="s">
        <v>1056</v>
      </c>
      <c r="FL59" s="6"/>
      <c r="FM59" s="94"/>
    </row>
    <row r="60" spans="1:169" s="3" customFormat="1" ht="52.2" x14ac:dyDescent="0.4">
      <c r="A60" s="93"/>
      <c r="B60" s="98"/>
      <c r="C60" s="26"/>
      <c r="D60" s="27"/>
      <c r="E60" s="2" t="s">
        <v>1167</v>
      </c>
      <c r="F60" s="28"/>
      <c r="G60" s="28"/>
      <c r="H60" s="28"/>
      <c r="I60" s="6" t="s">
        <v>1168</v>
      </c>
      <c r="J60" s="28"/>
      <c r="K60" s="28"/>
      <c r="L60" s="28"/>
      <c r="M60" s="28"/>
      <c r="N60" s="28"/>
      <c r="O60" s="28"/>
      <c r="P60" s="28"/>
      <c r="Q60" s="5" t="s">
        <v>1169</v>
      </c>
      <c r="R60" s="5" t="s">
        <v>1170</v>
      </c>
      <c r="S60" s="6" t="s">
        <v>1132</v>
      </c>
      <c r="T60" s="105" t="s">
        <v>1171</v>
      </c>
      <c r="U60" s="105" t="s">
        <v>1171</v>
      </c>
      <c r="V60" s="5">
        <v>3000</v>
      </c>
      <c r="W60" s="6" t="s">
        <v>665</v>
      </c>
      <c r="X60" s="105" t="s">
        <v>1171</v>
      </c>
      <c r="Y60" s="105" t="s">
        <v>1171</v>
      </c>
      <c r="Z60" s="210">
        <v>10.6</v>
      </c>
      <c r="AA60" s="6" t="s">
        <v>982</v>
      </c>
      <c r="AB60" s="105" t="s">
        <v>1171</v>
      </c>
      <c r="AC60" s="105" t="s">
        <v>1171</v>
      </c>
      <c r="AD60" s="6" t="s">
        <v>1172</v>
      </c>
      <c r="AE60" s="6" t="s">
        <v>984</v>
      </c>
      <c r="AF60" s="105" t="s">
        <v>1171</v>
      </c>
      <c r="AG60" s="12">
        <v>10.199999999999999</v>
      </c>
      <c r="AH60" s="105" t="s">
        <v>1171</v>
      </c>
      <c r="AI60" s="6" t="s">
        <v>966</v>
      </c>
      <c r="AJ60" s="5"/>
      <c r="AK60" s="112">
        <v>0.2</v>
      </c>
      <c r="AL60" s="6"/>
      <c r="AM60" s="6" t="s">
        <v>958</v>
      </c>
      <c r="AN60" s="6"/>
      <c r="AO60" s="5">
        <v>10.46</v>
      </c>
      <c r="AP60" s="6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6" t="s">
        <v>984</v>
      </c>
      <c r="BC60" s="106"/>
      <c r="BD60" s="106" t="s">
        <v>1173</v>
      </c>
      <c r="BE60" s="6" t="s">
        <v>665</v>
      </c>
      <c r="BF60" s="6"/>
      <c r="BG60" s="12" t="s">
        <v>1174</v>
      </c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5">
        <v>43.2</v>
      </c>
      <c r="BS60" s="12">
        <v>692</v>
      </c>
      <c r="BT60" s="6"/>
      <c r="BU60" s="105" t="s">
        <v>680</v>
      </c>
      <c r="BV60" s="105" t="s">
        <v>680</v>
      </c>
      <c r="BW60" s="105" t="s">
        <v>680</v>
      </c>
      <c r="BX60" s="6" t="s">
        <v>1176</v>
      </c>
      <c r="BY60" s="15" t="s">
        <v>1148</v>
      </c>
      <c r="BZ60" s="30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9"/>
      <c r="DB60" s="6"/>
      <c r="DC60" s="30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7"/>
      <c r="FK60" s="15" t="s">
        <v>1056</v>
      </c>
      <c r="FL60" s="6"/>
      <c r="FM60" s="94"/>
    </row>
    <row r="61" spans="1:169" s="3" customFormat="1" ht="52.2" x14ac:dyDescent="0.4">
      <c r="A61" s="93"/>
      <c r="B61" s="98"/>
      <c r="C61" s="26"/>
      <c r="D61" s="27"/>
      <c r="E61" s="2" t="s">
        <v>1178</v>
      </c>
      <c r="F61" s="28"/>
      <c r="G61" s="28"/>
      <c r="H61" s="28"/>
      <c r="I61" s="6" t="s">
        <v>1168</v>
      </c>
      <c r="J61" s="28"/>
      <c r="K61" s="28"/>
      <c r="L61" s="28"/>
      <c r="M61" s="28"/>
      <c r="N61" s="28"/>
      <c r="O61" s="28"/>
      <c r="P61" s="28"/>
      <c r="Q61" s="5" t="s">
        <v>1169</v>
      </c>
      <c r="R61" s="5" t="s">
        <v>1170</v>
      </c>
      <c r="S61" s="6" t="s">
        <v>1132</v>
      </c>
      <c r="T61" s="105" t="s">
        <v>1171</v>
      </c>
      <c r="U61" s="105" t="s">
        <v>1171</v>
      </c>
      <c r="V61" s="5">
        <v>3000</v>
      </c>
      <c r="W61" s="6" t="s">
        <v>665</v>
      </c>
      <c r="X61" s="105" t="s">
        <v>1171</v>
      </c>
      <c r="Y61" s="105" t="s">
        <v>1171</v>
      </c>
      <c r="Z61" s="210">
        <v>10.6</v>
      </c>
      <c r="AA61" s="6" t="s">
        <v>982</v>
      </c>
      <c r="AB61" s="105" t="s">
        <v>1171</v>
      </c>
      <c r="AC61" s="105" t="s">
        <v>1171</v>
      </c>
      <c r="AD61" s="6" t="s">
        <v>1172</v>
      </c>
      <c r="AE61" s="6" t="s">
        <v>984</v>
      </c>
      <c r="AF61" s="105" t="s">
        <v>1171</v>
      </c>
      <c r="AG61" s="12">
        <v>10.199999999999999</v>
      </c>
      <c r="AH61" s="105" t="s">
        <v>1171</v>
      </c>
      <c r="AI61" s="6" t="s">
        <v>966</v>
      </c>
      <c r="AJ61" s="5"/>
      <c r="AK61" s="112">
        <v>0.2</v>
      </c>
      <c r="AL61" s="6"/>
      <c r="AM61" s="6" t="s">
        <v>958</v>
      </c>
      <c r="AN61" s="6"/>
      <c r="AO61" s="5">
        <v>10.46</v>
      </c>
      <c r="AP61" s="6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6" t="s">
        <v>984</v>
      </c>
      <c r="BC61" s="106"/>
      <c r="BD61" s="106" t="s">
        <v>1173</v>
      </c>
      <c r="BE61" s="6" t="s">
        <v>665</v>
      </c>
      <c r="BF61" s="6"/>
      <c r="BG61" s="12" t="s">
        <v>1174</v>
      </c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5">
        <v>43.2</v>
      </c>
      <c r="BS61" s="12">
        <v>692</v>
      </c>
      <c r="BT61" s="6"/>
      <c r="BU61" s="105" t="s">
        <v>680</v>
      </c>
      <c r="BV61" s="105" t="s">
        <v>680</v>
      </c>
      <c r="BW61" s="105" t="s">
        <v>680</v>
      </c>
      <c r="BX61" s="6" t="s">
        <v>1176</v>
      </c>
      <c r="BY61" s="15" t="s">
        <v>1148</v>
      </c>
      <c r="BZ61" s="30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9"/>
      <c r="DB61" s="6"/>
      <c r="DC61" s="30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7"/>
      <c r="FK61" s="15" t="s">
        <v>1056</v>
      </c>
      <c r="FL61" s="6"/>
      <c r="FM61" s="94"/>
    </row>
    <row r="62" spans="1:169" s="3" customFormat="1" ht="52.2" x14ac:dyDescent="0.4">
      <c r="A62" s="93"/>
      <c r="B62" s="98"/>
      <c r="C62" s="26"/>
      <c r="D62" s="27"/>
      <c r="E62" s="2" t="s">
        <v>1179</v>
      </c>
      <c r="F62" s="28"/>
      <c r="G62" s="28"/>
      <c r="H62" s="28"/>
      <c r="I62" s="6" t="s">
        <v>1168</v>
      </c>
      <c r="J62" s="28"/>
      <c r="K62" s="28"/>
      <c r="L62" s="28"/>
      <c r="M62" s="28"/>
      <c r="N62" s="28"/>
      <c r="O62" s="28"/>
      <c r="P62" s="28"/>
      <c r="Q62" s="5" t="s">
        <v>1130</v>
      </c>
      <c r="R62" s="5" t="s">
        <v>943</v>
      </c>
      <c r="S62" s="6" t="s">
        <v>1132</v>
      </c>
      <c r="T62" s="105" t="s">
        <v>1171</v>
      </c>
      <c r="U62" s="5">
        <v>220</v>
      </c>
      <c r="V62" s="5" t="s">
        <v>1181</v>
      </c>
      <c r="W62" s="6" t="s">
        <v>665</v>
      </c>
      <c r="X62" s="105" t="s">
        <v>1171</v>
      </c>
      <c r="Y62" s="105">
        <v>9.4</v>
      </c>
      <c r="Z62" s="105" t="s">
        <v>1171</v>
      </c>
      <c r="AA62" s="6" t="s">
        <v>982</v>
      </c>
      <c r="AB62" s="105" t="s">
        <v>1171</v>
      </c>
      <c r="AC62" s="6" t="s">
        <v>1180</v>
      </c>
      <c r="AD62" s="105" t="s">
        <v>1171</v>
      </c>
      <c r="AE62" s="6" t="s">
        <v>984</v>
      </c>
      <c r="AF62" s="105" t="s">
        <v>1171</v>
      </c>
      <c r="AG62" s="12">
        <v>10.199999999999999</v>
      </c>
      <c r="AH62" s="105" t="s">
        <v>1171</v>
      </c>
      <c r="AI62" s="6" t="s">
        <v>966</v>
      </c>
      <c r="AJ62" s="5"/>
      <c r="AK62" s="112">
        <v>0.01</v>
      </c>
      <c r="AL62" s="6"/>
      <c r="AM62" s="6" t="s">
        <v>958</v>
      </c>
      <c r="AN62" s="6"/>
      <c r="AO62" s="5" t="s">
        <v>1171</v>
      </c>
      <c r="AP62" s="6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6" t="s">
        <v>984</v>
      </c>
      <c r="BC62" s="106"/>
      <c r="BD62" s="106" t="s">
        <v>1173</v>
      </c>
      <c r="BE62" s="6" t="s">
        <v>665</v>
      </c>
      <c r="BF62" s="6"/>
      <c r="BG62" s="12" t="s">
        <v>1174</v>
      </c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105" t="s">
        <v>680</v>
      </c>
      <c r="BS62" s="105" t="s">
        <v>680</v>
      </c>
      <c r="BT62" s="6"/>
      <c r="BU62" s="12">
        <v>24.15</v>
      </c>
      <c r="BV62" s="6" t="s">
        <v>1147</v>
      </c>
      <c r="BW62" s="105">
        <v>1.2909999999999999</v>
      </c>
      <c r="BX62" s="6" t="s">
        <v>1171</v>
      </c>
      <c r="BY62" s="15" t="s">
        <v>1148</v>
      </c>
      <c r="BZ62" s="30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9"/>
      <c r="DB62" s="6"/>
      <c r="DC62" s="30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7"/>
      <c r="FK62" s="15" t="s">
        <v>1056</v>
      </c>
      <c r="FL62" s="6"/>
      <c r="FM62" s="94"/>
    </row>
    <row r="63" spans="1:169" s="3" customFormat="1" ht="52.2" x14ac:dyDescent="0.4">
      <c r="A63" s="93"/>
      <c r="B63" s="98"/>
      <c r="C63" s="26"/>
      <c r="D63" s="27"/>
      <c r="E63" s="2" t="s">
        <v>1182</v>
      </c>
      <c r="F63" s="28"/>
      <c r="G63" s="28"/>
      <c r="H63" s="28"/>
      <c r="I63" s="6" t="s">
        <v>1168</v>
      </c>
      <c r="J63" s="28"/>
      <c r="K63" s="28"/>
      <c r="L63" s="28"/>
      <c r="M63" s="28"/>
      <c r="N63" s="28"/>
      <c r="O63" s="28"/>
      <c r="P63" s="28"/>
      <c r="Q63" s="5" t="s">
        <v>1130</v>
      </c>
      <c r="R63" s="5" t="s">
        <v>943</v>
      </c>
      <c r="S63" s="6" t="s">
        <v>1132</v>
      </c>
      <c r="T63" s="105" t="s">
        <v>1171</v>
      </c>
      <c r="U63" s="5">
        <v>220</v>
      </c>
      <c r="V63" s="5" t="s">
        <v>1181</v>
      </c>
      <c r="W63" s="6" t="s">
        <v>665</v>
      </c>
      <c r="X63" s="105" t="s">
        <v>1171</v>
      </c>
      <c r="Y63" s="105">
        <v>9.4</v>
      </c>
      <c r="Z63" s="105" t="s">
        <v>1171</v>
      </c>
      <c r="AA63" s="6" t="s">
        <v>982</v>
      </c>
      <c r="AB63" s="105" t="s">
        <v>1171</v>
      </c>
      <c r="AC63" s="6" t="s">
        <v>1180</v>
      </c>
      <c r="AD63" s="105" t="s">
        <v>1171</v>
      </c>
      <c r="AE63" s="6" t="s">
        <v>984</v>
      </c>
      <c r="AF63" s="105" t="s">
        <v>1171</v>
      </c>
      <c r="AG63" s="12">
        <v>10.199999999999999</v>
      </c>
      <c r="AH63" s="105" t="s">
        <v>1171</v>
      </c>
      <c r="AI63" s="6" t="s">
        <v>966</v>
      </c>
      <c r="AJ63" s="5"/>
      <c r="AK63" s="112">
        <v>0.01</v>
      </c>
      <c r="AL63" s="6"/>
      <c r="AM63" s="6" t="s">
        <v>958</v>
      </c>
      <c r="AN63" s="6"/>
      <c r="AO63" s="5" t="s">
        <v>1171</v>
      </c>
      <c r="AP63" s="6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6" t="s">
        <v>984</v>
      </c>
      <c r="BC63" s="106"/>
      <c r="BD63" s="106" t="s">
        <v>1173</v>
      </c>
      <c r="BE63" s="6" t="s">
        <v>665</v>
      </c>
      <c r="BF63" s="6"/>
      <c r="BG63" s="12" t="s">
        <v>1174</v>
      </c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105" t="s">
        <v>680</v>
      </c>
      <c r="BS63" s="105" t="s">
        <v>680</v>
      </c>
      <c r="BT63" s="6"/>
      <c r="BU63" s="12">
        <v>24.15</v>
      </c>
      <c r="BV63" s="6" t="s">
        <v>1147</v>
      </c>
      <c r="BW63" s="105">
        <v>1.2909999999999999</v>
      </c>
      <c r="BX63" s="6" t="s">
        <v>1177</v>
      </c>
      <c r="BY63" s="15" t="s">
        <v>1148</v>
      </c>
      <c r="BZ63" s="30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9"/>
      <c r="DB63" s="6"/>
      <c r="DC63" s="30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7"/>
      <c r="FK63" s="15" t="s">
        <v>1056</v>
      </c>
      <c r="FL63" s="6"/>
      <c r="FM63" s="94"/>
    </row>
    <row r="64" spans="1:169" s="3" customFormat="1" ht="52.2" x14ac:dyDescent="0.4">
      <c r="A64" s="93"/>
      <c r="B64" s="98"/>
      <c r="C64" s="26"/>
      <c r="D64" s="27"/>
      <c r="E64" s="2" t="s">
        <v>1183</v>
      </c>
      <c r="F64" s="28"/>
      <c r="G64" s="28"/>
      <c r="H64" s="28"/>
      <c r="I64" s="6" t="s">
        <v>1168</v>
      </c>
      <c r="J64" s="28"/>
      <c r="K64" s="28"/>
      <c r="L64" s="28"/>
      <c r="M64" s="28"/>
      <c r="N64" s="28"/>
      <c r="O64" s="28"/>
      <c r="P64" s="28"/>
      <c r="Q64" s="5" t="s">
        <v>1130</v>
      </c>
      <c r="R64" s="5" t="s">
        <v>943</v>
      </c>
      <c r="S64" s="6" t="s">
        <v>1132</v>
      </c>
      <c r="T64" s="105" t="s">
        <v>1171</v>
      </c>
      <c r="U64" s="136">
        <f>105/10*60</f>
        <v>630</v>
      </c>
      <c r="V64" s="5" t="s">
        <v>1181</v>
      </c>
      <c r="W64" s="6" t="s">
        <v>665</v>
      </c>
      <c r="X64" s="105" t="s">
        <v>1171</v>
      </c>
      <c r="Y64" s="105">
        <v>9.4</v>
      </c>
      <c r="Z64" s="105" t="s">
        <v>1171</v>
      </c>
      <c r="AA64" s="6" t="s">
        <v>982</v>
      </c>
      <c r="AB64" s="105" t="s">
        <v>1171</v>
      </c>
      <c r="AC64" s="137">
        <v>0.3</v>
      </c>
      <c r="AD64" s="105" t="s">
        <v>1171</v>
      </c>
      <c r="AE64" s="6" t="s">
        <v>984</v>
      </c>
      <c r="AF64" s="105" t="s">
        <v>1171</v>
      </c>
      <c r="AG64" s="12">
        <v>10.199999999999999</v>
      </c>
      <c r="AH64" s="105" t="s">
        <v>1171</v>
      </c>
      <c r="AI64" s="6" t="s">
        <v>966</v>
      </c>
      <c r="AJ64" s="5"/>
      <c r="AK64" s="112">
        <v>0.01</v>
      </c>
      <c r="AL64" s="6"/>
      <c r="AM64" s="6" t="s">
        <v>958</v>
      </c>
      <c r="AN64" s="6"/>
      <c r="AO64" s="5" t="s">
        <v>1171</v>
      </c>
      <c r="AP64" s="6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6" t="s">
        <v>984</v>
      </c>
      <c r="BC64" s="106"/>
      <c r="BD64" s="106" t="s">
        <v>1173</v>
      </c>
      <c r="BE64" s="6" t="s">
        <v>665</v>
      </c>
      <c r="BF64" s="181" t="s">
        <v>1447</v>
      </c>
      <c r="BG64" s="12" t="s">
        <v>1174</v>
      </c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105" t="s">
        <v>680</v>
      </c>
      <c r="BS64" s="105" t="s">
        <v>680</v>
      </c>
      <c r="BT64" s="6"/>
      <c r="BU64" s="12">
        <v>24.15</v>
      </c>
      <c r="BV64" s="6" t="s">
        <v>1147</v>
      </c>
      <c r="BW64" s="105">
        <v>1.2909999999999999</v>
      </c>
      <c r="BX64" s="6" t="s">
        <v>1184</v>
      </c>
      <c r="BY64" s="15" t="s">
        <v>1148</v>
      </c>
      <c r="BZ64" s="30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9"/>
      <c r="DB64" s="6"/>
      <c r="DC64" s="30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7"/>
      <c r="FK64" s="15" t="s">
        <v>1056</v>
      </c>
      <c r="FL64" s="6"/>
      <c r="FM64" s="94"/>
    </row>
    <row r="65" spans="1:169" s="3" customFormat="1" ht="52.2" x14ac:dyDescent="0.4">
      <c r="A65" s="93"/>
      <c r="B65" s="98"/>
      <c r="C65" s="26"/>
      <c r="D65" s="27"/>
      <c r="E65" s="2" t="s">
        <v>1185</v>
      </c>
      <c r="F65" s="28"/>
      <c r="G65" s="28"/>
      <c r="H65" s="28"/>
      <c r="I65" s="6" t="s">
        <v>1168</v>
      </c>
      <c r="J65" s="28"/>
      <c r="K65" s="28"/>
      <c r="L65" s="28"/>
      <c r="M65" s="28"/>
      <c r="N65" s="28"/>
      <c r="O65" s="28"/>
      <c r="P65" s="28"/>
      <c r="Q65" s="5" t="s">
        <v>1169</v>
      </c>
      <c r="R65" s="5" t="s">
        <v>1170</v>
      </c>
      <c r="S65" s="6" t="s">
        <v>1132</v>
      </c>
      <c r="T65" s="105" t="s">
        <v>1171</v>
      </c>
      <c r="U65" s="105" t="s">
        <v>1171</v>
      </c>
      <c r="V65" s="136">
        <f>56437*1.1</f>
        <v>62080.700000000004</v>
      </c>
      <c r="W65" s="6" t="s">
        <v>665</v>
      </c>
      <c r="X65" s="105" t="s">
        <v>1171</v>
      </c>
      <c r="Y65" s="105" t="s">
        <v>1171</v>
      </c>
      <c r="Z65" s="105">
        <v>12.65</v>
      </c>
      <c r="AA65" s="6" t="s">
        <v>982</v>
      </c>
      <c r="AB65" s="105" t="s">
        <v>1171</v>
      </c>
      <c r="AC65" s="105" t="s">
        <v>1171</v>
      </c>
      <c r="AD65" s="105" t="s">
        <v>1187</v>
      </c>
      <c r="AE65" s="6" t="s">
        <v>984</v>
      </c>
      <c r="AF65" s="105" t="s">
        <v>1171</v>
      </c>
      <c r="AG65" s="12">
        <v>10.199999999999999</v>
      </c>
      <c r="AH65" s="105" t="s">
        <v>1171</v>
      </c>
      <c r="AI65" s="6" t="s">
        <v>966</v>
      </c>
      <c r="AJ65" s="5"/>
      <c r="AK65" s="112">
        <v>0.2</v>
      </c>
      <c r="AL65" s="6"/>
      <c r="AM65" s="6" t="s">
        <v>958</v>
      </c>
      <c r="AN65" s="6"/>
      <c r="AO65" s="5">
        <v>10.46</v>
      </c>
      <c r="AP65" s="6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6" t="s">
        <v>984</v>
      </c>
      <c r="BC65" s="106"/>
      <c r="BD65" s="106" t="s">
        <v>1173</v>
      </c>
      <c r="BE65" s="6" t="s">
        <v>665</v>
      </c>
      <c r="BF65" s="181" t="s">
        <v>1447</v>
      </c>
      <c r="BG65" s="12" t="s">
        <v>1174</v>
      </c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5">
        <v>43.2</v>
      </c>
      <c r="BS65" s="12">
        <v>692</v>
      </c>
      <c r="BT65" s="6"/>
      <c r="BU65" s="105" t="s">
        <v>680</v>
      </c>
      <c r="BV65" s="105" t="s">
        <v>680</v>
      </c>
      <c r="BW65" s="105" t="s">
        <v>680</v>
      </c>
      <c r="BX65" s="6" t="s">
        <v>1176</v>
      </c>
      <c r="BY65" s="15" t="s">
        <v>1186</v>
      </c>
      <c r="BZ65" s="30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9"/>
      <c r="DB65" s="6"/>
      <c r="DC65" s="30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7"/>
      <c r="FK65" s="15" t="s">
        <v>1056</v>
      </c>
      <c r="FL65" s="6"/>
      <c r="FM65" s="94"/>
    </row>
    <row r="66" spans="1:169" s="3" customFormat="1" ht="52.2" x14ac:dyDescent="0.4">
      <c r="A66" s="93"/>
      <c r="B66" s="98"/>
      <c r="C66" s="26"/>
      <c r="D66" s="27"/>
      <c r="E66" s="2" t="s">
        <v>1188</v>
      </c>
      <c r="F66" s="28"/>
      <c r="G66" s="28"/>
      <c r="H66" s="28"/>
      <c r="I66" s="6" t="s">
        <v>1168</v>
      </c>
      <c r="J66" s="28"/>
      <c r="K66" s="28"/>
      <c r="L66" s="28"/>
      <c r="M66" s="28"/>
      <c r="N66" s="28"/>
      <c r="O66" s="28"/>
      <c r="P66" s="28"/>
      <c r="Q66" s="5" t="s">
        <v>1169</v>
      </c>
      <c r="R66" s="5" t="s">
        <v>1170</v>
      </c>
      <c r="S66" s="6" t="s">
        <v>1132</v>
      </c>
      <c r="T66" s="105" t="s">
        <v>1171</v>
      </c>
      <c r="U66" s="105" t="s">
        <v>1171</v>
      </c>
      <c r="V66" s="136">
        <f>56437*1.1</f>
        <v>62080.700000000004</v>
      </c>
      <c r="W66" s="6" t="s">
        <v>665</v>
      </c>
      <c r="X66" s="105" t="s">
        <v>1171</v>
      </c>
      <c r="Y66" s="105" t="s">
        <v>1171</v>
      </c>
      <c r="Z66" s="105">
        <v>12.65</v>
      </c>
      <c r="AA66" s="6" t="s">
        <v>982</v>
      </c>
      <c r="AB66" s="105" t="s">
        <v>1171</v>
      </c>
      <c r="AC66" s="105" t="s">
        <v>1171</v>
      </c>
      <c r="AD66" s="105" t="s">
        <v>1187</v>
      </c>
      <c r="AE66" s="6" t="s">
        <v>984</v>
      </c>
      <c r="AF66" s="105" t="s">
        <v>1171</v>
      </c>
      <c r="AG66" s="12">
        <v>10.199999999999999</v>
      </c>
      <c r="AH66" s="105" t="s">
        <v>1171</v>
      </c>
      <c r="AI66" s="6" t="s">
        <v>966</v>
      </c>
      <c r="AJ66" s="5"/>
      <c r="AK66" s="112">
        <v>0.2</v>
      </c>
      <c r="AL66" s="6"/>
      <c r="AM66" s="6" t="s">
        <v>958</v>
      </c>
      <c r="AN66" s="6"/>
      <c r="AO66" s="5">
        <v>10.46</v>
      </c>
      <c r="AP66" s="6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6" t="s">
        <v>984</v>
      </c>
      <c r="BC66" s="106"/>
      <c r="BD66" s="106" t="s">
        <v>1173</v>
      </c>
      <c r="BE66" s="6" t="s">
        <v>665</v>
      </c>
      <c r="BF66" s="181" t="s">
        <v>1447</v>
      </c>
      <c r="BG66" s="12" t="s">
        <v>1174</v>
      </c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5">
        <v>43.2</v>
      </c>
      <c r="BS66" s="12">
        <v>692</v>
      </c>
      <c r="BT66" s="6"/>
      <c r="BU66" s="105" t="s">
        <v>680</v>
      </c>
      <c r="BV66" s="105" t="s">
        <v>680</v>
      </c>
      <c r="BW66" s="105" t="s">
        <v>680</v>
      </c>
      <c r="BX66" s="6" t="s">
        <v>1176</v>
      </c>
      <c r="BY66" s="15" t="s">
        <v>1186</v>
      </c>
      <c r="BZ66" s="30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9"/>
      <c r="DB66" s="6"/>
      <c r="DC66" s="30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7"/>
      <c r="FK66" s="15" t="s">
        <v>1056</v>
      </c>
      <c r="FL66" s="6"/>
      <c r="FM66" s="94"/>
    </row>
    <row r="67" spans="1:169" s="3" customFormat="1" ht="52.2" x14ac:dyDescent="0.4">
      <c r="A67" s="93"/>
      <c r="B67" s="98"/>
      <c r="C67" s="26"/>
      <c r="D67" s="27"/>
      <c r="E67" s="2" t="s">
        <v>1189</v>
      </c>
      <c r="F67" s="28"/>
      <c r="G67" s="28"/>
      <c r="H67" s="28"/>
      <c r="I67" s="6" t="s">
        <v>1168</v>
      </c>
      <c r="J67" s="28"/>
      <c r="K67" s="28"/>
      <c r="L67" s="28"/>
      <c r="M67" s="28"/>
      <c r="N67" s="28"/>
      <c r="O67" s="28"/>
      <c r="P67" s="28"/>
      <c r="Q67" s="5" t="s">
        <v>1169</v>
      </c>
      <c r="R67" s="5" t="s">
        <v>1170</v>
      </c>
      <c r="S67" s="6" t="s">
        <v>1132</v>
      </c>
      <c r="T67" s="105" t="s">
        <v>1171</v>
      </c>
      <c r="U67" s="136">
        <f>24.948*0.4*692/30*60</f>
        <v>13811.212800000001</v>
      </c>
      <c r="V67" s="105" t="s">
        <v>1171</v>
      </c>
      <c r="W67" s="6" t="s">
        <v>665</v>
      </c>
      <c r="X67" s="105" t="s">
        <v>1171</v>
      </c>
      <c r="Y67" s="105">
        <v>12.65</v>
      </c>
      <c r="Z67" s="105" t="s">
        <v>1171</v>
      </c>
      <c r="AA67" s="6" t="s">
        <v>982</v>
      </c>
      <c r="AB67" s="105" t="s">
        <v>1171</v>
      </c>
      <c r="AC67" s="137">
        <v>1.65</v>
      </c>
      <c r="AD67" s="105" t="s">
        <v>1171</v>
      </c>
      <c r="AE67" s="6" t="s">
        <v>984</v>
      </c>
      <c r="AF67" s="105" t="s">
        <v>1171</v>
      </c>
      <c r="AG67" s="12">
        <v>10.199999999999999</v>
      </c>
      <c r="AH67" s="105" t="s">
        <v>1171</v>
      </c>
      <c r="AI67" s="6" t="s">
        <v>966</v>
      </c>
      <c r="AJ67" s="5"/>
      <c r="AK67" s="112">
        <v>0.2</v>
      </c>
      <c r="AL67" s="6"/>
      <c r="AM67" s="6" t="s">
        <v>958</v>
      </c>
      <c r="AN67" s="6"/>
      <c r="AO67" s="5">
        <v>10.46</v>
      </c>
      <c r="AP67" s="6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6" t="s">
        <v>984</v>
      </c>
      <c r="BC67" s="106"/>
      <c r="BD67" s="106" t="s">
        <v>1173</v>
      </c>
      <c r="BE67" s="6" t="s">
        <v>665</v>
      </c>
      <c r="BF67" s="181" t="s">
        <v>1447</v>
      </c>
      <c r="BG67" s="12" t="s">
        <v>1174</v>
      </c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5">
        <v>43.2</v>
      </c>
      <c r="BS67" s="12">
        <v>692</v>
      </c>
      <c r="BT67" s="6"/>
      <c r="BU67" s="105" t="s">
        <v>680</v>
      </c>
      <c r="BV67" s="105" t="s">
        <v>680</v>
      </c>
      <c r="BW67" s="105" t="s">
        <v>680</v>
      </c>
      <c r="BX67" s="6" t="s">
        <v>1176</v>
      </c>
      <c r="BY67" s="15" t="s">
        <v>1194</v>
      </c>
      <c r="BZ67" s="30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9"/>
      <c r="DB67" s="6"/>
      <c r="DC67" s="30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7"/>
      <c r="FK67" s="15" t="s">
        <v>1056</v>
      </c>
      <c r="FL67" s="6"/>
      <c r="FM67" s="94"/>
    </row>
    <row r="68" spans="1:169" s="3" customFormat="1" ht="52.2" x14ac:dyDescent="0.4">
      <c r="A68" s="93"/>
      <c r="B68" s="98"/>
      <c r="C68" s="26"/>
      <c r="D68" s="27"/>
      <c r="E68" s="2" t="s">
        <v>1190</v>
      </c>
      <c r="F68" s="28"/>
      <c r="G68" s="28"/>
      <c r="H68" s="28"/>
      <c r="I68" s="6" t="s">
        <v>1168</v>
      </c>
      <c r="J68" s="28"/>
      <c r="K68" s="28"/>
      <c r="L68" s="28"/>
      <c r="M68" s="28"/>
      <c r="N68" s="28"/>
      <c r="O68" s="28"/>
      <c r="P68" s="28"/>
      <c r="Q68" s="5" t="s">
        <v>1169</v>
      </c>
      <c r="R68" s="5" t="s">
        <v>1170</v>
      </c>
      <c r="S68" s="6" t="s">
        <v>1132</v>
      </c>
      <c r="T68" s="105" t="s">
        <v>1171</v>
      </c>
      <c r="U68" s="136">
        <f>24.948*0.4*692/30*60</f>
        <v>13811.212800000001</v>
      </c>
      <c r="V68" s="105" t="s">
        <v>1171</v>
      </c>
      <c r="W68" s="6" t="s">
        <v>665</v>
      </c>
      <c r="X68" s="105" t="s">
        <v>1171</v>
      </c>
      <c r="Y68" s="105">
        <v>12.65</v>
      </c>
      <c r="Z68" s="105" t="s">
        <v>1171</v>
      </c>
      <c r="AA68" s="6" t="s">
        <v>982</v>
      </c>
      <c r="AB68" s="105" t="s">
        <v>1171</v>
      </c>
      <c r="AC68" s="105">
        <v>1.65</v>
      </c>
      <c r="AD68" s="105" t="s">
        <v>1171</v>
      </c>
      <c r="AE68" s="6" t="s">
        <v>984</v>
      </c>
      <c r="AF68" s="105" t="s">
        <v>1171</v>
      </c>
      <c r="AG68" s="12">
        <v>10.199999999999999</v>
      </c>
      <c r="AH68" s="105" t="s">
        <v>1171</v>
      </c>
      <c r="AI68" s="6" t="s">
        <v>966</v>
      </c>
      <c r="AJ68" s="5"/>
      <c r="AK68" s="112">
        <v>0.2</v>
      </c>
      <c r="AL68" s="6"/>
      <c r="AM68" s="6" t="s">
        <v>958</v>
      </c>
      <c r="AN68" s="6"/>
      <c r="AO68" s="5">
        <v>10.46</v>
      </c>
      <c r="AP68" s="6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6" t="s">
        <v>984</v>
      </c>
      <c r="BC68" s="106"/>
      <c r="BD68" s="106" t="s">
        <v>1173</v>
      </c>
      <c r="BE68" s="6" t="s">
        <v>665</v>
      </c>
      <c r="BF68" s="181" t="s">
        <v>1447</v>
      </c>
      <c r="BG68" s="12" t="s">
        <v>1174</v>
      </c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5">
        <v>43.2</v>
      </c>
      <c r="BS68" s="12">
        <v>692</v>
      </c>
      <c r="BT68" s="6"/>
      <c r="BU68" s="105" t="s">
        <v>680</v>
      </c>
      <c r="BV68" s="105" t="s">
        <v>680</v>
      </c>
      <c r="BW68" s="105" t="s">
        <v>680</v>
      </c>
      <c r="BX68" s="6" t="s">
        <v>1176</v>
      </c>
      <c r="BY68" s="15" t="s">
        <v>1148</v>
      </c>
      <c r="BZ68" s="30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9"/>
      <c r="DB68" s="6"/>
      <c r="DC68" s="30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7"/>
      <c r="FK68" s="15" t="s">
        <v>1056</v>
      </c>
      <c r="FL68" s="6"/>
      <c r="FM68" s="94"/>
    </row>
    <row r="69" spans="1:169" s="3" customFormat="1" ht="52.2" x14ac:dyDescent="0.4">
      <c r="A69" s="93"/>
      <c r="B69" s="98"/>
      <c r="C69" s="26"/>
      <c r="D69" s="27"/>
      <c r="E69" s="2" t="s">
        <v>1191</v>
      </c>
      <c r="F69" s="28"/>
      <c r="G69" s="28"/>
      <c r="H69" s="28"/>
      <c r="I69" s="6" t="s">
        <v>1168</v>
      </c>
      <c r="J69" s="28"/>
      <c r="K69" s="28"/>
      <c r="L69" s="28"/>
      <c r="M69" s="28"/>
      <c r="N69" s="28"/>
      <c r="O69" s="28"/>
      <c r="P69" s="28"/>
      <c r="Q69" s="5" t="s">
        <v>1169</v>
      </c>
      <c r="R69" s="5" t="s">
        <v>1170</v>
      </c>
      <c r="S69" s="6" t="s">
        <v>1132</v>
      </c>
      <c r="T69" s="105" t="s">
        <v>1171</v>
      </c>
      <c r="U69" s="136">
        <f>24.948*0.4*692/30*60</f>
        <v>13811.212800000001</v>
      </c>
      <c r="V69" s="105" t="s">
        <v>1171</v>
      </c>
      <c r="W69" s="6" t="s">
        <v>665</v>
      </c>
      <c r="X69" s="105" t="s">
        <v>1171</v>
      </c>
      <c r="Y69" s="105">
        <v>9.4</v>
      </c>
      <c r="Z69" s="105" t="s">
        <v>1171</v>
      </c>
      <c r="AA69" s="6" t="s">
        <v>982</v>
      </c>
      <c r="AB69" s="105" t="s">
        <v>1171</v>
      </c>
      <c r="AC69" s="105">
        <v>3.9</v>
      </c>
      <c r="AD69" s="105" t="s">
        <v>1171</v>
      </c>
      <c r="AE69" s="6" t="s">
        <v>984</v>
      </c>
      <c r="AF69" s="105" t="s">
        <v>1171</v>
      </c>
      <c r="AG69" s="12">
        <v>10.199999999999999</v>
      </c>
      <c r="AH69" s="105" t="s">
        <v>1171</v>
      </c>
      <c r="AI69" s="6" t="s">
        <v>966</v>
      </c>
      <c r="AJ69" s="5"/>
      <c r="AK69" s="112">
        <v>0.2</v>
      </c>
      <c r="AL69" s="6"/>
      <c r="AM69" s="6" t="s">
        <v>958</v>
      </c>
      <c r="AN69" s="6"/>
      <c r="AO69" s="5">
        <v>10.46</v>
      </c>
      <c r="AP69" s="6" t="s">
        <v>984</v>
      </c>
      <c r="AQ69" s="106"/>
      <c r="AR69" s="106" t="s">
        <v>1173</v>
      </c>
      <c r="AS69" s="6" t="s">
        <v>665</v>
      </c>
      <c r="AT69" s="6"/>
      <c r="AU69" s="12" t="s">
        <v>1174</v>
      </c>
      <c r="AV69" s="28"/>
      <c r="AW69" s="28"/>
      <c r="AX69" s="28"/>
      <c r="AY69" s="28"/>
      <c r="AZ69" s="28"/>
      <c r="BA69" s="28"/>
      <c r="BB69" s="6" t="s">
        <v>984</v>
      </c>
      <c r="BC69" s="106"/>
      <c r="BD69" s="106" t="s">
        <v>1173</v>
      </c>
      <c r="BE69" s="6" t="s">
        <v>665</v>
      </c>
      <c r="BF69" s="6"/>
      <c r="BG69" s="12" t="s">
        <v>1174</v>
      </c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5">
        <v>43.2</v>
      </c>
      <c r="BS69" s="12">
        <v>692</v>
      </c>
      <c r="BT69" s="6"/>
      <c r="BU69" s="105" t="s">
        <v>680</v>
      </c>
      <c r="BV69" s="105" t="s">
        <v>680</v>
      </c>
      <c r="BW69" s="105" t="s">
        <v>680</v>
      </c>
      <c r="BX69" s="6" t="s">
        <v>1176</v>
      </c>
      <c r="BY69" s="15" t="s">
        <v>1195</v>
      </c>
      <c r="BZ69" s="30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9"/>
      <c r="DB69" s="6"/>
      <c r="DC69" s="30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7"/>
      <c r="FK69" s="15" t="s">
        <v>1056</v>
      </c>
      <c r="FL69" s="6"/>
      <c r="FM69" s="94"/>
    </row>
    <row r="70" spans="1:169" s="3" customFormat="1" ht="52.2" x14ac:dyDescent="0.4">
      <c r="A70" s="93"/>
      <c r="B70" s="98"/>
      <c r="C70" s="26"/>
      <c r="D70" s="27"/>
      <c r="E70" s="2" t="s">
        <v>1192</v>
      </c>
      <c r="F70" s="28"/>
      <c r="G70" s="28"/>
      <c r="H70" s="28"/>
      <c r="I70" s="6" t="s">
        <v>1168</v>
      </c>
      <c r="J70" s="28"/>
      <c r="K70" s="28"/>
      <c r="L70" s="28"/>
      <c r="M70" s="28"/>
      <c r="N70" s="28"/>
      <c r="O70" s="28"/>
      <c r="P70" s="28"/>
      <c r="Q70" s="5" t="s">
        <v>1130</v>
      </c>
      <c r="R70" s="5" t="s">
        <v>1193</v>
      </c>
      <c r="S70" s="6" t="s">
        <v>1132</v>
      </c>
      <c r="T70" s="105" t="s">
        <v>1171</v>
      </c>
      <c r="U70" s="136">
        <f>105/10*60</f>
        <v>630</v>
      </c>
      <c r="V70" s="105" t="s">
        <v>1171</v>
      </c>
      <c r="W70" s="6" t="s">
        <v>665</v>
      </c>
      <c r="X70" s="105" t="s">
        <v>1171</v>
      </c>
      <c r="Y70" s="105">
        <v>0.74</v>
      </c>
      <c r="Z70" s="105" t="s">
        <v>1171</v>
      </c>
      <c r="AA70" s="6" t="s">
        <v>982</v>
      </c>
      <c r="AB70" s="105" t="s">
        <v>1171</v>
      </c>
      <c r="AC70" s="137">
        <v>0.3</v>
      </c>
      <c r="AD70" s="105" t="s">
        <v>1171</v>
      </c>
      <c r="AE70" s="6" t="s">
        <v>984</v>
      </c>
      <c r="AF70" s="137"/>
      <c r="AG70" s="12">
        <v>10.199999999999999</v>
      </c>
      <c r="AH70" s="105" t="s">
        <v>1171</v>
      </c>
      <c r="AI70" s="6" t="s">
        <v>966</v>
      </c>
      <c r="AJ70" s="5"/>
      <c r="AK70" s="112">
        <v>0.01</v>
      </c>
      <c r="AL70" s="6"/>
      <c r="AM70" s="6" t="s">
        <v>958</v>
      </c>
      <c r="AN70" s="6"/>
      <c r="AO70" s="5" t="s">
        <v>1171</v>
      </c>
      <c r="AP70" s="6"/>
      <c r="AQ70" s="138"/>
      <c r="AR70" s="138"/>
      <c r="AS70" s="104"/>
      <c r="AT70" s="104"/>
      <c r="AU70" s="139"/>
      <c r="AV70" s="28"/>
      <c r="AW70" s="28"/>
      <c r="AX70" s="28"/>
      <c r="AY70" s="28"/>
      <c r="AZ70" s="28"/>
      <c r="BA70" s="28"/>
      <c r="BB70" s="6" t="s">
        <v>984</v>
      </c>
      <c r="BC70" s="106"/>
      <c r="BD70" s="106" t="s">
        <v>1173</v>
      </c>
      <c r="BE70" s="6" t="s">
        <v>665</v>
      </c>
      <c r="BF70" s="181" t="s">
        <v>1447</v>
      </c>
      <c r="BG70" s="12" t="s">
        <v>1174</v>
      </c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105" t="s">
        <v>680</v>
      </c>
      <c r="BS70" s="105" t="s">
        <v>680</v>
      </c>
      <c r="BT70" s="6"/>
      <c r="BU70" s="12">
        <v>24.15</v>
      </c>
      <c r="BV70" s="6" t="s">
        <v>1147</v>
      </c>
      <c r="BW70" s="105">
        <v>1.2909999999999999</v>
      </c>
      <c r="BX70" s="6" t="s">
        <v>1184</v>
      </c>
      <c r="BY70" s="15" t="s">
        <v>1148</v>
      </c>
      <c r="BZ70" s="30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9"/>
      <c r="DB70" s="6"/>
      <c r="DC70" s="30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7"/>
      <c r="FK70" s="15" t="s">
        <v>1056</v>
      </c>
      <c r="FL70" s="6"/>
      <c r="FM70" s="94"/>
    </row>
    <row r="71" spans="1:169" s="3" customFormat="1" x14ac:dyDescent="0.4">
      <c r="A71" s="93"/>
      <c r="B71" s="93"/>
      <c r="C71" s="26"/>
      <c r="D71" s="27" t="s">
        <v>319</v>
      </c>
      <c r="E71" s="2" t="s">
        <v>336</v>
      </c>
      <c r="F71" s="28" t="s">
        <v>319</v>
      </c>
      <c r="G71" s="28" t="s">
        <v>319</v>
      </c>
      <c r="H71" s="28" t="s">
        <v>319</v>
      </c>
      <c r="I71" s="6" t="s">
        <v>588</v>
      </c>
      <c r="J71" s="28" t="s">
        <v>319</v>
      </c>
      <c r="K71" s="28" t="s">
        <v>319</v>
      </c>
      <c r="L71" s="28" t="s">
        <v>319</v>
      </c>
      <c r="M71" s="28" t="s">
        <v>319</v>
      </c>
      <c r="N71" s="28" t="s">
        <v>319</v>
      </c>
      <c r="O71" s="28" t="s">
        <v>319</v>
      </c>
      <c r="P71" s="28" t="s">
        <v>319</v>
      </c>
      <c r="Q71" s="5" t="s">
        <v>673</v>
      </c>
      <c r="R71" s="5" t="s">
        <v>663</v>
      </c>
      <c r="S71" s="6" t="s">
        <v>669</v>
      </c>
      <c r="T71" s="5"/>
      <c r="U71" s="5"/>
      <c r="V71" s="223">
        <f>35*661.1</f>
        <v>23138.5</v>
      </c>
      <c r="W71" s="6" t="s">
        <v>665</v>
      </c>
      <c r="X71" s="5"/>
      <c r="Y71" s="5"/>
      <c r="Z71" s="105">
        <v>11.61</v>
      </c>
      <c r="AA71" s="6" t="s">
        <v>963</v>
      </c>
      <c r="AB71" s="6"/>
      <c r="AC71" s="6"/>
      <c r="AD71" s="219" t="s">
        <v>1463</v>
      </c>
      <c r="AE71" s="6" t="s">
        <v>956</v>
      </c>
      <c r="AF71" s="6"/>
      <c r="AG71" s="12">
        <v>10.199999999999999</v>
      </c>
      <c r="AH71" s="6"/>
      <c r="AI71" s="6" t="s">
        <v>965</v>
      </c>
      <c r="AJ71" s="5"/>
      <c r="AK71" s="108">
        <v>0.2</v>
      </c>
      <c r="AL71" s="6"/>
      <c r="AM71" s="6" t="s">
        <v>958</v>
      </c>
      <c r="AN71" s="6"/>
      <c r="AO71" s="105">
        <v>10.46</v>
      </c>
      <c r="AP71" s="6"/>
      <c r="AQ71" s="28" t="s">
        <v>319</v>
      </c>
      <c r="AR71" s="28" t="s">
        <v>319</v>
      </c>
      <c r="AS71" s="28" t="s">
        <v>319</v>
      </c>
      <c r="AT71" s="28" t="s">
        <v>319</v>
      </c>
      <c r="AU71" s="28" t="s">
        <v>319</v>
      </c>
      <c r="AV71" s="28" t="s">
        <v>319</v>
      </c>
      <c r="AW71" s="28" t="s">
        <v>319</v>
      </c>
      <c r="AX71" s="28" t="s">
        <v>319</v>
      </c>
      <c r="AY71" s="28" t="s">
        <v>319</v>
      </c>
      <c r="AZ71" s="28" t="s">
        <v>319</v>
      </c>
      <c r="BA71" s="28" t="s">
        <v>319</v>
      </c>
      <c r="BB71" s="6" t="s">
        <v>984</v>
      </c>
      <c r="BC71" s="5" t="s">
        <v>1011</v>
      </c>
      <c r="BD71" s="106" t="s">
        <v>1371</v>
      </c>
      <c r="BE71" s="6" t="s">
        <v>1010</v>
      </c>
      <c r="BF71" s="6"/>
      <c r="BG71" s="12">
        <v>18.7</v>
      </c>
      <c r="BH71" s="28" t="s">
        <v>319</v>
      </c>
      <c r="BI71" s="28" t="s">
        <v>319</v>
      </c>
      <c r="BJ71" s="28" t="s">
        <v>319</v>
      </c>
      <c r="BK71" s="28" t="s">
        <v>319</v>
      </c>
      <c r="BL71" s="28" t="s">
        <v>319</v>
      </c>
      <c r="BM71" s="28" t="s">
        <v>319</v>
      </c>
      <c r="BN71" s="28" t="s">
        <v>319</v>
      </c>
      <c r="BO71" s="28" t="s">
        <v>319</v>
      </c>
      <c r="BP71" s="28" t="s">
        <v>319</v>
      </c>
      <c r="BQ71" s="28" t="s">
        <v>319</v>
      </c>
      <c r="BR71" s="105">
        <v>43.25</v>
      </c>
      <c r="BS71" s="12">
        <v>661.1</v>
      </c>
      <c r="BT71" s="6"/>
      <c r="BU71" s="12"/>
      <c r="BV71" s="6"/>
      <c r="BW71" s="5"/>
      <c r="BX71" s="6"/>
      <c r="BY71" s="6"/>
      <c r="BZ71" s="30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9"/>
      <c r="DB71" s="6"/>
      <c r="DC71" s="30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 t="s">
        <v>319</v>
      </c>
      <c r="DO71" s="28" t="s">
        <v>319</v>
      </c>
      <c r="DP71" s="28" t="s">
        <v>319</v>
      </c>
      <c r="DQ71" s="28" t="s">
        <v>319</v>
      </c>
      <c r="DR71" s="28" t="s">
        <v>319</v>
      </c>
      <c r="DS71" s="28" t="s">
        <v>319</v>
      </c>
      <c r="DT71" s="28" t="s">
        <v>319</v>
      </c>
      <c r="DU71" s="28" t="s">
        <v>319</v>
      </c>
      <c r="DV71" s="28" t="s">
        <v>319</v>
      </c>
      <c r="DW71" s="28" t="s">
        <v>319</v>
      </c>
      <c r="DX71" s="28" t="s">
        <v>319</v>
      </c>
      <c r="DY71" s="28" t="s">
        <v>319</v>
      </c>
      <c r="DZ71" s="28" t="s">
        <v>319</v>
      </c>
      <c r="EA71" s="28" t="s">
        <v>319</v>
      </c>
      <c r="EB71" s="28" t="s">
        <v>319</v>
      </c>
      <c r="EC71" s="28" t="s">
        <v>319</v>
      </c>
      <c r="ED71" s="28" t="s">
        <v>319</v>
      </c>
      <c r="EE71" s="28"/>
      <c r="EF71" s="28" t="s">
        <v>319</v>
      </c>
      <c r="EG71" s="28" t="s">
        <v>319</v>
      </c>
      <c r="EH71" s="28" t="s">
        <v>319</v>
      </c>
      <c r="EI71" s="28" t="s">
        <v>319</v>
      </c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7"/>
      <c r="FK71" s="6"/>
      <c r="FL71" s="6"/>
      <c r="FM71" s="97"/>
    </row>
    <row r="72" spans="1:169" s="3" customFormat="1" x14ac:dyDescent="0.4">
      <c r="A72" s="93"/>
      <c r="B72" s="93"/>
      <c r="C72" s="26"/>
      <c r="D72" s="27" t="s">
        <v>319</v>
      </c>
      <c r="E72" s="2" t="s">
        <v>448</v>
      </c>
      <c r="F72" s="28" t="s">
        <v>319</v>
      </c>
      <c r="G72" s="28" t="s">
        <v>319</v>
      </c>
      <c r="H72" s="28" t="s">
        <v>319</v>
      </c>
      <c r="I72" s="6" t="s">
        <v>588</v>
      </c>
      <c r="J72" s="28" t="s">
        <v>319</v>
      </c>
      <c r="K72" s="28" t="s">
        <v>319</v>
      </c>
      <c r="L72" s="28" t="s">
        <v>319</v>
      </c>
      <c r="M72" s="28" t="s">
        <v>319</v>
      </c>
      <c r="N72" s="28" t="s">
        <v>319</v>
      </c>
      <c r="O72" s="28" t="s">
        <v>319</v>
      </c>
      <c r="P72" s="28" t="s">
        <v>319</v>
      </c>
      <c r="Q72" s="5" t="s">
        <v>684</v>
      </c>
      <c r="R72" s="5" t="s">
        <v>663</v>
      </c>
      <c r="S72" s="6" t="s">
        <v>672</v>
      </c>
      <c r="T72" s="99" t="s">
        <v>680</v>
      </c>
      <c r="U72" s="6" t="s">
        <v>1268</v>
      </c>
      <c r="V72" s="140">
        <v>2219</v>
      </c>
      <c r="W72" s="6" t="s">
        <v>665</v>
      </c>
      <c r="X72" s="99" t="s">
        <v>680</v>
      </c>
      <c r="Y72" s="6" t="s">
        <v>1271</v>
      </c>
      <c r="Z72" s="99" t="s">
        <v>680</v>
      </c>
      <c r="AA72" s="6" t="s">
        <v>968</v>
      </c>
      <c r="AB72" s="99" t="s">
        <v>680</v>
      </c>
      <c r="AC72" s="103">
        <v>2.87</v>
      </c>
      <c r="AD72" s="99" t="s">
        <v>680</v>
      </c>
      <c r="AE72" s="6" t="s">
        <v>956</v>
      </c>
      <c r="AF72" s="6"/>
      <c r="AG72" s="12">
        <v>10.199999999999999</v>
      </c>
      <c r="AH72" s="6"/>
      <c r="AI72" s="6" t="s">
        <v>976</v>
      </c>
      <c r="AJ72" s="108"/>
      <c r="AK72" s="108">
        <v>1.038</v>
      </c>
      <c r="AL72" s="6"/>
      <c r="AM72" s="6" t="s">
        <v>958</v>
      </c>
      <c r="AN72" s="6"/>
      <c r="AO72" s="5">
        <v>5.93</v>
      </c>
      <c r="AP72" s="6"/>
      <c r="AQ72" s="28" t="s">
        <v>319</v>
      </c>
      <c r="AR72" s="28" t="s">
        <v>319</v>
      </c>
      <c r="AS72" s="28" t="s">
        <v>319</v>
      </c>
      <c r="AT72" s="28" t="s">
        <v>319</v>
      </c>
      <c r="AU72" s="28" t="s">
        <v>319</v>
      </c>
      <c r="AV72" s="28" t="s">
        <v>319</v>
      </c>
      <c r="AW72" s="28" t="s">
        <v>319</v>
      </c>
      <c r="AX72" s="28" t="s">
        <v>319</v>
      </c>
      <c r="AY72" s="28" t="s">
        <v>319</v>
      </c>
      <c r="AZ72" s="28" t="s">
        <v>319</v>
      </c>
      <c r="BA72" s="28" t="s">
        <v>319</v>
      </c>
      <c r="BB72" s="6" t="s">
        <v>984</v>
      </c>
      <c r="BC72" s="5" t="s">
        <v>1011</v>
      </c>
      <c r="BD72" s="106" t="s">
        <v>1372</v>
      </c>
      <c r="BE72" s="6" t="s">
        <v>1010</v>
      </c>
      <c r="BF72" s="6"/>
      <c r="BG72" s="12">
        <v>18.7</v>
      </c>
      <c r="BH72" s="28" t="s">
        <v>319</v>
      </c>
      <c r="BI72" s="28" t="s">
        <v>319</v>
      </c>
      <c r="BJ72" s="28" t="s">
        <v>319</v>
      </c>
      <c r="BK72" s="28" t="s">
        <v>319</v>
      </c>
      <c r="BL72" s="28" t="s">
        <v>319</v>
      </c>
      <c r="BM72" s="28" t="s">
        <v>319</v>
      </c>
      <c r="BN72" s="28" t="s">
        <v>319</v>
      </c>
      <c r="BO72" s="28" t="s">
        <v>319</v>
      </c>
      <c r="BP72" s="28" t="s">
        <v>319</v>
      </c>
      <c r="BQ72" s="28" t="s">
        <v>319</v>
      </c>
      <c r="BR72" s="99" t="s">
        <v>1269</v>
      </c>
      <c r="BS72" s="6" t="s">
        <v>1270</v>
      </c>
      <c r="BT72" s="6"/>
      <c r="BU72" s="5"/>
      <c r="BV72" s="6"/>
      <c r="BW72" s="5"/>
      <c r="BX72" s="99" t="s">
        <v>680</v>
      </c>
      <c r="BY72" s="6"/>
      <c r="BZ72" s="30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9"/>
      <c r="DB72" s="6"/>
      <c r="DC72" s="30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 t="s">
        <v>319</v>
      </c>
      <c r="DO72" s="28" t="s">
        <v>319</v>
      </c>
      <c r="DP72" s="28" t="s">
        <v>319</v>
      </c>
      <c r="DQ72" s="28" t="s">
        <v>319</v>
      </c>
      <c r="DR72" s="28" t="s">
        <v>319</v>
      </c>
      <c r="DS72" s="28" t="s">
        <v>319</v>
      </c>
      <c r="DT72" s="28" t="s">
        <v>319</v>
      </c>
      <c r="DU72" s="28" t="s">
        <v>319</v>
      </c>
      <c r="DV72" s="28" t="s">
        <v>319</v>
      </c>
      <c r="DW72" s="28" t="s">
        <v>319</v>
      </c>
      <c r="DX72" s="28" t="s">
        <v>319</v>
      </c>
      <c r="DY72" s="28" t="s">
        <v>319</v>
      </c>
      <c r="DZ72" s="28" t="s">
        <v>319</v>
      </c>
      <c r="EA72" s="28" t="s">
        <v>319</v>
      </c>
      <c r="EB72" s="28" t="s">
        <v>319</v>
      </c>
      <c r="EC72" s="28" t="s">
        <v>319</v>
      </c>
      <c r="ED72" s="28" t="s">
        <v>319</v>
      </c>
      <c r="EE72" s="28"/>
      <c r="EF72" s="28" t="s">
        <v>319</v>
      </c>
      <c r="EG72" s="28" t="s">
        <v>319</v>
      </c>
      <c r="EH72" s="28" t="s">
        <v>319</v>
      </c>
      <c r="EI72" s="28" t="s">
        <v>319</v>
      </c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7"/>
      <c r="FK72" s="6"/>
      <c r="FL72" s="6"/>
      <c r="FM72" s="97"/>
    </row>
    <row r="73" spans="1:169" s="3" customFormat="1" ht="52.2" x14ac:dyDescent="0.4">
      <c r="A73" s="93"/>
      <c r="B73" s="93"/>
      <c r="C73" s="26"/>
      <c r="D73" s="27" t="s">
        <v>319</v>
      </c>
      <c r="E73" s="2" t="s">
        <v>447</v>
      </c>
      <c r="F73" s="28" t="s">
        <v>319</v>
      </c>
      <c r="G73" s="28" t="s">
        <v>319</v>
      </c>
      <c r="H73" s="28" t="s">
        <v>319</v>
      </c>
      <c r="I73" s="6" t="s">
        <v>1373</v>
      </c>
      <c r="J73" s="28" t="s">
        <v>319</v>
      </c>
      <c r="K73" s="28" t="s">
        <v>319</v>
      </c>
      <c r="L73" s="28" t="s">
        <v>319</v>
      </c>
      <c r="M73" s="28" t="s">
        <v>319</v>
      </c>
      <c r="N73" s="28" t="s">
        <v>319</v>
      </c>
      <c r="O73" s="28" t="s">
        <v>319</v>
      </c>
      <c r="P73" s="28" t="s">
        <v>319</v>
      </c>
      <c r="Q73" s="5" t="s">
        <v>673</v>
      </c>
      <c r="R73" s="5" t="s">
        <v>663</v>
      </c>
      <c r="S73" s="6" t="s">
        <v>678</v>
      </c>
      <c r="T73" s="5" t="s">
        <v>728</v>
      </c>
      <c r="U73" s="5" t="s">
        <v>729</v>
      </c>
      <c r="V73" s="5" t="s">
        <v>730</v>
      </c>
      <c r="W73" s="6" t="s">
        <v>665</v>
      </c>
      <c r="X73" s="105">
        <v>12.42</v>
      </c>
      <c r="Y73" s="105">
        <v>11.07</v>
      </c>
      <c r="Z73" s="105">
        <v>10.77</v>
      </c>
      <c r="AA73" s="6" t="s">
        <v>963</v>
      </c>
      <c r="AB73" s="225">
        <f>2.68+0.28</f>
        <v>2.96</v>
      </c>
      <c r="AC73" s="225">
        <f>1.11+0.28</f>
        <v>1.3900000000000001</v>
      </c>
      <c r="AD73" s="225">
        <f>0.7+0.28</f>
        <v>0.98</v>
      </c>
      <c r="AE73" s="6" t="s">
        <v>956</v>
      </c>
      <c r="AF73" s="6"/>
      <c r="AG73" s="12">
        <v>10.199999999999999</v>
      </c>
      <c r="AH73" s="6"/>
      <c r="AI73" s="6" t="s">
        <v>965</v>
      </c>
      <c r="AJ73" s="108"/>
      <c r="AK73" s="108">
        <v>0.2</v>
      </c>
      <c r="AL73" s="6"/>
      <c r="AM73" s="6" t="s">
        <v>958</v>
      </c>
      <c r="AN73" s="6"/>
      <c r="AO73" s="105">
        <v>10.46</v>
      </c>
      <c r="AP73" s="6"/>
      <c r="AQ73" s="28" t="s">
        <v>319</v>
      </c>
      <c r="AR73" s="28" t="s">
        <v>319</v>
      </c>
      <c r="AS73" s="28" t="s">
        <v>319</v>
      </c>
      <c r="AT73" s="28" t="s">
        <v>319</v>
      </c>
      <c r="AU73" s="28" t="s">
        <v>319</v>
      </c>
      <c r="AV73" s="28" t="s">
        <v>319</v>
      </c>
      <c r="AW73" s="28" t="s">
        <v>319</v>
      </c>
      <c r="AX73" s="28" t="s">
        <v>319</v>
      </c>
      <c r="AY73" s="28" t="s">
        <v>319</v>
      </c>
      <c r="AZ73" s="28" t="s">
        <v>319</v>
      </c>
      <c r="BA73" s="28" t="s">
        <v>319</v>
      </c>
      <c r="BB73" s="6" t="s">
        <v>984</v>
      </c>
      <c r="BC73" s="5" t="s">
        <v>1011</v>
      </c>
      <c r="BD73" s="106" t="s">
        <v>1371</v>
      </c>
      <c r="BE73" s="6" t="s">
        <v>1010</v>
      </c>
      <c r="BF73" s="6"/>
      <c r="BG73" s="12">
        <v>18.7</v>
      </c>
      <c r="BH73" s="28" t="s">
        <v>319</v>
      </c>
      <c r="BI73" s="28" t="s">
        <v>319</v>
      </c>
      <c r="BJ73" s="28" t="s">
        <v>319</v>
      </c>
      <c r="BK73" s="28" t="s">
        <v>319</v>
      </c>
      <c r="BL73" s="28" t="s">
        <v>319</v>
      </c>
      <c r="BM73" s="28" t="s">
        <v>319</v>
      </c>
      <c r="BN73" s="28" t="s">
        <v>319</v>
      </c>
      <c r="BO73" s="28" t="s">
        <v>319</v>
      </c>
      <c r="BP73" s="28" t="s">
        <v>319</v>
      </c>
      <c r="BQ73" s="28" t="s">
        <v>319</v>
      </c>
      <c r="BR73" s="105">
        <v>43.14</v>
      </c>
      <c r="BS73" s="12">
        <v>661.1</v>
      </c>
      <c r="BT73" s="6"/>
      <c r="BU73" s="5"/>
      <c r="BV73" s="6"/>
      <c r="BW73" s="5"/>
      <c r="BX73" s="6"/>
      <c r="BY73" s="6"/>
      <c r="BZ73" s="30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9"/>
      <c r="DB73" s="6"/>
      <c r="DC73" s="30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 t="s">
        <v>319</v>
      </c>
      <c r="DO73" s="28" t="s">
        <v>319</v>
      </c>
      <c r="DP73" s="28" t="s">
        <v>319</v>
      </c>
      <c r="DQ73" s="28" t="s">
        <v>319</v>
      </c>
      <c r="DR73" s="28" t="s">
        <v>319</v>
      </c>
      <c r="DS73" s="28" t="s">
        <v>319</v>
      </c>
      <c r="DT73" s="28" t="s">
        <v>319</v>
      </c>
      <c r="DU73" s="28" t="s">
        <v>319</v>
      </c>
      <c r="DV73" s="28" t="s">
        <v>319</v>
      </c>
      <c r="DW73" s="28" t="s">
        <v>319</v>
      </c>
      <c r="DX73" s="28" t="s">
        <v>319</v>
      </c>
      <c r="DY73" s="28" t="s">
        <v>319</v>
      </c>
      <c r="DZ73" s="28" t="s">
        <v>319</v>
      </c>
      <c r="EA73" s="28" t="s">
        <v>319</v>
      </c>
      <c r="EB73" s="28" t="s">
        <v>319</v>
      </c>
      <c r="EC73" s="28" t="s">
        <v>319</v>
      </c>
      <c r="ED73" s="28" t="s">
        <v>319</v>
      </c>
      <c r="EE73" s="28"/>
      <c r="EF73" s="28" t="s">
        <v>319</v>
      </c>
      <c r="EG73" s="28" t="s">
        <v>319</v>
      </c>
      <c r="EH73" s="28" t="s">
        <v>319</v>
      </c>
      <c r="EI73" s="28" t="s">
        <v>319</v>
      </c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7"/>
      <c r="FK73" s="15" t="s">
        <v>1056</v>
      </c>
      <c r="FL73" s="6"/>
      <c r="FM73" s="97"/>
    </row>
    <row r="74" spans="1:169" s="3" customFormat="1" x14ac:dyDescent="0.4">
      <c r="A74" s="93"/>
      <c r="B74" s="93"/>
      <c r="C74" s="26"/>
      <c r="D74" s="27" t="s">
        <v>319</v>
      </c>
      <c r="E74" s="2" t="s">
        <v>449</v>
      </c>
      <c r="F74" s="28" t="s">
        <v>319</v>
      </c>
      <c r="G74" s="28" t="s">
        <v>319</v>
      </c>
      <c r="H74" s="28" t="s">
        <v>319</v>
      </c>
      <c r="I74" s="6" t="s">
        <v>589</v>
      </c>
      <c r="J74" s="28" t="s">
        <v>319</v>
      </c>
      <c r="K74" s="28" t="s">
        <v>319</v>
      </c>
      <c r="L74" s="28" t="s">
        <v>319</v>
      </c>
      <c r="M74" s="28" t="s">
        <v>319</v>
      </c>
      <c r="N74" s="28" t="s">
        <v>319</v>
      </c>
      <c r="O74" s="28" t="s">
        <v>319</v>
      </c>
      <c r="P74" s="28" t="s">
        <v>319</v>
      </c>
      <c r="Q74" s="5" t="s">
        <v>684</v>
      </c>
      <c r="R74" s="5" t="s">
        <v>663</v>
      </c>
      <c r="S74" s="6" t="s">
        <v>672</v>
      </c>
      <c r="T74" s="5"/>
      <c r="U74" s="5" t="s">
        <v>731</v>
      </c>
      <c r="V74" s="5"/>
      <c r="W74" s="6" t="s">
        <v>665</v>
      </c>
      <c r="X74" s="5"/>
      <c r="Y74" s="105">
        <v>3.49</v>
      </c>
      <c r="Z74" s="5"/>
      <c r="AA74" s="6" t="s">
        <v>963</v>
      </c>
      <c r="AB74" s="6"/>
      <c r="AC74" s="6">
        <v>1.8500000000000003</v>
      </c>
      <c r="AD74" s="6"/>
      <c r="AE74" s="6" t="s">
        <v>956</v>
      </c>
      <c r="AF74" s="6"/>
      <c r="AG74" s="12">
        <v>44.9</v>
      </c>
      <c r="AH74" s="6"/>
      <c r="AI74" s="6" t="s">
        <v>965</v>
      </c>
      <c r="AJ74" s="108"/>
      <c r="AK74" s="108">
        <v>0.6</v>
      </c>
      <c r="AL74" s="6"/>
      <c r="AM74" s="6" t="s">
        <v>958</v>
      </c>
      <c r="AN74" s="6"/>
      <c r="AO74" s="105">
        <v>0.1</v>
      </c>
      <c r="AP74" s="6"/>
      <c r="AQ74" s="28" t="s">
        <v>319</v>
      </c>
      <c r="AR74" s="28" t="s">
        <v>319</v>
      </c>
      <c r="AS74" s="28" t="s">
        <v>319</v>
      </c>
      <c r="AT74" s="28" t="s">
        <v>319</v>
      </c>
      <c r="AU74" s="28" t="s">
        <v>319</v>
      </c>
      <c r="AV74" s="28" t="s">
        <v>319</v>
      </c>
      <c r="AW74" s="28" t="s">
        <v>319</v>
      </c>
      <c r="AX74" s="28" t="s">
        <v>319</v>
      </c>
      <c r="AY74" s="28" t="s">
        <v>319</v>
      </c>
      <c r="AZ74" s="28" t="s">
        <v>319</v>
      </c>
      <c r="BA74" s="28" t="s">
        <v>319</v>
      </c>
      <c r="BB74" s="6" t="s">
        <v>984</v>
      </c>
      <c r="BC74" s="2" t="s">
        <v>1011</v>
      </c>
      <c r="BD74" s="183" t="s">
        <v>1458</v>
      </c>
      <c r="BE74" s="6" t="s">
        <v>1010</v>
      </c>
      <c r="BF74" s="181" t="s">
        <v>1437</v>
      </c>
      <c r="BG74" s="185">
        <v>10.5</v>
      </c>
      <c r="BH74" s="28" t="s">
        <v>319</v>
      </c>
      <c r="BI74" s="28" t="s">
        <v>319</v>
      </c>
      <c r="BJ74" s="28" t="s">
        <v>319</v>
      </c>
      <c r="BK74" s="28" t="s">
        <v>319</v>
      </c>
      <c r="BL74" s="28" t="s">
        <v>319</v>
      </c>
      <c r="BM74" s="28" t="s">
        <v>319</v>
      </c>
      <c r="BN74" s="28" t="s">
        <v>319</v>
      </c>
      <c r="BO74" s="28" t="s">
        <v>319</v>
      </c>
      <c r="BP74" s="28" t="s">
        <v>319</v>
      </c>
      <c r="BQ74" s="28" t="s">
        <v>319</v>
      </c>
      <c r="BR74" s="12">
        <v>225.5</v>
      </c>
      <c r="BS74" s="12">
        <v>990.5</v>
      </c>
      <c r="BT74" s="6"/>
      <c r="BU74" s="5"/>
      <c r="BV74" s="6"/>
      <c r="BW74" s="5"/>
      <c r="BX74" s="6"/>
      <c r="BY74" s="6"/>
      <c r="BZ74" s="30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9"/>
      <c r="DB74" s="6"/>
      <c r="DC74" s="30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 t="s">
        <v>319</v>
      </c>
      <c r="DO74" s="28" t="s">
        <v>319</v>
      </c>
      <c r="DP74" s="28" t="s">
        <v>319</v>
      </c>
      <c r="DQ74" s="28" t="s">
        <v>319</v>
      </c>
      <c r="DR74" s="28" t="s">
        <v>319</v>
      </c>
      <c r="DS74" s="28" t="s">
        <v>319</v>
      </c>
      <c r="DT74" s="28" t="s">
        <v>319</v>
      </c>
      <c r="DU74" s="28" t="s">
        <v>319</v>
      </c>
      <c r="DV74" s="28" t="s">
        <v>319</v>
      </c>
      <c r="DW74" s="28" t="s">
        <v>319</v>
      </c>
      <c r="DX74" s="28" t="s">
        <v>319</v>
      </c>
      <c r="DY74" s="28" t="s">
        <v>319</v>
      </c>
      <c r="DZ74" s="28" t="s">
        <v>319</v>
      </c>
      <c r="EA74" s="28" t="s">
        <v>319</v>
      </c>
      <c r="EB74" s="28" t="s">
        <v>319</v>
      </c>
      <c r="EC74" s="28" t="s">
        <v>319</v>
      </c>
      <c r="ED74" s="28" t="s">
        <v>319</v>
      </c>
      <c r="EE74" s="28"/>
      <c r="EF74" s="28" t="s">
        <v>319</v>
      </c>
      <c r="EG74" s="28" t="s">
        <v>319</v>
      </c>
      <c r="EH74" s="28" t="s">
        <v>319</v>
      </c>
      <c r="EI74" s="28" t="s">
        <v>319</v>
      </c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7"/>
      <c r="FK74" s="6"/>
      <c r="FL74" s="6"/>
      <c r="FM74" s="97"/>
    </row>
    <row r="75" spans="1:169" s="3" customFormat="1" x14ac:dyDescent="0.4">
      <c r="A75" s="93"/>
      <c r="B75" s="93"/>
      <c r="C75" s="26"/>
      <c r="D75" s="27" t="s">
        <v>319</v>
      </c>
      <c r="E75" s="258" t="s">
        <v>337</v>
      </c>
      <c r="F75" s="28" t="s">
        <v>319</v>
      </c>
      <c r="G75" s="28" t="s">
        <v>319</v>
      </c>
      <c r="H75" s="28" t="s">
        <v>319</v>
      </c>
      <c r="I75" s="259" t="s">
        <v>590</v>
      </c>
      <c r="J75" s="28" t="s">
        <v>319</v>
      </c>
      <c r="K75" s="28" t="s">
        <v>319</v>
      </c>
      <c r="L75" s="28" t="s">
        <v>319</v>
      </c>
      <c r="M75" s="28" t="s">
        <v>319</v>
      </c>
      <c r="N75" s="28" t="s">
        <v>319</v>
      </c>
      <c r="O75" s="28" t="s">
        <v>319</v>
      </c>
      <c r="P75" s="28" t="s">
        <v>319</v>
      </c>
      <c r="Q75" s="260" t="s">
        <v>679</v>
      </c>
      <c r="R75" s="260" t="s">
        <v>667</v>
      </c>
      <c r="S75" s="259" t="s">
        <v>669</v>
      </c>
      <c r="T75" s="261">
        <v>5400</v>
      </c>
      <c r="U75" s="260" t="s">
        <v>732</v>
      </c>
      <c r="V75" s="261">
        <v>9900</v>
      </c>
      <c r="W75" s="259" t="s">
        <v>665</v>
      </c>
      <c r="X75" s="262">
        <v>5.6</v>
      </c>
      <c r="Y75" s="262">
        <v>5.56</v>
      </c>
      <c r="Z75" s="262">
        <v>5.5</v>
      </c>
      <c r="AA75" s="259" t="s">
        <v>963</v>
      </c>
      <c r="AB75" s="259">
        <v>0.39999999999999947</v>
      </c>
      <c r="AC75" s="259">
        <v>0.29999999999999982</v>
      </c>
      <c r="AD75" s="259">
        <v>0.20000000000000018</v>
      </c>
      <c r="AE75" s="259" t="s">
        <v>956</v>
      </c>
      <c r="AF75" s="259"/>
      <c r="AG75" s="263">
        <v>35</v>
      </c>
      <c r="AH75" s="259"/>
      <c r="AI75" s="6" t="s">
        <v>965</v>
      </c>
      <c r="AJ75" s="5"/>
      <c r="AK75" s="112">
        <v>1.2200000000000001E-2</v>
      </c>
      <c r="AL75" s="6"/>
      <c r="AM75" s="259"/>
      <c r="AN75" s="6"/>
      <c r="AO75" s="260"/>
      <c r="AP75" s="6"/>
      <c r="AQ75" s="28" t="s">
        <v>319</v>
      </c>
      <c r="AR75" s="28" t="s">
        <v>319</v>
      </c>
      <c r="AS75" s="28" t="s">
        <v>319</v>
      </c>
      <c r="AT75" s="28" t="s">
        <v>319</v>
      </c>
      <c r="AU75" s="28" t="s">
        <v>319</v>
      </c>
      <c r="AV75" s="28" t="s">
        <v>319</v>
      </c>
      <c r="AW75" s="28" t="s">
        <v>319</v>
      </c>
      <c r="AX75" s="28" t="s">
        <v>319</v>
      </c>
      <c r="AY75" s="28" t="s">
        <v>319</v>
      </c>
      <c r="AZ75" s="28" t="s">
        <v>319</v>
      </c>
      <c r="BA75" s="28" t="s">
        <v>319</v>
      </c>
      <c r="BB75" s="259" t="s">
        <v>984</v>
      </c>
      <c r="BC75" s="258" t="s">
        <v>1011</v>
      </c>
      <c r="BD75" s="264">
        <v>150</v>
      </c>
      <c r="BE75" s="259" t="s">
        <v>1010</v>
      </c>
      <c r="BF75" s="259"/>
      <c r="BG75" s="263">
        <v>7.5</v>
      </c>
      <c r="BH75" s="28" t="s">
        <v>319</v>
      </c>
      <c r="BI75" s="28" t="s">
        <v>319</v>
      </c>
      <c r="BJ75" s="28" t="s">
        <v>319</v>
      </c>
      <c r="BK75" s="28" t="s">
        <v>319</v>
      </c>
      <c r="BL75" s="28" t="s">
        <v>319</v>
      </c>
      <c r="BM75" s="28" t="s">
        <v>319</v>
      </c>
      <c r="BN75" s="28" t="s">
        <v>319</v>
      </c>
      <c r="BO75" s="28" t="s">
        <v>319</v>
      </c>
      <c r="BP75" s="28" t="s">
        <v>319</v>
      </c>
      <c r="BQ75" s="28" t="s">
        <v>319</v>
      </c>
      <c r="BR75" s="260"/>
      <c r="BS75" s="262"/>
      <c r="BT75" s="6"/>
      <c r="BU75" s="263">
        <v>14.5</v>
      </c>
      <c r="BV75" s="259" t="s">
        <v>1019</v>
      </c>
      <c r="BW75" s="262">
        <v>1.3</v>
      </c>
      <c r="BX75" s="259"/>
      <c r="BY75" s="259"/>
      <c r="BZ75" s="30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9"/>
      <c r="DB75" s="259"/>
      <c r="DC75" s="30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 t="s">
        <v>319</v>
      </c>
      <c r="DO75" s="28" t="s">
        <v>319</v>
      </c>
      <c r="DP75" s="28" t="s">
        <v>319</v>
      </c>
      <c r="DQ75" s="28" t="s">
        <v>319</v>
      </c>
      <c r="DR75" s="28" t="s">
        <v>319</v>
      </c>
      <c r="DS75" s="28" t="s">
        <v>319</v>
      </c>
      <c r="DT75" s="28" t="s">
        <v>319</v>
      </c>
      <c r="DU75" s="28" t="s">
        <v>319</v>
      </c>
      <c r="DV75" s="28" t="s">
        <v>319</v>
      </c>
      <c r="DW75" s="28" t="s">
        <v>319</v>
      </c>
      <c r="DX75" s="28" t="s">
        <v>319</v>
      </c>
      <c r="DY75" s="28" t="s">
        <v>319</v>
      </c>
      <c r="DZ75" s="28" t="s">
        <v>319</v>
      </c>
      <c r="EA75" s="28" t="s">
        <v>319</v>
      </c>
      <c r="EB75" s="28" t="s">
        <v>319</v>
      </c>
      <c r="EC75" s="28" t="s">
        <v>319</v>
      </c>
      <c r="ED75" s="28" t="s">
        <v>319</v>
      </c>
      <c r="EE75" s="28"/>
      <c r="EF75" s="28" t="s">
        <v>319</v>
      </c>
      <c r="EG75" s="28" t="s">
        <v>319</v>
      </c>
      <c r="EH75" s="28" t="s">
        <v>319</v>
      </c>
      <c r="EI75" s="28" t="s">
        <v>319</v>
      </c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7"/>
      <c r="FK75" s="259"/>
      <c r="FL75" s="259"/>
      <c r="FM75" s="265"/>
    </row>
    <row r="76" spans="1:169" s="3" customFormat="1" x14ac:dyDescent="0.4">
      <c r="A76" s="93"/>
      <c r="B76" s="93"/>
      <c r="C76" s="26"/>
      <c r="D76" s="27" t="s">
        <v>319</v>
      </c>
      <c r="E76" s="2" t="s">
        <v>338</v>
      </c>
      <c r="F76" s="28" t="s">
        <v>319</v>
      </c>
      <c r="G76" s="28" t="s">
        <v>319</v>
      </c>
      <c r="H76" s="28" t="s">
        <v>319</v>
      </c>
      <c r="I76" s="6" t="s">
        <v>590</v>
      </c>
      <c r="J76" s="28" t="s">
        <v>319</v>
      </c>
      <c r="K76" s="28" t="s">
        <v>319</v>
      </c>
      <c r="L76" s="28" t="s">
        <v>319</v>
      </c>
      <c r="M76" s="28" t="s">
        <v>319</v>
      </c>
      <c r="N76" s="28" t="s">
        <v>319</v>
      </c>
      <c r="O76" s="28" t="s">
        <v>319</v>
      </c>
      <c r="P76" s="28" t="s">
        <v>319</v>
      </c>
      <c r="Q76" s="5" t="s">
        <v>733</v>
      </c>
      <c r="R76" s="5" t="s">
        <v>667</v>
      </c>
      <c r="S76" s="6" t="s">
        <v>669</v>
      </c>
      <c r="T76" s="5"/>
      <c r="U76" s="5" t="s">
        <v>734</v>
      </c>
      <c r="V76" s="5" t="s">
        <v>735</v>
      </c>
      <c r="W76" s="6" t="s">
        <v>665</v>
      </c>
      <c r="X76" s="5"/>
      <c r="Y76" s="105">
        <v>5.6</v>
      </c>
      <c r="Z76" s="105">
        <v>5.53</v>
      </c>
      <c r="AA76" s="6" t="s">
        <v>968</v>
      </c>
      <c r="AB76" s="6"/>
      <c r="AC76" s="6">
        <v>0.29999999999999982</v>
      </c>
      <c r="AD76" s="6">
        <v>0.1800000000000006</v>
      </c>
      <c r="AE76" s="6" t="s">
        <v>956</v>
      </c>
      <c r="AF76" s="6"/>
      <c r="AG76" s="12">
        <v>62</v>
      </c>
      <c r="AH76" s="6"/>
      <c r="AI76" s="6" t="s">
        <v>965</v>
      </c>
      <c r="AJ76" s="5"/>
      <c r="AK76" s="112">
        <v>1.2500000000000001E-2</v>
      </c>
      <c r="AL76" s="6"/>
      <c r="AM76" s="6"/>
      <c r="AN76" s="6"/>
      <c r="AO76" s="5"/>
      <c r="AP76" s="6"/>
      <c r="AQ76" s="28" t="s">
        <v>319</v>
      </c>
      <c r="AR76" s="28" t="s">
        <v>319</v>
      </c>
      <c r="AS76" s="28" t="s">
        <v>319</v>
      </c>
      <c r="AT76" s="28" t="s">
        <v>319</v>
      </c>
      <c r="AU76" s="28" t="s">
        <v>319</v>
      </c>
      <c r="AV76" s="28" t="s">
        <v>319</v>
      </c>
      <c r="AW76" s="28" t="s">
        <v>319</v>
      </c>
      <c r="AX76" s="28" t="s">
        <v>319</v>
      </c>
      <c r="AY76" s="28" t="s">
        <v>319</v>
      </c>
      <c r="AZ76" s="28" t="s">
        <v>319</v>
      </c>
      <c r="BA76" s="28" t="s">
        <v>319</v>
      </c>
      <c r="BB76" s="6" t="s">
        <v>984</v>
      </c>
      <c r="BC76" s="2" t="s">
        <v>1011</v>
      </c>
      <c r="BD76" s="141">
        <v>260</v>
      </c>
      <c r="BE76" s="6" t="s">
        <v>1010</v>
      </c>
      <c r="BF76" s="6"/>
      <c r="BG76" s="12">
        <v>7.5</v>
      </c>
      <c r="BH76" s="28" t="s">
        <v>319</v>
      </c>
      <c r="BI76" s="28" t="s">
        <v>319</v>
      </c>
      <c r="BJ76" s="28" t="s">
        <v>319</v>
      </c>
      <c r="BK76" s="28" t="s">
        <v>319</v>
      </c>
      <c r="BL76" s="28" t="s">
        <v>319</v>
      </c>
      <c r="BM76" s="28" t="s">
        <v>319</v>
      </c>
      <c r="BN76" s="28" t="s">
        <v>319</v>
      </c>
      <c r="BO76" s="28" t="s">
        <v>319</v>
      </c>
      <c r="BP76" s="28" t="s">
        <v>319</v>
      </c>
      <c r="BQ76" s="28" t="s">
        <v>319</v>
      </c>
      <c r="BR76" s="5"/>
      <c r="BS76" s="105"/>
      <c r="BT76" s="6"/>
      <c r="BU76" s="12">
        <v>14.4</v>
      </c>
      <c r="BV76" s="6" t="s">
        <v>1022</v>
      </c>
      <c r="BW76" s="105">
        <v>1.23</v>
      </c>
      <c r="BX76" s="6"/>
      <c r="BY76" s="6"/>
      <c r="BZ76" s="30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9"/>
      <c r="DB76" s="6"/>
      <c r="DC76" s="30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 t="s">
        <v>319</v>
      </c>
      <c r="DO76" s="28" t="s">
        <v>319</v>
      </c>
      <c r="DP76" s="28" t="s">
        <v>319</v>
      </c>
      <c r="DQ76" s="28" t="s">
        <v>319</v>
      </c>
      <c r="DR76" s="28" t="s">
        <v>319</v>
      </c>
      <c r="DS76" s="28" t="s">
        <v>319</v>
      </c>
      <c r="DT76" s="28" t="s">
        <v>319</v>
      </c>
      <c r="DU76" s="28" t="s">
        <v>319</v>
      </c>
      <c r="DV76" s="28" t="s">
        <v>319</v>
      </c>
      <c r="DW76" s="28" t="s">
        <v>319</v>
      </c>
      <c r="DX76" s="28" t="s">
        <v>319</v>
      </c>
      <c r="DY76" s="28" t="s">
        <v>319</v>
      </c>
      <c r="DZ76" s="28" t="s">
        <v>319</v>
      </c>
      <c r="EA76" s="28" t="s">
        <v>319</v>
      </c>
      <c r="EB76" s="28" t="s">
        <v>319</v>
      </c>
      <c r="EC76" s="28" t="s">
        <v>319</v>
      </c>
      <c r="ED76" s="28" t="s">
        <v>319</v>
      </c>
      <c r="EE76" s="28"/>
      <c r="EF76" s="28" t="s">
        <v>319</v>
      </c>
      <c r="EG76" s="28" t="s">
        <v>319</v>
      </c>
      <c r="EH76" s="28" t="s">
        <v>319</v>
      </c>
      <c r="EI76" s="28" t="s">
        <v>319</v>
      </c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7"/>
      <c r="FK76" s="6"/>
      <c r="FL76" s="6"/>
      <c r="FM76" s="94"/>
    </row>
    <row r="77" spans="1:169" s="3" customFormat="1" x14ac:dyDescent="0.4">
      <c r="A77" s="93"/>
      <c r="B77" s="93"/>
      <c r="C77" s="26"/>
      <c r="D77" s="27" t="s">
        <v>319</v>
      </c>
      <c r="E77" s="2" t="s">
        <v>339</v>
      </c>
      <c r="F77" s="28" t="s">
        <v>319</v>
      </c>
      <c r="G77" s="28" t="s">
        <v>319</v>
      </c>
      <c r="H77" s="28" t="s">
        <v>319</v>
      </c>
      <c r="I77" s="6" t="s">
        <v>590</v>
      </c>
      <c r="J77" s="28" t="s">
        <v>319</v>
      </c>
      <c r="K77" s="28" t="s">
        <v>319</v>
      </c>
      <c r="L77" s="28" t="s">
        <v>319</v>
      </c>
      <c r="M77" s="28" t="s">
        <v>319</v>
      </c>
      <c r="N77" s="28" t="s">
        <v>319</v>
      </c>
      <c r="O77" s="28" t="s">
        <v>319</v>
      </c>
      <c r="P77" s="28" t="s">
        <v>319</v>
      </c>
      <c r="Q77" s="5" t="s">
        <v>733</v>
      </c>
      <c r="R77" s="5" t="s">
        <v>667</v>
      </c>
      <c r="S77" s="6" t="s">
        <v>669</v>
      </c>
      <c r="T77" s="5"/>
      <c r="U77" s="5" t="s">
        <v>736</v>
      </c>
      <c r="V77" s="5" t="s">
        <v>737</v>
      </c>
      <c r="W77" s="6" t="s">
        <v>665</v>
      </c>
      <c r="X77" s="5"/>
      <c r="Y77" s="105">
        <v>5.34</v>
      </c>
      <c r="Z77" s="105">
        <v>5.4</v>
      </c>
      <c r="AA77" s="6" t="s">
        <v>963</v>
      </c>
      <c r="AB77" s="6"/>
      <c r="AC77" s="6">
        <v>0.21999999999999975</v>
      </c>
      <c r="AD77" s="6">
        <v>0.22000000000000064</v>
      </c>
      <c r="AE77" s="6" t="s">
        <v>956</v>
      </c>
      <c r="AF77" s="6"/>
      <c r="AG77" s="12">
        <v>62</v>
      </c>
      <c r="AH77" s="6"/>
      <c r="AI77" s="6" t="s">
        <v>965</v>
      </c>
      <c r="AJ77" s="5"/>
      <c r="AK77" s="112">
        <v>1.2500000000000001E-2</v>
      </c>
      <c r="AL77" s="6"/>
      <c r="AM77" s="6"/>
      <c r="AN77" s="6"/>
      <c r="AO77" s="5"/>
      <c r="AP77" s="6"/>
      <c r="AQ77" s="28" t="s">
        <v>319</v>
      </c>
      <c r="AR77" s="28" t="s">
        <v>319</v>
      </c>
      <c r="AS77" s="28" t="s">
        <v>319</v>
      </c>
      <c r="AT77" s="28" t="s">
        <v>319</v>
      </c>
      <c r="AU77" s="28" t="s">
        <v>319</v>
      </c>
      <c r="AV77" s="28" t="s">
        <v>319</v>
      </c>
      <c r="AW77" s="28" t="s">
        <v>319</v>
      </c>
      <c r="AX77" s="28" t="s">
        <v>319</v>
      </c>
      <c r="AY77" s="28" t="s">
        <v>319</v>
      </c>
      <c r="AZ77" s="28" t="s">
        <v>319</v>
      </c>
      <c r="BA77" s="28" t="s">
        <v>319</v>
      </c>
      <c r="BB77" s="6" t="s">
        <v>984</v>
      </c>
      <c r="BC77" s="2" t="s">
        <v>1011</v>
      </c>
      <c r="BD77" s="141">
        <v>260</v>
      </c>
      <c r="BE77" s="6" t="s">
        <v>1010</v>
      </c>
      <c r="BF77" s="6"/>
      <c r="BG77" s="12">
        <v>7.5</v>
      </c>
      <c r="BH77" s="28" t="s">
        <v>319</v>
      </c>
      <c r="BI77" s="28" t="s">
        <v>319</v>
      </c>
      <c r="BJ77" s="28" t="s">
        <v>319</v>
      </c>
      <c r="BK77" s="28" t="s">
        <v>319</v>
      </c>
      <c r="BL77" s="28" t="s">
        <v>319</v>
      </c>
      <c r="BM77" s="28" t="s">
        <v>319</v>
      </c>
      <c r="BN77" s="28" t="s">
        <v>319</v>
      </c>
      <c r="BO77" s="28" t="s">
        <v>319</v>
      </c>
      <c r="BP77" s="28" t="s">
        <v>319</v>
      </c>
      <c r="BQ77" s="28" t="s">
        <v>319</v>
      </c>
      <c r="BR77" s="5"/>
      <c r="BS77" s="105"/>
      <c r="BT77" s="6"/>
      <c r="BU77" s="12">
        <v>14.4</v>
      </c>
      <c r="BV77" s="6" t="s">
        <v>1022</v>
      </c>
      <c r="BW77" s="105">
        <v>1.23</v>
      </c>
      <c r="BX77" s="6"/>
      <c r="BY77" s="6"/>
      <c r="BZ77" s="30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9"/>
      <c r="DB77" s="6"/>
      <c r="DC77" s="30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 t="s">
        <v>319</v>
      </c>
      <c r="DO77" s="28" t="s">
        <v>319</v>
      </c>
      <c r="DP77" s="28" t="s">
        <v>319</v>
      </c>
      <c r="DQ77" s="28" t="s">
        <v>319</v>
      </c>
      <c r="DR77" s="28" t="s">
        <v>319</v>
      </c>
      <c r="DS77" s="28" t="s">
        <v>319</v>
      </c>
      <c r="DT77" s="28" t="s">
        <v>319</v>
      </c>
      <c r="DU77" s="28" t="s">
        <v>319</v>
      </c>
      <c r="DV77" s="28" t="s">
        <v>319</v>
      </c>
      <c r="DW77" s="28" t="s">
        <v>319</v>
      </c>
      <c r="DX77" s="28" t="s">
        <v>319</v>
      </c>
      <c r="DY77" s="28" t="s">
        <v>319</v>
      </c>
      <c r="DZ77" s="28" t="s">
        <v>319</v>
      </c>
      <c r="EA77" s="28" t="s">
        <v>319</v>
      </c>
      <c r="EB77" s="28" t="s">
        <v>319</v>
      </c>
      <c r="EC77" s="28" t="s">
        <v>319</v>
      </c>
      <c r="ED77" s="28" t="s">
        <v>319</v>
      </c>
      <c r="EE77" s="28"/>
      <c r="EF77" s="28" t="s">
        <v>319</v>
      </c>
      <c r="EG77" s="28" t="s">
        <v>319</v>
      </c>
      <c r="EH77" s="28" t="s">
        <v>319</v>
      </c>
      <c r="EI77" s="28" t="s">
        <v>319</v>
      </c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7"/>
      <c r="FK77" s="6"/>
      <c r="FL77" s="6"/>
      <c r="FM77" s="94"/>
    </row>
    <row r="78" spans="1:169" s="3" customFormat="1" x14ac:dyDescent="0.4">
      <c r="A78" s="93"/>
      <c r="B78" s="93"/>
      <c r="C78" s="26"/>
      <c r="D78" s="27" t="s">
        <v>319</v>
      </c>
      <c r="E78" s="2" t="s">
        <v>340</v>
      </c>
      <c r="F78" s="28" t="s">
        <v>319</v>
      </c>
      <c r="G78" s="28" t="s">
        <v>319</v>
      </c>
      <c r="H78" s="28" t="s">
        <v>319</v>
      </c>
      <c r="I78" s="6" t="s">
        <v>590</v>
      </c>
      <c r="J78" s="28" t="s">
        <v>319</v>
      </c>
      <c r="K78" s="28" t="s">
        <v>319</v>
      </c>
      <c r="L78" s="28" t="s">
        <v>319</v>
      </c>
      <c r="M78" s="28" t="s">
        <v>319</v>
      </c>
      <c r="N78" s="28" t="s">
        <v>319</v>
      </c>
      <c r="O78" s="28" t="s">
        <v>319</v>
      </c>
      <c r="P78" s="28" t="s">
        <v>319</v>
      </c>
      <c r="Q78" s="5" t="s">
        <v>733</v>
      </c>
      <c r="R78" s="5" t="s">
        <v>667</v>
      </c>
      <c r="S78" s="6" t="s">
        <v>678</v>
      </c>
      <c r="T78" s="5"/>
      <c r="U78" s="5" t="s">
        <v>738</v>
      </c>
      <c r="V78" s="5" t="s">
        <v>739</v>
      </c>
      <c r="W78" s="6" t="s">
        <v>665</v>
      </c>
      <c r="X78" s="5"/>
      <c r="Y78" s="105">
        <v>5.3</v>
      </c>
      <c r="Z78" s="105">
        <v>5.38</v>
      </c>
      <c r="AA78" s="6" t="s">
        <v>963</v>
      </c>
      <c r="AB78" s="6"/>
      <c r="AC78" s="6">
        <v>0.17999999999999972</v>
      </c>
      <c r="AD78" s="6">
        <v>0.16999999999999993</v>
      </c>
      <c r="AE78" s="6" t="s">
        <v>975</v>
      </c>
      <c r="AF78" s="6"/>
      <c r="AG78" s="12">
        <v>62</v>
      </c>
      <c r="AH78" s="6"/>
      <c r="AI78" s="6" t="s">
        <v>965</v>
      </c>
      <c r="AJ78" s="108"/>
      <c r="AK78" s="112">
        <v>1.2500000000000001E-2</v>
      </c>
      <c r="AL78" s="6"/>
      <c r="AM78" s="6"/>
      <c r="AN78" s="6"/>
      <c r="AO78" s="5"/>
      <c r="AP78" s="6"/>
      <c r="AQ78" s="28" t="s">
        <v>319</v>
      </c>
      <c r="AR78" s="28" t="s">
        <v>319</v>
      </c>
      <c r="AS78" s="28" t="s">
        <v>319</v>
      </c>
      <c r="AT78" s="28" t="s">
        <v>319</v>
      </c>
      <c r="AU78" s="28" t="s">
        <v>319</v>
      </c>
      <c r="AV78" s="28" t="s">
        <v>319</v>
      </c>
      <c r="AW78" s="28" t="s">
        <v>319</v>
      </c>
      <c r="AX78" s="28" t="s">
        <v>319</v>
      </c>
      <c r="AY78" s="28" t="s">
        <v>319</v>
      </c>
      <c r="AZ78" s="28" t="s">
        <v>319</v>
      </c>
      <c r="BA78" s="28" t="s">
        <v>319</v>
      </c>
      <c r="BB78" s="6" t="s">
        <v>984</v>
      </c>
      <c r="BC78" s="5" t="s">
        <v>1012</v>
      </c>
      <c r="BD78" s="106">
        <v>260</v>
      </c>
      <c r="BE78" s="6" t="s">
        <v>1010</v>
      </c>
      <c r="BF78" s="6"/>
      <c r="BG78" s="12">
        <v>7.5</v>
      </c>
      <c r="BH78" s="28" t="s">
        <v>319</v>
      </c>
      <c r="BI78" s="28" t="s">
        <v>319</v>
      </c>
      <c r="BJ78" s="28" t="s">
        <v>319</v>
      </c>
      <c r="BK78" s="28" t="s">
        <v>319</v>
      </c>
      <c r="BL78" s="28" t="s">
        <v>319</v>
      </c>
      <c r="BM78" s="28" t="s">
        <v>319</v>
      </c>
      <c r="BN78" s="28" t="s">
        <v>319</v>
      </c>
      <c r="BO78" s="28" t="s">
        <v>319</v>
      </c>
      <c r="BP78" s="28" t="s">
        <v>319</v>
      </c>
      <c r="BQ78" s="28" t="s">
        <v>319</v>
      </c>
      <c r="BR78" s="5"/>
      <c r="BS78" s="105"/>
      <c r="BT78" s="6"/>
      <c r="BU78" s="12">
        <v>14.4</v>
      </c>
      <c r="BV78" s="6" t="s">
        <v>1022</v>
      </c>
      <c r="BW78" s="105">
        <v>1.23</v>
      </c>
      <c r="BX78" s="6"/>
      <c r="BY78" s="6"/>
      <c r="BZ78" s="30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9"/>
      <c r="DB78" s="6"/>
      <c r="DC78" s="30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 t="s">
        <v>319</v>
      </c>
      <c r="DO78" s="28" t="s">
        <v>319</v>
      </c>
      <c r="DP78" s="28" t="s">
        <v>319</v>
      </c>
      <c r="DQ78" s="28" t="s">
        <v>319</v>
      </c>
      <c r="DR78" s="28" t="s">
        <v>319</v>
      </c>
      <c r="DS78" s="28" t="s">
        <v>319</v>
      </c>
      <c r="DT78" s="28" t="s">
        <v>319</v>
      </c>
      <c r="DU78" s="28" t="s">
        <v>319</v>
      </c>
      <c r="DV78" s="28" t="s">
        <v>319</v>
      </c>
      <c r="DW78" s="28" t="s">
        <v>319</v>
      </c>
      <c r="DX78" s="28" t="s">
        <v>319</v>
      </c>
      <c r="DY78" s="28" t="s">
        <v>319</v>
      </c>
      <c r="DZ78" s="28" t="s">
        <v>319</v>
      </c>
      <c r="EA78" s="28" t="s">
        <v>319</v>
      </c>
      <c r="EB78" s="28" t="s">
        <v>319</v>
      </c>
      <c r="EC78" s="28" t="s">
        <v>319</v>
      </c>
      <c r="ED78" s="28" t="s">
        <v>319</v>
      </c>
      <c r="EE78" s="28"/>
      <c r="EF78" s="28" t="s">
        <v>319</v>
      </c>
      <c r="EG78" s="28" t="s">
        <v>319</v>
      </c>
      <c r="EH78" s="28" t="s">
        <v>319</v>
      </c>
      <c r="EI78" s="28" t="s">
        <v>319</v>
      </c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7"/>
      <c r="FK78" s="6"/>
      <c r="FL78" s="6"/>
      <c r="FM78" s="94"/>
    </row>
    <row r="79" spans="1:169" s="3" customFormat="1" x14ac:dyDescent="0.4">
      <c r="A79" s="93"/>
      <c r="B79" s="93"/>
      <c r="C79" s="26"/>
      <c r="D79" s="27" t="s">
        <v>319</v>
      </c>
      <c r="E79" s="2" t="s">
        <v>1374</v>
      </c>
      <c r="F79" s="28" t="s">
        <v>319</v>
      </c>
      <c r="G79" s="28" t="s">
        <v>319</v>
      </c>
      <c r="H79" s="28" t="s">
        <v>319</v>
      </c>
      <c r="I79" s="6" t="s">
        <v>591</v>
      </c>
      <c r="J79" s="28" t="s">
        <v>319</v>
      </c>
      <c r="K79" s="28" t="s">
        <v>319</v>
      </c>
      <c r="L79" s="28" t="s">
        <v>319</v>
      </c>
      <c r="M79" s="28" t="s">
        <v>319</v>
      </c>
      <c r="N79" s="28" t="s">
        <v>319</v>
      </c>
      <c r="O79" s="28" t="s">
        <v>319</v>
      </c>
      <c r="P79" s="28" t="s">
        <v>319</v>
      </c>
      <c r="Q79" s="5" t="s">
        <v>684</v>
      </c>
      <c r="R79" s="5" t="s">
        <v>663</v>
      </c>
      <c r="S79" s="6" t="s">
        <v>669</v>
      </c>
      <c r="T79" s="106">
        <v>1280</v>
      </c>
      <c r="U79" s="5" t="s">
        <v>740</v>
      </c>
      <c r="V79" s="5" t="s">
        <v>741</v>
      </c>
      <c r="W79" s="6" t="s">
        <v>665</v>
      </c>
      <c r="X79" s="103">
        <f>42.5-0.55</f>
        <v>41.95</v>
      </c>
      <c r="Y79" s="103">
        <f>42.5-0.45</f>
        <v>42.05</v>
      </c>
      <c r="Z79" s="103">
        <f>43-0.5</f>
        <v>42.5</v>
      </c>
      <c r="AA79" s="6" t="s">
        <v>959</v>
      </c>
      <c r="AB79" s="142">
        <f>41.95-3.5</f>
        <v>38.450000000000003</v>
      </c>
      <c r="AC79" s="142">
        <f>42.05-3.5</f>
        <v>38.549999999999997</v>
      </c>
      <c r="AD79" s="142">
        <f>42.5-3.5</f>
        <v>39</v>
      </c>
      <c r="AE79" s="6" t="s">
        <v>956</v>
      </c>
      <c r="AF79" s="6"/>
      <c r="AG79" s="12">
        <v>254</v>
      </c>
      <c r="AH79" s="6"/>
      <c r="AI79" s="6" t="s">
        <v>965</v>
      </c>
      <c r="AJ79" s="108"/>
      <c r="AK79" s="108">
        <v>0.104</v>
      </c>
      <c r="AL79" s="6"/>
      <c r="AM79" s="6" t="s">
        <v>958</v>
      </c>
      <c r="AN79" s="6"/>
      <c r="AO79" s="202">
        <v>41</v>
      </c>
      <c r="AP79" s="6"/>
      <c r="AQ79" s="28" t="s">
        <v>319</v>
      </c>
      <c r="AR79" s="28" t="s">
        <v>319</v>
      </c>
      <c r="AS79" s="28" t="s">
        <v>319</v>
      </c>
      <c r="AT79" s="28" t="s">
        <v>319</v>
      </c>
      <c r="AU79" s="28" t="s">
        <v>319</v>
      </c>
      <c r="AV79" s="28" t="s">
        <v>319</v>
      </c>
      <c r="AW79" s="28" t="s">
        <v>319</v>
      </c>
      <c r="AX79" s="28" t="s">
        <v>319</v>
      </c>
      <c r="AY79" s="28" t="s">
        <v>319</v>
      </c>
      <c r="AZ79" s="28" t="s">
        <v>319</v>
      </c>
      <c r="BA79" s="28" t="s">
        <v>319</v>
      </c>
      <c r="BB79" s="6" t="s">
        <v>984</v>
      </c>
      <c r="BC79" s="5" t="s">
        <v>1011</v>
      </c>
      <c r="BD79" s="106">
        <v>425</v>
      </c>
      <c r="BE79" s="6" t="s">
        <v>1010</v>
      </c>
      <c r="BF79" s="181" t="s">
        <v>1448</v>
      </c>
      <c r="BG79" s="12">
        <v>50</v>
      </c>
      <c r="BH79" s="28" t="s">
        <v>319</v>
      </c>
      <c r="BI79" s="28" t="s">
        <v>319</v>
      </c>
      <c r="BJ79" s="28" t="s">
        <v>319</v>
      </c>
      <c r="BK79" s="28" t="s">
        <v>319</v>
      </c>
      <c r="BL79" s="28" t="s">
        <v>319</v>
      </c>
      <c r="BM79" s="28" t="s">
        <v>319</v>
      </c>
      <c r="BN79" s="28" t="s">
        <v>319</v>
      </c>
      <c r="BO79" s="28" t="s">
        <v>319</v>
      </c>
      <c r="BP79" s="28" t="s">
        <v>319</v>
      </c>
      <c r="BQ79" s="28" t="s">
        <v>319</v>
      </c>
      <c r="BR79" s="12">
        <v>225.5</v>
      </c>
      <c r="BS79" s="12">
        <v>793.2</v>
      </c>
      <c r="BT79" s="6"/>
      <c r="BU79" s="5"/>
      <c r="BV79" s="6"/>
      <c r="BW79" s="5"/>
      <c r="BX79" s="6" t="s">
        <v>1053</v>
      </c>
      <c r="BY79" s="6"/>
      <c r="BZ79" s="30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9"/>
      <c r="DB79" s="6"/>
      <c r="DC79" s="30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 t="s">
        <v>319</v>
      </c>
      <c r="DO79" s="28" t="s">
        <v>319</v>
      </c>
      <c r="DP79" s="28" t="s">
        <v>319</v>
      </c>
      <c r="DQ79" s="28" t="s">
        <v>319</v>
      </c>
      <c r="DR79" s="28" t="s">
        <v>319</v>
      </c>
      <c r="DS79" s="28" t="s">
        <v>319</v>
      </c>
      <c r="DT79" s="28" t="s">
        <v>319</v>
      </c>
      <c r="DU79" s="28" t="s">
        <v>319</v>
      </c>
      <c r="DV79" s="28" t="s">
        <v>319</v>
      </c>
      <c r="DW79" s="28" t="s">
        <v>319</v>
      </c>
      <c r="DX79" s="28" t="s">
        <v>319</v>
      </c>
      <c r="DY79" s="28" t="s">
        <v>319</v>
      </c>
      <c r="DZ79" s="28" t="s">
        <v>319</v>
      </c>
      <c r="EA79" s="28" t="s">
        <v>319</v>
      </c>
      <c r="EB79" s="28" t="s">
        <v>319</v>
      </c>
      <c r="EC79" s="28" t="s">
        <v>319</v>
      </c>
      <c r="ED79" s="28" t="s">
        <v>319</v>
      </c>
      <c r="EE79" s="28"/>
      <c r="EF79" s="28" t="s">
        <v>319</v>
      </c>
      <c r="EG79" s="28" t="s">
        <v>319</v>
      </c>
      <c r="EH79" s="28" t="s">
        <v>319</v>
      </c>
      <c r="EI79" s="28" t="s">
        <v>319</v>
      </c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7"/>
      <c r="FK79" s="6"/>
      <c r="FL79" s="6"/>
      <c r="FM79" s="97"/>
    </row>
    <row r="80" spans="1:169" s="3" customFormat="1" x14ac:dyDescent="0.4">
      <c r="A80" s="93"/>
      <c r="B80" s="93"/>
      <c r="C80" s="26"/>
      <c r="D80" s="27" t="s">
        <v>319</v>
      </c>
      <c r="E80" s="2" t="s">
        <v>491</v>
      </c>
      <c r="F80" s="28" t="s">
        <v>319</v>
      </c>
      <c r="G80" s="28" t="s">
        <v>319</v>
      </c>
      <c r="H80" s="28" t="s">
        <v>319</v>
      </c>
      <c r="I80" s="6" t="s">
        <v>590</v>
      </c>
      <c r="J80" s="28" t="s">
        <v>319</v>
      </c>
      <c r="K80" s="28" t="s">
        <v>319</v>
      </c>
      <c r="L80" s="28" t="s">
        <v>319</v>
      </c>
      <c r="M80" s="28" t="s">
        <v>319</v>
      </c>
      <c r="N80" s="28" t="s">
        <v>319</v>
      </c>
      <c r="O80" s="28" t="s">
        <v>319</v>
      </c>
      <c r="P80" s="28" t="s">
        <v>319</v>
      </c>
      <c r="Q80" s="5" t="s">
        <v>742</v>
      </c>
      <c r="R80" s="5" t="s">
        <v>667</v>
      </c>
      <c r="S80" s="6" t="s">
        <v>672</v>
      </c>
      <c r="T80" s="5" t="s">
        <v>743</v>
      </c>
      <c r="U80" s="5" t="s">
        <v>744</v>
      </c>
      <c r="V80" s="5" t="s">
        <v>745</v>
      </c>
      <c r="W80" s="6" t="s">
        <v>665</v>
      </c>
      <c r="X80" s="5"/>
      <c r="Y80" s="5"/>
      <c r="Z80" s="105">
        <v>5.63</v>
      </c>
      <c r="AA80" s="6" t="s">
        <v>963</v>
      </c>
      <c r="AB80" s="6"/>
      <c r="AC80" s="6"/>
      <c r="AD80" s="6">
        <v>2.61</v>
      </c>
      <c r="AE80" s="6" t="s">
        <v>960</v>
      </c>
      <c r="AF80" s="6"/>
      <c r="AG80" s="12">
        <v>62</v>
      </c>
      <c r="AH80" s="6"/>
      <c r="AI80" s="6" t="s">
        <v>965</v>
      </c>
      <c r="AJ80" s="112"/>
      <c r="AK80" s="112">
        <v>1.24E-2</v>
      </c>
      <c r="AL80" s="6"/>
      <c r="AM80" s="6"/>
      <c r="AN80" s="6"/>
      <c r="AO80" s="5"/>
      <c r="AP80" s="6"/>
      <c r="AQ80" s="28" t="s">
        <v>319</v>
      </c>
      <c r="AR80" s="28" t="s">
        <v>319</v>
      </c>
      <c r="AS80" s="28" t="s">
        <v>319</v>
      </c>
      <c r="AT80" s="28" t="s">
        <v>319</v>
      </c>
      <c r="AU80" s="28" t="s">
        <v>319</v>
      </c>
      <c r="AV80" s="28" t="s">
        <v>319</v>
      </c>
      <c r="AW80" s="28" t="s">
        <v>319</v>
      </c>
      <c r="AX80" s="28" t="s">
        <v>319</v>
      </c>
      <c r="AY80" s="28" t="s">
        <v>319</v>
      </c>
      <c r="AZ80" s="28" t="s">
        <v>319</v>
      </c>
      <c r="BA80" s="28" t="s">
        <v>319</v>
      </c>
      <c r="BB80" s="6" t="s">
        <v>984</v>
      </c>
      <c r="BC80" s="5" t="s">
        <v>1009</v>
      </c>
      <c r="BD80" s="106">
        <v>150</v>
      </c>
      <c r="BE80" s="6" t="s">
        <v>1010</v>
      </c>
      <c r="BF80" s="6"/>
      <c r="BG80" s="12">
        <v>7.5</v>
      </c>
      <c r="BH80" s="28" t="s">
        <v>319</v>
      </c>
      <c r="BI80" s="28" t="s">
        <v>319</v>
      </c>
      <c r="BJ80" s="28" t="s">
        <v>319</v>
      </c>
      <c r="BK80" s="28" t="s">
        <v>319</v>
      </c>
      <c r="BL80" s="28" t="s">
        <v>319</v>
      </c>
      <c r="BM80" s="28" t="s">
        <v>319</v>
      </c>
      <c r="BN80" s="28" t="s">
        <v>319</v>
      </c>
      <c r="BO80" s="28" t="s">
        <v>319</v>
      </c>
      <c r="BP80" s="28" t="s">
        <v>319</v>
      </c>
      <c r="BQ80" s="28" t="s">
        <v>319</v>
      </c>
      <c r="BR80" s="5"/>
      <c r="BS80" s="105"/>
      <c r="BT80" s="6"/>
      <c r="BU80" s="12">
        <v>14.5</v>
      </c>
      <c r="BV80" s="6" t="s">
        <v>1019</v>
      </c>
      <c r="BW80" s="12">
        <v>1.3</v>
      </c>
      <c r="BX80" s="6"/>
      <c r="BY80" s="6"/>
      <c r="BZ80" s="30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9"/>
      <c r="DB80" s="6"/>
      <c r="DC80" s="30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 t="s">
        <v>319</v>
      </c>
      <c r="DO80" s="28" t="s">
        <v>319</v>
      </c>
      <c r="DP80" s="28" t="s">
        <v>319</v>
      </c>
      <c r="DQ80" s="28" t="s">
        <v>319</v>
      </c>
      <c r="DR80" s="28" t="s">
        <v>319</v>
      </c>
      <c r="DS80" s="28" t="s">
        <v>319</v>
      </c>
      <c r="DT80" s="28" t="s">
        <v>319</v>
      </c>
      <c r="DU80" s="28" t="s">
        <v>319</v>
      </c>
      <c r="DV80" s="28" t="s">
        <v>319</v>
      </c>
      <c r="DW80" s="28" t="s">
        <v>319</v>
      </c>
      <c r="DX80" s="28" t="s">
        <v>319</v>
      </c>
      <c r="DY80" s="28" t="s">
        <v>319</v>
      </c>
      <c r="DZ80" s="28" t="s">
        <v>319</v>
      </c>
      <c r="EA80" s="28" t="s">
        <v>319</v>
      </c>
      <c r="EB80" s="28" t="s">
        <v>319</v>
      </c>
      <c r="EC80" s="28" t="s">
        <v>319</v>
      </c>
      <c r="ED80" s="28" t="s">
        <v>319</v>
      </c>
      <c r="EE80" s="28"/>
      <c r="EF80" s="28" t="s">
        <v>319</v>
      </c>
      <c r="EG80" s="28" t="s">
        <v>319</v>
      </c>
      <c r="EH80" s="28" t="s">
        <v>319</v>
      </c>
      <c r="EI80" s="28" t="s">
        <v>319</v>
      </c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7"/>
      <c r="FK80" s="6"/>
      <c r="FL80" s="6"/>
      <c r="FM80" s="94"/>
    </row>
    <row r="81" spans="1:169" s="3" customFormat="1" x14ac:dyDescent="0.4">
      <c r="A81" s="93"/>
      <c r="B81" s="93"/>
      <c r="C81" s="26"/>
      <c r="D81" s="27" t="s">
        <v>319</v>
      </c>
      <c r="E81" s="2" t="s">
        <v>522</v>
      </c>
      <c r="F81" s="28" t="s">
        <v>319</v>
      </c>
      <c r="G81" s="28" t="s">
        <v>319</v>
      </c>
      <c r="H81" s="28" t="s">
        <v>319</v>
      </c>
      <c r="I81" s="6" t="s">
        <v>591</v>
      </c>
      <c r="J81" s="28" t="s">
        <v>319</v>
      </c>
      <c r="K81" s="28" t="s">
        <v>319</v>
      </c>
      <c r="L81" s="28" t="s">
        <v>319</v>
      </c>
      <c r="M81" s="28" t="s">
        <v>319</v>
      </c>
      <c r="N81" s="28" t="s">
        <v>319</v>
      </c>
      <c r="O81" s="28" t="s">
        <v>319</v>
      </c>
      <c r="P81" s="28" t="s">
        <v>319</v>
      </c>
      <c r="Q81" s="5" t="s">
        <v>746</v>
      </c>
      <c r="R81" s="5" t="s">
        <v>667</v>
      </c>
      <c r="S81" s="6" t="s">
        <v>672</v>
      </c>
      <c r="T81" s="106">
        <v>1280</v>
      </c>
      <c r="U81" s="5" t="s">
        <v>740</v>
      </c>
      <c r="V81" s="5" t="s">
        <v>741</v>
      </c>
      <c r="W81" s="6" t="s">
        <v>665</v>
      </c>
      <c r="X81" s="105">
        <v>43</v>
      </c>
      <c r="Y81" s="105">
        <v>42.5</v>
      </c>
      <c r="Z81" s="105">
        <v>42.05</v>
      </c>
      <c r="AA81" s="6" t="s">
        <v>963</v>
      </c>
      <c r="AB81" s="6">
        <v>0.5</v>
      </c>
      <c r="AC81" s="6">
        <v>0.45000000000000284</v>
      </c>
      <c r="AD81" s="6">
        <v>0.54999999999999716</v>
      </c>
      <c r="AE81" s="6" t="s">
        <v>956</v>
      </c>
      <c r="AF81" s="6"/>
      <c r="AG81" s="12">
        <v>383</v>
      </c>
      <c r="AH81" s="6"/>
      <c r="AI81" s="6" t="s">
        <v>965</v>
      </c>
      <c r="AJ81" s="108"/>
      <c r="AK81" s="112">
        <v>2.3599999999999999E-2</v>
      </c>
      <c r="AL81" s="6"/>
      <c r="AM81" s="6"/>
      <c r="AN81" s="6"/>
      <c r="AO81" s="5"/>
      <c r="AP81" s="6"/>
      <c r="AQ81" s="28" t="s">
        <v>319</v>
      </c>
      <c r="AR81" s="28" t="s">
        <v>319</v>
      </c>
      <c r="AS81" s="28" t="s">
        <v>319</v>
      </c>
      <c r="AT81" s="28" t="s">
        <v>319</v>
      </c>
      <c r="AU81" s="28" t="s">
        <v>319</v>
      </c>
      <c r="AV81" s="28" t="s">
        <v>319</v>
      </c>
      <c r="AW81" s="28" t="s">
        <v>319</v>
      </c>
      <c r="AX81" s="28" t="s">
        <v>319</v>
      </c>
      <c r="AY81" s="28" t="s">
        <v>319</v>
      </c>
      <c r="AZ81" s="28" t="s">
        <v>319</v>
      </c>
      <c r="BA81" s="28" t="s">
        <v>319</v>
      </c>
      <c r="BB81" s="6" t="s">
        <v>984</v>
      </c>
      <c r="BC81" s="5" t="s">
        <v>1012</v>
      </c>
      <c r="BD81" s="106">
        <v>425</v>
      </c>
      <c r="BE81" s="6" t="s">
        <v>1010</v>
      </c>
      <c r="BF81" s="181" t="s">
        <v>1448</v>
      </c>
      <c r="BG81" s="12">
        <v>50</v>
      </c>
      <c r="BH81" s="28" t="s">
        <v>319</v>
      </c>
      <c r="BI81" s="28" t="s">
        <v>319</v>
      </c>
      <c r="BJ81" s="28" t="s">
        <v>319</v>
      </c>
      <c r="BK81" s="28" t="s">
        <v>319</v>
      </c>
      <c r="BL81" s="28" t="s">
        <v>319</v>
      </c>
      <c r="BM81" s="28" t="s">
        <v>319</v>
      </c>
      <c r="BN81" s="28" t="s">
        <v>319</v>
      </c>
      <c r="BO81" s="28" t="s">
        <v>319</v>
      </c>
      <c r="BP81" s="28" t="s">
        <v>319</v>
      </c>
      <c r="BQ81" s="28" t="s">
        <v>319</v>
      </c>
      <c r="BR81" s="5"/>
      <c r="BS81" s="105"/>
      <c r="BT81" s="6"/>
      <c r="BU81" s="12">
        <v>18</v>
      </c>
      <c r="BV81" s="6" t="s">
        <v>1023</v>
      </c>
      <c r="BW81" s="105">
        <v>1.35</v>
      </c>
      <c r="BX81" s="6"/>
      <c r="BY81" s="6"/>
      <c r="BZ81" s="30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9"/>
      <c r="DB81" s="6"/>
      <c r="DC81" s="30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 t="s">
        <v>319</v>
      </c>
      <c r="DO81" s="28" t="s">
        <v>319</v>
      </c>
      <c r="DP81" s="28" t="s">
        <v>319</v>
      </c>
      <c r="DQ81" s="28" t="s">
        <v>319</v>
      </c>
      <c r="DR81" s="28" t="s">
        <v>319</v>
      </c>
      <c r="DS81" s="28" t="s">
        <v>319</v>
      </c>
      <c r="DT81" s="28" t="s">
        <v>319</v>
      </c>
      <c r="DU81" s="28" t="s">
        <v>319</v>
      </c>
      <c r="DV81" s="28" t="s">
        <v>319</v>
      </c>
      <c r="DW81" s="28" t="s">
        <v>319</v>
      </c>
      <c r="DX81" s="28" t="s">
        <v>319</v>
      </c>
      <c r="DY81" s="28" t="s">
        <v>319</v>
      </c>
      <c r="DZ81" s="28" t="s">
        <v>319</v>
      </c>
      <c r="EA81" s="28" t="s">
        <v>319</v>
      </c>
      <c r="EB81" s="28" t="s">
        <v>319</v>
      </c>
      <c r="EC81" s="28" t="s">
        <v>319</v>
      </c>
      <c r="ED81" s="28" t="s">
        <v>319</v>
      </c>
      <c r="EE81" s="28"/>
      <c r="EF81" s="28" t="s">
        <v>319</v>
      </c>
      <c r="EG81" s="28" t="s">
        <v>319</v>
      </c>
      <c r="EH81" s="28" t="s">
        <v>319</v>
      </c>
      <c r="EI81" s="28" t="s">
        <v>319</v>
      </c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7"/>
      <c r="FK81" s="6"/>
      <c r="FL81" s="6"/>
      <c r="FM81" s="94"/>
    </row>
    <row r="82" spans="1:169" s="3" customFormat="1" x14ac:dyDescent="0.4">
      <c r="A82" s="93"/>
      <c r="B82" s="93"/>
      <c r="C82" s="26"/>
      <c r="D82" s="27" t="s">
        <v>319</v>
      </c>
      <c r="E82" s="2" t="s">
        <v>523</v>
      </c>
      <c r="F82" s="28" t="s">
        <v>319</v>
      </c>
      <c r="G82" s="28" t="s">
        <v>319</v>
      </c>
      <c r="H82" s="28" t="s">
        <v>319</v>
      </c>
      <c r="I82" s="6" t="s">
        <v>592</v>
      </c>
      <c r="J82" s="28" t="s">
        <v>319</v>
      </c>
      <c r="K82" s="28" t="s">
        <v>319</v>
      </c>
      <c r="L82" s="28" t="s">
        <v>319</v>
      </c>
      <c r="M82" s="28" t="s">
        <v>319</v>
      </c>
      <c r="N82" s="28" t="s">
        <v>319</v>
      </c>
      <c r="O82" s="28" t="s">
        <v>319</v>
      </c>
      <c r="P82" s="28" t="s">
        <v>319</v>
      </c>
      <c r="Q82" s="5" t="s">
        <v>733</v>
      </c>
      <c r="R82" s="5" t="s">
        <v>667</v>
      </c>
      <c r="S82" s="6" t="s">
        <v>669</v>
      </c>
      <c r="T82" s="5"/>
      <c r="U82" s="5" t="s">
        <v>734</v>
      </c>
      <c r="V82" s="5" t="s">
        <v>735</v>
      </c>
      <c r="W82" s="6" t="s">
        <v>665</v>
      </c>
      <c r="X82" s="5"/>
      <c r="Y82" s="105">
        <v>5</v>
      </c>
      <c r="Z82" s="105">
        <v>5.0999999999999996</v>
      </c>
      <c r="AA82" s="6" t="s">
        <v>955</v>
      </c>
      <c r="AB82" s="6"/>
      <c r="AC82" s="6">
        <v>0.20000000000000018</v>
      </c>
      <c r="AD82" s="6">
        <v>0.33000000000000007</v>
      </c>
      <c r="AE82" s="6" t="s">
        <v>956</v>
      </c>
      <c r="AF82" s="6"/>
      <c r="AG82" s="12">
        <v>232</v>
      </c>
      <c r="AH82" s="6"/>
      <c r="AI82" s="6" t="s">
        <v>965</v>
      </c>
      <c r="AJ82" s="5"/>
      <c r="AK82" s="112">
        <v>1.7100000000000001E-2</v>
      </c>
      <c r="AL82" s="6"/>
      <c r="AM82" s="6"/>
      <c r="AN82" s="6"/>
      <c r="AO82" s="5"/>
      <c r="AP82" s="6"/>
      <c r="AQ82" s="28" t="s">
        <v>319</v>
      </c>
      <c r="AR82" s="28" t="s">
        <v>319</v>
      </c>
      <c r="AS82" s="28" t="s">
        <v>319</v>
      </c>
      <c r="AT82" s="28" t="s">
        <v>319</v>
      </c>
      <c r="AU82" s="28" t="s">
        <v>319</v>
      </c>
      <c r="AV82" s="28" t="s">
        <v>319</v>
      </c>
      <c r="AW82" s="28" t="s">
        <v>319</v>
      </c>
      <c r="AX82" s="28" t="s">
        <v>319</v>
      </c>
      <c r="AY82" s="28" t="s">
        <v>319</v>
      </c>
      <c r="AZ82" s="28" t="s">
        <v>319</v>
      </c>
      <c r="BA82" s="28" t="s">
        <v>319</v>
      </c>
      <c r="BB82" s="6" t="s">
        <v>984</v>
      </c>
      <c r="BC82" s="5" t="s">
        <v>1009</v>
      </c>
      <c r="BD82" s="106">
        <v>260</v>
      </c>
      <c r="BE82" s="6" t="s">
        <v>1010</v>
      </c>
      <c r="BF82" s="6"/>
      <c r="BG82" s="12">
        <v>7.5</v>
      </c>
      <c r="BH82" s="28" t="s">
        <v>319</v>
      </c>
      <c r="BI82" s="28" t="s">
        <v>319</v>
      </c>
      <c r="BJ82" s="28" t="s">
        <v>319</v>
      </c>
      <c r="BK82" s="28" t="s">
        <v>319</v>
      </c>
      <c r="BL82" s="28" t="s">
        <v>319</v>
      </c>
      <c r="BM82" s="28" t="s">
        <v>319</v>
      </c>
      <c r="BN82" s="28" t="s">
        <v>319</v>
      </c>
      <c r="BO82" s="28" t="s">
        <v>319</v>
      </c>
      <c r="BP82" s="28" t="s">
        <v>319</v>
      </c>
      <c r="BQ82" s="28" t="s">
        <v>319</v>
      </c>
      <c r="BR82" s="5"/>
      <c r="BS82" s="105"/>
      <c r="BT82" s="6"/>
      <c r="BU82" s="12">
        <v>14.4</v>
      </c>
      <c r="BV82" s="6" t="s">
        <v>1022</v>
      </c>
      <c r="BW82" s="108">
        <v>1.232</v>
      </c>
      <c r="BX82" s="6"/>
      <c r="BY82" s="6"/>
      <c r="BZ82" s="30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9"/>
      <c r="DB82" s="6"/>
      <c r="DC82" s="30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 t="s">
        <v>319</v>
      </c>
      <c r="DO82" s="28" t="s">
        <v>319</v>
      </c>
      <c r="DP82" s="28" t="s">
        <v>319</v>
      </c>
      <c r="DQ82" s="28" t="s">
        <v>319</v>
      </c>
      <c r="DR82" s="28" t="s">
        <v>319</v>
      </c>
      <c r="DS82" s="28" t="s">
        <v>319</v>
      </c>
      <c r="DT82" s="28" t="s">
        <v>319</v>
      </c>
      <c r="DU82" s="28" t="s">
        <v>319</v>
      </c>
      <c r="DV82" s="28" t="s">
        <v>319</v>
      </c>
      <c r="DW82" s="28" t="s">
        <v>319</v>
      </c>
      <c r="DX82" s="28" t="s">
        <v>319</v>
      </c>
      <c r="DY82" s="28" t="s">
        <v>319</v>
      </c>
      <c r="DZ82" s="28" t="s">
        <v>319</v>
      </c>
      <c r="EA82" s="28" t="s">
        <v>319</v>
      </c>
      <c r="EB82" s="28" t="s">
        <v>319</v>
      </c>
      <c r="EC82" s="28" t="s">
        <v>319</v>
      </c>
      <c r="ED82" s="28" t="s">
        <v>319</v>
      </c>
      <c r="EE82" s="28"/>
      <c r="EF82" s="28" t="s">
        <v>319</v>
      </c>
      <c r="EG82" s="28" t="s">
        <v>319</v>
      </c>
      <c r="EH82" s="28" t="s">
        <v>319</v>
      </c>
      <c r="EI82" s="28" t="s">
        <v>319</v>
      </c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7"/>
      <c r="FK82" s="6"/>
      <c r="FL82" s="6"/>
      <c r="FM82" s="94"/>
    </row>
    <row r="83" spans="1:169" s="3" customFormat="1" x14ac:dyDescent="0.4">
      <c r="A83" s="93"/>
      <c r="B83" s="93"/>
      <c r="C83" s="26"/>
      <c r="D83" s="27" t="s">
        <v>319</v>
      </c>
      <c r="E83" s="2" t="s">
        <v>524</v>
      </c>
      <c r="F83" s="28" t="s">
        <v>319</v>
      </c>
      <c r="G83" s="28" t="s">
        <v>319</v>
      </c>
      <c r="H83" s="28" t="s">
        <v>319</v>
      </c>
      <c r="I83" s="6" t="s">
        <v>590</v>
      </c>
      <c r="J83" s="28" t="s">
        <v>319</v>
      </c>
      <c r="K83" s="28" t="s">
        <v>319</v>
      </c>
      <c r="L83" s="28" t="s">
        <v>319</v>
      </c>
      <c r="M83" s="28" t="s">
        <v>319</v>
      </c>
      <c r="N83" s="28" t="s">
        <v>319</v>
      </c>
      <c r="O83" s="28" t="s">
        <v>319</v>
      </c>
      <c r="P83" s="28" t="s">
        <v>319</v>
      </c>
      <c r="Q83" s="5" t="s">
        <v>733</v>
      </c>
      <c r="R83" s="5" t="s">
        <v>667</v>
      </c>
      <c r="S83" s="6" t="s">
        <v>669</v>
      </c>
      <c r="T83" s="5"/>
      <c r="U83" s="5" t="s">
        <v>736</v>
      </c>
      <c r="V83" s="5" t="s">
        <v>737</v>
      </c>
      <c r="W83" s="6" t="s">
        <v>665</v>
      </c>
      <c r="X83" s="5"/>
      <c r="Y83" s="210">
        <v>5.08</v>
      </c>
      <c r="Z83" s="210">
        <v>5</v>
      </c>
      <c r="AA83" s="6" t="s">
        <v>963</v>
      </c>
      <c r="AB83" s="6"/>
      <c r="AC83" s="181" t="s">
        <v>1439</v>
      </c>
      <c r="AD83" s="181" t="s">
        <v>1438</v>
      </c>
      <c r="AE83" s="6" t="s">
        <v>956</v>
      </c>
      <c r="AF83" s="6"/>
      <c r="AG83" s="12">
        <v>232</v>
      </c>
      <c r="AH83" s="6"/>
      <c r="AI83" s="6" t="s">
        <v>965</v>
      </c>
      <c r="AJ83" s="108"/>
      <c r="AK83" s="112">
        <v>1.7100000000000001E-2</v>
      </c>
      <c r="AL83" s="6"/>
      <c r="AM83" s="6"/>
      <c r="AN83" s="6"/>
      <c r="AO83" s="5"/>
      <c r="AP83" s="6"/>
      <c r="AQ83" s="28" t="s">
        <v>319</v>
      </c>
      <c r="AR83" s="28" t="s">
        <v>319</v>
      </c>
      <c r="AS83" s="28" t="s">
        <v>319</v>
      </c>
      <c r="AT83" s="28" t="s">
        <v>319</v>
      </c>
      <c r="AU83" s="28" t="s">
        <v>319</v>
      </c>
      <c r="AV83" s="28" t="s">
        <v>319</v>
      </c>
      <c r="AW83" s="28" t="s">
        <v>319</v>
      </c>
      <c r="AX83" s="28" t="s">
        <v>319</v>
      </c>
      <c r="AY83" s="28" t="s">
        <v>319</v>
      </c>
      <c r="AZ83" s="28" t="s">
        <v>319</v>
      </c>
      <c r="BA83" s="28" t="s">
        <v>319</v>
      </c>
      <c r="BB83" s="6" t="s">
        <v>984</v>
      </c>
      <c r="BC83" s="5" t="s">
        <v>1009</v>
      </c>
      <c r="BD83" s="106">
        <v>260</v>
      </c>
      <c r="BE83" s="6" t="s">
        <v>1010</v>
      </c>
      <c r="BF83" s="6"/>
      <c r="BG83" s="12">
        <v>7.5</v>
      </c>
      <c r="BH83" s="28" t="s">
        <v>319</v>
      </c>
      <c r="BI83" s="28" t="s">
        <v>319</v>
      </c>
      <c r="BJ83" s="28" t="s">
        <v>319</v>
      </c>
      <c r="BK83" s="28" t="s">
        <v>319</v>
      </c>
      <c r="BL83" s="28" t="s">
        <v>319</v>
      </c>
      <c r="BM83" s="28" t="s">
        <v>319</v>
      </c>
      <c r="BN83" s="28" t="s">
        <v>319</v>
      </c>
      <c r="BO83" s="28" t="s">
        <v>319</v>
      </c>
      <c r="BP83" s="28" t="s">
        <v>319</v>
      </c>
      <c r="BQ83" s="28" t="s">
        <v>319</v>
      </c>
      <c r="BR83" s="5"/>
      <c r="BS83" s="105"/>
      <c r="BT83" s="6"/>
      <c r="BU83" s="12">
        <v>14.4</v>
      </c>
      <c r="BV83" s="6" t="s">
        <v>1022</v>
      </c>
      <c r="BW83" s="108">
        <v>1.232</v>
      </c>
      <c r="BX83" s="6"/>
      <c r="BY83" s="6"/>
      <c r="BZ83" s="30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9"/>
      <c r="DB83" s="6"/>
      <c r="DC83" s="30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 t="s">
        <v>319</v>
      </c>
      <c r="DO83" s="28" t="s">
        <v>319</v>
      </c>
      <c r="DP83" s="28" t="s">
        <v>319</v>
      </c>
      <c r="DQ83" s="28" t="s">
        <v>319</v>
      </c>
      <c r="DR83" s="28" t="s">
        <v>319</v>
      </c>
      <c r="DS83" s="28" t="s">
        <v>319</v>
      </c>
      <c r="DT83" s="28" t="s">
        <v>319</v>
      </c>
      <c r="DU83" s="28" t="s">
        <v>319</v>
      </c>
      <c r="DV83" s="28" t="s">
        <v>319</v>
      </c>
      <c r="DW83" s="28" t="s">
        <v>319</v>
      </c>
      <c r="DX83" s="28" t="s">
        <v>319</v>
      </c>
      <c r="DY83" s="28" t="s">
        <v>319</v>
      </c>
      <c r="DZ83" s="28" t="s">
        <v>319</v>
      </c>
      <c r="EA83" s="28" t="s">
        <v>319</v>
      </c>
      <c r="EB83" s="28" t="s">
        <v>319</v>
      </c>
      <c r="EC83" s="28" t="s">
        <v>319</v>
      </c>
      <c r="ED83" s="28" t="s">
        <v>319</v>
      </c>
      <c r="EE83" s="28"/>
      <c r="EF83" s="28" t="s">
        <v>319</v>
      </c>
      <c r="EG83" s="28" t="s">
        <v>319</v>
      </c>
      <c r="EH83" s="28" t="s">
        <v>319</v>
      </c>
      <c r="EI83" s="28" t="s">
        <v>319</v>
      </c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7"/>
      <c r="FK83" s="6"/>
      <c r="FL83" s="6"/>
      <c r="FM83" s="94"/>
    </row>
    <row r="84" spans="1:169" s="3" customFormat="1" x14ac:dyDescent="0.4">
      <c r="A84" s="93"/>
      <c r="B84" s="93"/>
      <c r="C84" s="26"/>
      <c r="D84" s="27" t="s">
        <v>319</v>
      </c>
      <c r="E84" s="2" t="s">
        <v>525</v>
      </c>
      <c r="F84" s="28" t="s">
        <v>319</v>
      </c>
      <c r="G84" s="28" t="s">
        <v>319</v>
      </c>
      <c r="H84" s="28" t="s">
        <v>319</v>
      </c>
      <c r="I84" s="6" t="s">
        <v>590</v>
      </c>
      <c r="J84" s="28" t="s">
        <v>319</v>
      </c>
      <c r="K84" s="28" t="s">
        <v>319</v>
      </c>
      <c r="L84" s="28" t="s">
        <v>319</v>
      </c>
      <c r="M84" s="28" t="s">
        <v>319</v>
      </c>
      <c r="N84" s="28" t="s">
        <v>319</v>
      </c>
      <c r="O84" s="28" t="s">
        <v>319</v>
      </c>
      <c r="P84" s="28" t="s">
        <v>319</v>
      </c>
      <c r="Q84" s="5" t="s">
        <v>733</v>
      </c>
      <c r="R84" s="5" t="s">
        <v>667</v>
      </c>
      <c r="S84" s="6" t="s">
        <v>678</v>
      </c>
      <c r="T84" s="5"/>
      <c r="U84" s="5" t="s">
        <v>738</v>
      </c>
      <c r="V84" s="5" t="s">
        <v>739</v>
      </c>
      <c r="W84" s="6" t="s">
        <v>665</v>
      </c>
      <c r="X84" s="5"/>
      <c r="Y84" s="210">
        <v>5.09</v>
      </c>
      <c r="Z84" s="210">
        <v>5</v>
      </c>
      <c r="AA84" s="6" t="s">
        <v>963</v>
      </c>
      <c r="AB84" s="6"/>
      <c r="AC84" s="181" t="s">
        <v>1440</v>
      </c>
      <c r="AD84" s="181" t="s">
        <v>1441</v>
      </c>
      <c r="AE84" s="6" t="s">
        <v>956</v>
      </c>
      <c r="AF84" s="6"/>
      <c r="AG84" s="12">
        <v>232</v>
      </c>
      <c r="AH84" s="6"/>
      <c r="AI84" s="6" t="s">
        <v>965</v>
      </c>
      <c r="AJ84" s="108"/>
      <c r="AK84" s="112">
        <v>1.7100000000000001E-2</v>
      </c>
      <c r="AL84" s="6"/>
      <c r="AM84" s="6"/>
      <c r="AN84" s="6"/>
      <c r="AO84" s="5"/>
      <c r="AP84" s="6"/>
      <c r="AQ84" s="28" t="s">
        <v>319</v>
      </c>
      <c r="AR84" s="28" t="s">
        <v>319</v>
      </c>
      <c r="AS84" s="28" t="s">
        <v>319</v>
      </c>
      <c r="AT84" s="28" t="s">
        <v>319</v>
      </c>
      <c r="AU84" s="28" t="s">
        <v>319</v>
      </c>
      <c r="AV84" s="28" t="s">
        <v>319</v>
      </c>
      <c r="AW84" s="28" t="s">
        <v>319</v>
      </c>
      <c r="AX84" s="28" t="s">
        <v>319</v>
      </c>
      <c r="AY84" s="28" t="s">
        <v>319</v>
      </c>
      <c r="AZ84" s="28" t="s">
        <v>319</v>
      </c>
      <c r="BA84" s="28" t="s">
        <v>319</v>
      </c>
      <c r="BB84" s="6" t="s">
        <v>984</v>
      </c>
      <c r="BC84" s="5" t="s">
        <v>1011</v>
      </c>
      <c r="BD84" s="106">
        <v>260</v>
      </c>
      <c r="BE84" s="6" t="s">
        <v>1010</v>
      </c>
      <c r="BF84" s="6"/>
      <c r="BG84" s="12">
        <v>7.5</v>
      </c>
      <c r="BH84" s="28" t="s">
        <v>319</v>
      </c>
      <c r="BI84" s="28" t="s">
        <v>319</v>
      </c>
      <c r="BJ84" s="28" t="s">
        <v>319</v>
      </c>
      <c r="BK84" s="28" t="s">
        <v>319</v>
      </c>
      <c r="BL84" s="28" t="s">
        <v>319</v>
      </c>
      <c r="BM84" s="28" t="s">
        <v>319</v>
      </c>
      <c r="BN84" s="28" t="s">
        <v>319</v>
      </c>
      <c r="BO84" s="28" t="s">
        <v>319</v>
      </c>
      <c r="BP84" s="28" t="s">
        <v>319</v>
      </c>
      <c r="BQ84" s="28" t="s">
        <v>319</v>
      </c>
      <c r="BR84" s="5"/>
      <c r="BS84" s="105"/>
      <c r="BT84" s="6"/>
      <c r="BU84" s="12">
        <v>14.4</v>
      </c>
      <c r="BV84" s="6" t="s">
        <v>1022</v>
      </c>
      <c r="BW84" s="108">
        <v>1.232</v>
      </c>
      <c r="BX84" s="6"/>
      <c r="BY84" s="6"/>
      <c r="BZ84" s="30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9"/>
      <c r="DB84" s="6"/>
      <c r="DC84" s="30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 t="s">
        <v>319</v>
      </c>
      <c r="DO84" s="28" t="s">
        <v>319</v>
      </c>
      <c r="DP84" s="28" t="s">
        <v>319</v>
      </c>
      <c r="DQ84" s="28" t="s">
        <v>319</v>
      </c>
      <c r="DR84" s="28" t="s">
        <v>319</v>
      </c>
      <c r="DS84" s="28" t="s">
        <v>319</v>
      </c>
      <c r="DT84" s="28" t="s">
        <v>319</v>
      </c>
      <c r="DU84" s="28" t="s">
        <v>319</v>
      </c>
      <c r="DV84" s="28" t="s">
        <v>319</v>
      </c>
      <c r="DW84" s="28" t="s">
        <v>319</v>
      </c>
      <c r="DX84" s="28" t="s">
        <v>319</v>
      </c>
      <c r="DY84" s="28" t="s">
        <v>319</v>
      </c>
      <c r="DZ84" s="28" t="s">
        <v>319</v>
      </c>
      <c r="EA84" s="28" t="s">
        <v>319</v>
      </c>
      <c r="EB84" s="28" t="s">
        <v>319</v>
      </c>
      <c r="EC84" s="28" t="s">
        <v>319</v>
      </c>
      <c r="ED84" s="28" t="s">
        <v>319</v>
      </c>
      <c r="EE84" s="28"/>
      <c r="EF84" s="28" t="s">
        <v>319</v>
      </c>
      <c r="EG84" s="28" t="s">
        <v>319</v>
      </c>
      <c r="EH84" s="28" t="s">
        <v>319</v>
      </c>
      <c r="EI84" s="28" t="s">
        <v>319</v>
      </c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7"/>
      <c r="FK84" s="6"/>
      <c r="FL84" s="6"/>
      <c r="FM84" s="94"/>
    </row>
    <row r="85" spans="1:169" s="3" customFormat="1" x14ac:dyDescent="0.4">
      <c r="A85" s="93"/>
      <c r="B85" s="93"/>
      <c r="C85" s="26"/>
      <c r="D85" s="27" t="s">
        <v>319</v>
      </c>
      <c r="E85" s="2" t="s">
        <v>450</v>
      </c>
      <c r="F85" s="28" t="s">
        <v>319</v>
      </c>
      <c r="G85" s="28" t="s">
        <v>319</v>
      </c>
      <c r="H85" s="28" t="s">
        <v>319</v>
      </c>
      <c r="I85" s="6" t="s">
        <v>593</v>
      </c>
      <c r="J85" s="28" t="s">
        <v>319</v>
      </c>
      <c r="K85" s="28" t="s">
        <v>319</v>
      </c>
      <c r="L85" s="28" t="s">
        <v>319</v>
      </c>
      <c r="M85" s="28" t="s">
        <v>319</v>
      </c>
      <c r="N85" s="28" t="s">
        <v>319</v>
      </c>
      <c r="O85" s="28" t="s">
        <v>319</v>
      </c>
      <c r="P85" s="28" t="s">
        <v>319</v>
      </c>
      <c r="Q85" s="5" t="s">
        <v>684</v>
      </c>
      <c r="R85" s="5" t="s">
        <v>663</v>
      </c>
      <c r="S85" s="6" t="s">
        <v>672</v>
      </c>
      <c r="T85" s="5"/>
      <c r="U85" s="5">
        <v>2650</v>
      </c>
      <c r="V85" s="5"/>
      <c r="W85" s="6" t="s">
        <v>665</v>
      </c>
      <c r="X85" s="5"/>
      <c r="Y85" s="5">
        <v>3.53</v>
      </c>
      <c r="Z85" s="5"/>
      <c r="AA85" s="6" t="s">
        <v>963</v>
      </c>
      <c r="AB85" s="6"/>
      <c r="AC85" s="6" t="s">
        <v>987</v>
      </c>
      <c r="AD85" s="6"/>
      <c r="AE85" s="6" t="s">
        <v>956</v>
      </c>
      <c r="AF85" s="6"/>
      <c r="AG85" s="12">
        <v>47.7</v>
      </c>
      <c r="AH85" s="6"/>
      <c r="AI85" s="6" t="s">
        <v>965</v>
      </c>
      <c r="AJ85" s="112"/>
      <c r="AK85" s="5">
        <v>0.6</v>
      </c>
      <c r="AL85" s="6"/>
      <c r="AM85" s="6" t="s">
        <v>958</v>
      </c>
      <c r="AN85" s="6"/>
      <c r="AO85" s="5">
        <v>0.1</v>
      </c>
      <c r="AP85" s="6"/>
      <c r="AQ85" s="28" t="s">
        <v>319</v>
      </c>
      <c r="AR85" s="28" t="s">
        <v>319</v>
      </c>
      <c r="AS85" s="28" t="s">
        <v>319</v>
      </c>
      <c r="AT85" s="28" t="s">
        <v>319</v>
      </c>
      <c r="AU85" s="28" t="s">
        <v>319</v>
      </c>
      <c r="AV85" s="28" t="s">
        <v>319</v>
      </c>
      <c r="AW85" s="28" t="s">
        <v>319</v>
      </c>
      <c r="AX85" s="28" t="s">
        <v>319</v>
      </c>
      <c r="AY85" s="28" t="s">
        <v>319</v>
      </c>
      <c r="AZ85" s="28" t="s">
        <v>319</v>
      </c>
      <c r="BA85" s="28" t="s">
        <v>319</v>
      </c>
      <c r="BB85" s="6" t="s">
        <v>984</v>
      </c>
      <c r="BC85" s="5" t="s">
        <v>1012</v>
      </c>
      <c r="BD85" s="106">
        <v>150</v>
      </c>
      <c r="BE85" s="6" t="s">
        <v>1010</v>
      </c>
      <c r="BF85" s="6"/>
      <c r="BG85" s="12">
        <v>7.5</v>
      </c>
      <c r="BH85" s="28" t="s">
        <v>319</v>
      </c>
      <c r="BI85" s="28" t="s">
        <v>319</v>
      </c>
      <c r="BJ85" s="28" t="s">
        <v>319</v>
      </c>
      <c r="BK85" s="28" t="s">
        <v>319</v>
      </c>
      <c r="BL85" s="28" t="s">
        <v>319</v>
      </c>
      <c r="BM85" s="28" t="s">
        <v>319</v>
      </c>
      <c r="BN85" s="28" t="s">
        <v>319</v>
      </c>
      <c r="BO85" s="28" t="s">
        <v>319</v>
      </c>
      <c r="BP85" s="28" t="s">
        <v>319</v>
      </c>
      <c r="BQ85" s="28" t="s">
        <v>319</v>
      </c>
      <c r="BR85" s="99" t="s">
        <v>1307</v>
      </c>
      <c r="BS85" s="5">
        <v>990.5</v>
      </c>
      <c r="BT85" s="6"/>
      <c r="BU85" s="5"/>
      <c r="BV85" s="6"/>
      <c r="BW85" s="5"/>
      <c r="BX85" s="6" t="s">
        <v>1051</v>
      </c>
      <c r="BY85" s="6"/>
      <c r="BZ85" s="30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9"/>
      <c r="DB85" s="6"/>
      <c r="DC85" s="30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 t="s">
        <v>319</v>
      </c>
      <c r="DO85" s="28" t="s">
        <v>319</v>
      </c>
      <c r="DP85" s="28" t="s">
        <v>319</v>
      </c>
      <c r="DQ85" s="28" t="s">
        <v>319</v>
      </c>
      <c r="DR85" s="28" t="s">
        <v>319</v>
      </c>
      <c r="DS85" s="28" t="s">
        <v>319</v>
      </c>
      <c r="DT85" s="28" t="s">
        <v>319</v>
      </c>
      <c r="DU85" s="28" t="s">
        <v>319</v>
      </c>
      <c r="DV85" s="28" t="s">
        <v>319</v>
      </c>
      <c r="DW85" s="28" t="s">
        <v>319</v>
      </c>
      <c r="DX85" s="28" t="s">
        <v>319</v>
      </c>
      <c r="DY85" s="28" t="s">
        <v>319</v>
      </c>
      <c r="DZ85" s="28" t="s">
        <v>319</v>
      </c>
      <c r="EA85" s="28" t="s">
        <v>319</v>
      </c>
      <c r="EB85" s="28" t="s">
        <v>319</v>
      </c>
      <c r="EC85" s="28" t="s">
        <v>319</v>
      </c>
      <c r="ED85" s="28" t="s">
        <v>319</v>
      </c>
      <c r="EE85" s="28"/>
      <c r="EF85" s="28" t="s">
        <v>319</v>
      </c>
      <c r="EG85" s="28" t="s">
        <v>319</v>
      </c>
      <c r="EH85" s="28" t="s">
        <v>319</v>
      </c>
      <c r="EI85" s="28" t="s">
        <v>319</v>
      </c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7"/>
      <c r="FK85" s="6"/>
      <c r="FL85" s="6"/>
      <c r="FM85" s="97"/>
    </row>
    <row r="86" spans="1:169" s="3" customFormat="1" x14ac:dyDescent="0.4">
      <c r="A86" s="93"/>
      <c r="B86" s="93"/>
      <c r="C86" s="26"/>
      <c r="D86" s="27" t="s">
        <v>319</v>
      </c>
      <c r="E86" s="2" t="s">
        <v>1375</v>
      </c>
      <c r="F86" s="28" t="s">
        <v>319</v>
      </c>
      <c r="G86" s="28" t="s">
        <v>319</v>
      </c>
      <c r="H86" s="28" t="s">
        <v>319</v>
      </c>
      <c r="I86" s="6" t="s">
        <v>593</v>
      </c>
      <c r="J86" s="28" t="s">
        <v>319</v>
      </c>
      <c r="K86" s="28" t="s">
        <v>319</v>
      </c>
      <c r="L86" s="28" t="s">
        <v>319</v>
      </c>
      <c r="M86" s="28" t="s">
        <v>319</v>
      </c>
      <c r="N86" s="28" t="s">
        <v>319</v>
      </c>
      <c r="O86" s="28" t="s">
        <v>319</v>
      </c>
      <c r="P86" s="28" t="s">
        <v>319</v>
      </c>
      <c r="Q86" s="5" t="s">
        <v>673</v>
      </c>
      <c r="R86" s="5" t="s">
        <v>667</v>
      </c>
      <c r="S86" s="6" t="s">
        <v>678</v>
      </c>
      <c r="T86" s="5">
        <v>23283</v>
      </c>
      <c r="U86" s="5">
        <f>58680/2</f>
        <v>29340</v>
      </c>
      <c r="V86" s="5">
        <f>61066/2</f>
        <v>30533</v>
      </c>
      <c r="W86" s="6" t="s">
        <v>665</v>
      </c>
      <c r="X86" s="105">
        <v>3.53</v>
      </c>
      <c r="Y86" s="105">
        <v>3.53</v>
      </c>
      <c r="Z86" s="105">
        <v>3.52</v>
      </c>
      <c r="AA86" s="6" t="s">
        <v>963</v>
      </c>
      <c r="AB86" s="6">
        <v>3.1799999999999997</v>
      </c>
      <c r="AC86" s="6">
        <v>3.1799999999999997</v>
      </c>
      <c r="AD86" s="6">
        <v>3.17</v>
      </c>
      <c r="AE86" s="6" t="s">
        <v>956</v>
      </c>
      <c r="AF86" s="6"/>
      <c r="AG86" s="12">
        <v>47.7</v>
      </c>
      <c r="AH86" s="6"/>
      <c r="AI86" s="6" t="s">
        <v>965</v>
      </c>
      <c r="AJ86" s="112"/>
      <c r="AK86" s="112">
        <v>1.2E-2</v>
      </c>
      <c r="AL86" s="6"/>
      <c r="AM86" s="6"/>
      <c r="AN86" s="6"/>
      <c r="AO86" s="5"/>
      <c r="AP86" s="6"/>
      <c r="AQ86" s="28" t="s">
        <v>319</v>
      </c>
      <c r="AR86" s="28" t="s">
        <v>319</v>
      </c>
      <c r="AS86" s="28" t="s">
        <v>319</v>
      </c>
      <c r="AT86" s="28" t="s">
        <v>319</v>
      </c>
      <c r="AU86" s="28" t="s">
        <v>319</v>
      </c>
      <c r="AV86" s="28" t="s">
        <v>319</v>
      </c>
      <c r="AW86" s="28" t="s">
        <v>319</v>
      </c>
      <c r="AX86" s="28" t="s">
        <v>319</v>
      </c>
      <c r="AY86" s="28" t="s">
        <v>319</v>
      </c>
      <c r="AZ86" s="28" t="s">
        <v>319</v>
      </c>
      <c r="BA86" s="28" t="s">
        <v>319</v>
      </c>
      <c r="BB86" s="6" t="s">
        <v>984</v>
      </c>
      <c r="BC86" s="5" t="s">
        <v>1011</v>
      </c>
      <c r="BD86" s="106">
        <v>150</v>
      </c>
      <c r="BE86" s="6" t="s">
        <v>1010</v>
      </c>
      <c r="BF86" s="6"/>
      <c r="BG86" s="12">
        <v>7.5</v>
      </c>
      <c r="BH86" s="28" t="s">
        <v>319</v>
      </c>
      <c r="BI86" s="28" t="s">
        <v>319</v>
      </c>
      <c r="BJ86" s="28" t="s">
        <v>319</v>
      </c>
      <c r="BK86" s="28" t="s">
        <v>319</v>
      </c>
      <c r="BL86" s="28" t="s">
        <v>319</v>
      </c>
      <c r="BM86" s="28" t="s">
        <v>319</v>
      </c>
      <c r="BN86" s="28" t="s">
        <v>319</v>
      </c>
      <c r="BO86" s="28" t="s">
        <v>319</v>
      </c>
      <c r="BP86" s="28" t="s">
        <v>319</v>
      </c>
      <c r="BQ86" s="28" t="s">
        <v>319</v>
      </c>
      <c r="BR86" s="5"/>
      <c r="BS86" s="105"/>
      <c r="BT86" s="6"/>
      <c r="BU86" s="12">
        <v>15.2</v>
      </c>
      <c r="BV86" s="6" t="s">
        <v>1024</v>
      </c>
      <c r="BW86" s="108">
        <v>1.2929999999999999</v>
      </c>
      <c r="BX86" s="6"/>
      <c r="BY86" s="6"/>
      <c r="BZ86" s="30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9"/>
      <c r="DB86" s="6"/>
      <c r="DC86" s="30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 t="s">
        <v>319</v>
      </c>
      <c r="DO86" s="28" t="s">
        <v>319</v>
      </c>
      <c r="DP86" s="28" t="s">
        <v>319</v>
      </c>
      <c r="DQ86" s="28" t="s">
        <v>319</v>
      </c>
      <c r="DR86" s="28" t="s">
        <v>319</v>
      </c>
      <c r="DS86" s="28" t="s">
        <v>319</v>
      </c>
      <c r="DT86" s="28" t="s">
        <v>319</v>
      </c>
      <c r="DU86" s="28" t="s">
        <v>319</v>
      </c>
      <c r="DV86" s="28" t="s">
        <v>319</v>
      </c>
      <c r="DW86" s="28" t="s">
        <v>319</v>
      </c>
      <c r="DX86" s="28" t="s">
        <v>319</v>
      </c>
      <c r="DY86" s="28" t="s">
        <v>319</v>
      </c>
      <c r="DZ86" s="28" t="s">
        <v>319</v>
      </c>
      <c r="EA86" s="28" t="s">
        <v>319</v>
      </c>
      <c r="EB86" s="28" t="s">
        <v>319</v>
      </c>
      <c r="EC86" s="28" t="s">
        <v>319</v>
      </c>
      <c r="ED86" s="28" t="s">
        <v>319</v>
      </c>
      <c r="EE86" s="28"/>
      <c r="EF86" s="28" t="s">
        <v>319</v>
      </c>
      <c r="EG86" s="28" t="s">
        <v>319</v>
      </c>
      <c r="EH86" s="28" t="s">
        <v>319</v>
      </c>
      <c r="EI86" s="28" t="s">
        <v>319</v>
      </c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7"/>
      <c r="FK86" s="6"/>
      <c r="FL86" s="6"/>
      <c r="FM86" s="94"/>
    </row>
    <row r="87" spans="1:169" s="3" customFormat="1" x14ac:dyDescent="0.4">
      <c r="A87" s="93"/>
      <c r="B87" s="93"/>
      <c r="C87" s="26"/>
      <c r="D87" s="27" t="s">
        <v>319</v>
      </c>
      <c r="E87" s="2" t="s">
        <v>1376</v>
      </c>
      <c r="F87" s="28" t="s">
        <v>319</v>
      </c>
      <c r="G87" s="28" t="s">
        <v>319</v>
      </c>
      <c r="H87" s="28" t="s">
        <v>319</v>
      </c>
      <c r="I87" s="6" t="s">
        <v>1231</v>
      </c>
      <c r="J87" s="28" t="s">
        <v>319</v>
      </c>
      <c r="K87" s="28" t="s">
        <v>319</v>
      </c>
      <c r="L87" s="28" t="s">
        <v>319</v>
      </c>
      <c r="M87" s="28" t="s">
        <v>319</v>
      </c>
      <c r="N87" s="28" t="s">
        <v>319</v>
      </c>
      <c r="O87" s="28" t="s">
        <v>319</v>
      </c>
      <c r="P87" s="28" t="s">
        <v>319</v>
      </c>
      <c r="Q87" s="5" t="s">
        <v>747</v>
      </c>
      <c r="R87" s="5" t="s">
        <v>667</v>
      </c>
      <c r="S87" s="6" t="s">
        <v>678</v>
      </c>
      <c r="T87" s="5" t="s">
        <v>748</v>
      </c>
      <c r="U87" s="5" t="s">
        <v>749</v>
      </c>
      <c r="V87" s="229">
        <v>60000</v>
      </c>
      <c r="W87" s="6" t="s">
        <v>665</v>
      </c>
      <c r="X87" s="105">
        <v>4.68</v>
      </c>
      <c r="Y87" s="105">
        <v>4.6900000000000004</v>
      </c>
      <c r="Z87" s="105">
        <v>4.7</v>
      </c>
      <c r="AA87" s="6" t="s">
        <v>972</v>
      </c>
      <c r="AB87" s="255" t="s">
        <v>1491</v>
      </c>
      <c r="AC87" s="255" t="s">
        <v>1491</v>
      </c>
      <c r="AD87" s="6">
        <v>0.70000000000000018</v>
      </c>
      <c r="AE87" s="6" t="s">
        <v>956</v>
      </c>
      <c r="AF87" s="6"/>
      <c r="AG87" s="12">
        <v>40</v>
      </c>
      <c r="AH87" s="6"/>
      <c r="AI87" s="6" t="s">
        <v>965</v>
      </c>
      <c r="AJ87" s="112"/>
      <c r="AK87" s="112">
        <v>8.9999999999999993E-3</v>
      </c>
      <c r="AL87" s="6"/>
      <c r="AM87" s="6"/>
      <c r="AN87" s="6"/>
      <c r="AO87" s="5"/>
      <c r="AP87" s="6"/>
      <c r="AQ87" s="28" t="s">
        <v>319</v>
      </c>
      <c r="AR87" s="28" t="s">
        <v>319</v>
      </c>
      <c r="AS87" s="28" t="s">
        <v>319</v>
      </c>
      <c r="AT87" s="28" t="s">
        <v>319</v>
      </c>
      <c r="AU87" s="28" t="s">
        <v>319</v>
      </c>
      <c r="AV87" s="28" t="s">
        <v>319</v>
      </c>
      <c r="AW87" s="28" t="s">
        <v>319</v>
      </c>
      <c r="AX87" s="28" t="s">
        <v>319</v>
      </c>
      <c r="AY87" s="28" t="s">
        <v>319</v>
      </c>
      <c r="AZ87" s="28" t="s">
        <v>319</v>
      </c>
      <c r="BA87" s="28" t="s">
        <v>319</v>
      </c>
      <c r="BB87" s="6" t="s">
        <v>984</v>
      </c>
      <c r="BC87" s="106"/>
      <c r="BD87" s="277">
        <v>95</v>
      </c>
      <c r="BE87" s="6" t="s">
        <v>1010</v>
      </c>
      <c r="BF87" s="6"/>
      <c r="BG87" s="12">
        <v>13</v>
      </c>
      <c r="BH87" s="28" t="s">
        <v>319</v>
      </c>
      <c r="BI87" s="28" t="s">
        <v>319</v>
      </c>
      <c r="BJ87" s="28" t="s">
        <v>319</v>
      </c>
      <c r="BK87" s="28" t="s">
        <v>319</v>
      </c>
      <c r="BL87" s="28" t="s">
        <v>319</v>
      </c>
      <c r="BM87" s="28" t="s">
        <v>319</v>
      </c>
      <c r="BN87" s="28" t="s">
        <v>319</v>
      </c>
      <c r="BO87" s="28" t="s">
        <v>319</v>
      </c>
      <c r="BP87" s="28" t="s">
        <v>319</v>
      </c>
      <c r="BQ87" s="28" t="s">
        <v>319</v>
      </c>
      <c r="BR87" s="5"/>
      <c r="BS87" s="105"/>
      <c r="BT87" s="6"/>
      <c r="BU87" s="12">
        <v>43.8</v>
      </c>
      <c r="BV87" s="6" t="s">
        <v>1025</v>
      </c>
      <c r="BW87" s="108">
        <v>1.157</v>
      </c>
      <c r="BX87" s="6"/>
      <c r="BY87" s="6"/>
      <c r="BZ87" s="30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9"/>
      <c r="DB87" s="6"/>
      <c r="DC87" s="30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 t="s">
        <v>319</v>
      </c>
      <c r="DO87" s="28" t="s">
        <v>319</v>
      </c>
      <c r="DP87" s="28" t="s">
        <v>319</v>
      </c>
      <c r="DQ87" s="28" t="s">
        <v>319</v>
      </c>
      <c r="DR87" s="28" t="s">
        <v>319</v>
      </c>
      <c r="DS87" s="28" t="s">
        <v>319</v>
      </c>
      <c r="DT87" s="28" t="s">
        <v>319</v>
      </c>
      <c r="DU87" s="28" t="s">
        <v>319</v>
      </c>
      <c r="DV87" s="28" t="s">
        <v>319</v>
      </c>
      <c r="DW87" s="28" t="s">
        <v>319</v>
      </c>
      <c r="DX87" s="28" t="s">
        <v>319</v>
      </c>
      <c r="DY87" s="28" t="s">
        <v>319</v>
      </c>
      <c r="DZ87" s="28" t="s">
        <v>319</v>
      </c>
      <c r="EA87" s="28" t="s">
        <v>319</v>
      </c>
      <c r="EB87" s="28" t="s">
        <v>319</v>
      </c>
      <c r="EC87" s="28" t="s">
        <v>319</v>
      </c>
      <c r="ED87" s="28" t="s">
        <v>319</v>
      </c>
      <c r="EE87" s="28"/>
      <c r="EF87" s="28" t="s">
        <v>319</v>
      </c>
      <c r="EG87" s="28" t="s">
        <v>319</v>
      </c>
      <c r="EH87" s="28" t="s">
        <v>319</v>
      </c>
      <c r="EI87" s="28" t="s">
        <v>319</v>
      </c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7"/>
      <c r="FK87" s="6"/>
      <c r="FL87" s="6"/>
      <c r="FM87" s="94"/>
    </row>
    <row r="88" spans="1:169" s="43" customFormat="1" x14ac:dyDescent="0.4">
      <c r="A88" s="116"/>
      <c r="B88" s="116"/>
      <c r="C88" s="117"/>
      <c r="D88" s="118" t="s">
        <v>319</v>
      </c>
      <c r="E88" s="119" t="s">
        <v>492</v>
      </c>
      <c r="F88" s="28" t="s">
        <v>319</v>
      </c>
      <c r="G88" s="28" t="s">
        <v>319</v>
      </c>
      <c r="H88" s="28" t="s">
        <v>319</v>
      </c>
      <c r="I88" s="120" t="s">
        <v>593</v>
      </c>
      <c r="J88" s="28" t="s">
        <v>319</v>
      </c>
      <c r="K88" s="28" t="s">
        <v>319</v>
      </c>
      <c r="L88" s="28" t="s">
        <v>319</v>
      </c>
      <c r="M88" s="28" t="s">
        <v>319</v>
      </c>
      <c r="N88" s="28" t="s">
        <v>319</v>
      </c>
      <c r="O88" s="28" t="s">
        <v>319</v>
      </c>
      <c r="P88" s="28" t="s">
        <v>319</v>
      </c>
      <c r="Q88" s="121" t="s">
        <v>679</v>
      </c>
      <c r="R88" s="121" t="s">
        <v>667</v>
      </c>
      <c r="S88" s="120" t="s">
        <v>669</v>
      </c>
      <c r="T88" s="121"/>
      <c r="U88" s="121"/>
      <c r="V88" s="125">
        <v>5800</v>
      </c>
      <c r="W88" s="120" t="s">
        <v>665</v>
      </c>
      <c r="X88" s="121"/>
      <c r="Y88" s="121"/>
      <c r="Z88" s="122">
        <v>3.52</v>
      </c>
      <c r="AA88" s="120" t="s">
        <v>963</v>
      </c>
      <c r="AB88" s="120"/>
      <c r="AC88" s="120"/>
      <c r="AD88" s="120">
        <v>0.10000000000000009</v>
      </c>
      <c r="AE88" s="120" t="s">
        <v>956</v>
      </c>
      <c r="AF88" s="120"/>
      <c r="AG88" s="123">
        <v>47.7</v>
      </c>
      <c r="AH88" s="120"/>
      <c r="AI88" s="120" t="s">
        <v>965</v>
      </c>
      <c r="AJ88" s="143"/>
      <c r="AK88" s="143">
        <v>1.2200000000000001E-2</v>
      </c>
      <c r="AL88" s="120"/>
      <c r="AM88" s="120"/>
      <c r="AN88" s="120"/>
      <c r="AO88" s="121"/>
      <c r="AP88" s="6"/>
      <c r="AQ88" s="28" t="s">
        <v>319</v>
      </c>
      <c r="AR88" s="28" t="s">
        <v>319</v>
      </c>
      <c r="AS88" s="28" t="s">
        <v>319</v>
      </c>
      <c r="AT88" s="28" t="s">
        <v>319</v>
      </c>
      <c r="AU88" s="28" t="s">
        <v>319</v>
      </c>
      <c r="AV88" s="28" t="s">
        <v>319</v>
      </c>
      <c r="AW88" s="28" t="s">
        <v>319</v>
      </c>
      <c r="AX88" s="28" t="s">
        <v>319</v>
      </c>
      <c r="AY88" s="28" t="s">
        <v>319</v>
      </c>
      <c r="AZ88" s="28" t="s">
        <v>319</v>
      </c>
      <c r="BA88" s="28" t="s">
        <v>319</v>
      </c>
      <c r="BB88" s="120" t="s">
        <v>984</v>
      </c>
      <c r="BC88" s="121" t="s">
        <v>1009</v>
      </c>
      <c r="BD88" s="125">
        <v>150</v>
      </c>
      <c r="BE88" s="120" t="s">
        <v>1010</v>
      </c>
      <c r="BF88" s="120"/>
      <c r="BG88" s="123">
        <v>13</v>
      </c>
      <c r="BH88" s="28" t="s">
        <v>319</v>
      </c>
      <c r="BI88" s="28" t="s">
        <v>319</v>
      </c>
      <c r="BJ88" s="28" t="s">
        <v>319</v>
      </c>
      <c r="BK88" s="28" t="s">
        <v>319</v>
      </c>
      <c r="BL88" s="28" t="s">
        <v>319</v>
      </c>
      <c r="BM88" s="28" t="s">
        <v>319</v>
      </c>
      <c r="BN88" s="28" t="s">
        <v>319</v>
      </c>
      <c r="BO88" s="28" t="s">
        <v>319</v>
      </c>
      <c r="BP88" s="28" t="s">
        <v>319</v>
      </c>
      <c r="BQ88" s="28" t="s">
        <v>319</v>
      </c>
      <c r="BR88" s="121"/>
      <c r="BS88" s="122"/>
      <c r="BT88" s="6"/>
      <c r="BU88" s="123">
        <v>15.2</v>
      </c>
      <c r="BV88" s="120" t="s">
        <v>1019</v>
      </c>
      <c r="BW88" s="124">
        <v>1.2929999999999999</v>
      </c>
      <c r="BX88" s="120"/>
      <c r="BY88" s="120"/>
      <c r="BZ88" s="30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9"/>
      <c r="DB88" s="120"/>
      <c r="DC88" s="30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 t="s">
        <v>319</v>
      </c>
      <c r="DO88" s="28" t="s">
        <v>319</v>
      </c>
      <c r="DP88" s="28" t="s">
        <v>319</v>
      </c>
      <c r="DQ88" s="28" t="s">
        <v>319</v>
      </c>
      <c r="DR88" s="28" t="s">
        <v>319</v>
      </c>
      <c r="DS88" s="28" t="s">
        <v>319</v>
      </c>
      <c r="DT88" s="28" t="s">
        <v>319</v>
      </c>
      <c r="DU88" s="28" t="s">
        <v>319</v>
      </c>
      <c r="DV88" s="28" t="s">
        <v>319</v>
      </c>
      <c r="DW88" s="28" t="s">
        <v>319</v>
      </c>
      <c r="DX88" s="28" t="s">
        <v>319</v>
      </c>
      <c r="DY88" s="28" t="s">
        <v>319</v>
      </c>
      <c r="DZ88" s="28" t="s">
        <v>319</v>
      </c>
      <c r="EA88" s="28" t="s">
        <v>319</v>
      </c>
      <c r="EB88" s="28" t="s">
        <v>319</v>
      </c>
      <c r="EC88" s="28" t="s">
        <v>319</v>
      </c>
      <c r="ED88" s="28" t="s">
        <v>319</v>
      </c>
      <c r="EE88" s="28"/>
      <c r="EF88" s="28" t="s">
        <v>319</v>
      </c>
      <c r="EG88" s="28" t="s">
        <v>319</v>
      </c>
      <c r="EH88" s="28" t="s">
        <v>319</v>
      </c>
      <c r="EI88" s="28" t="s">
        <v>319</v>
      </c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7"/>
      <c r="FK88" s="120"/>
      <c r="FL88" s="120"/>
      <c r="FM88" s="127"/>
    </row>
    <row r="89" spans="1:169" s="22" customFormat="1" x14ac:dyDescent="0.4">
      <c r="A89" s="93"/>
      <c r="B89" s="93"/>
      <c r="C89" s="26"/>
      <c r="D89" s="27"/>
      <c r="E89" s="2" t="s">
        <v>1230</v>
      </c>
      <c r="F89" s="28"/>
      <c r="G89" s="28"/>
      <c r="H89" s="28"/>
      <c r="I89" s="6" t="s">
        <v>1232</v>
      </c>
      <c r="J89" s="28"/>
      <c r="K89" s="28"/>
      <c r="L89" s="28"/>
      <c r="M89" s="28"/>
      <c r="N89" s="28"/>
      <c r="O89" s="28"/>
      <c r="P89" s="28"/>
      <c r="Q89" s="7" t="s">
        <v>1414</v>
      </c>
      <c r="R89" s="7" t="s">
        <v>1415</v>
      </c>
      <c r="S89" s="8" t="s">
        <v>1403</v>
      </c>
      <c r="T89" s="5"/>
      <c r="U89" s="180"/>
      <c r="V89" s="183">
        <v>5800</v>
      </c>
      <c r="W89" s="6" t="s">
        <v>665</v>
      </c>
      <c r="X89" s="5"/>
      <c r="Y89" s="7">
        <v>3.5</v>
      </c>
      <c r="Z89" s="105"/>
      <c r="AA89" s="6" t="s">
        <v>955</v>
      </c>
      <c r="AB89" s="8" t="s">
        <v>1424</v>
      </c>
      <c r="AC89" s="8" t="s">
        <v>1113</v>
      </c>
      <c r="AD89" s="8" t="s">
        <v>1425</v>
      </c>
      <c r="AE89" s="6" t="s">
        <v>956</v>
      </c>
      <c r="AF89" s="6"/>
      <c r="AG89" s="11">
        <v>47.7</v>
      </c>
      <c r="AH89" s="6"/>
      <c r="AI89" s="8" t="s">
        <v>1416</v>
      </c>
      <c r="AJ89" s="112"/>
      <c r="AK89" s="112"/>
      <c r="AL89" s="6"/>
      <c r="AM89" s="6"/>
      <c r="AN89" s="6"/>
      <c r="AO89" s="5"/>
      <c r="AP89" s="6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6" t="s">
        <v>984</v>
      </c>
      <c r="BC89" s="5"/>
      <c r="BD89" s="9">
        <v>95</v>
      </c>
      <c r="BE89" s="8" t="s">
        <v>1417</v>
      </c>
      <c r="BF89" s="6"/>
      <c r="BG89" s="11">
        <v>7.5</v>
      </c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5"/>
      <c r="BS89" s="105"/>
      <c r="BT89" s="6"/>
      <c r="BU89" s="11">
        <v>15.2</v>
      </c>
      <c r="BV89" s="8" t="s">
        <v>1418</v>
      </c>
      <c r="BW89" s="10">
        <v>1.2929999999999999</v>
      </c>
      <c r="BX89" s="6"/>
      <c r="BY89" s="6"/>
      <c r="BZ89" s="30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9"/>
      <c r="DB89" s="6"/>
      <c r="DC89" s="30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7"/>
      <c r="FK89" s="6"/>
      <c r="FL89" s="6"/>
      <c r="FM89" s="94"/>
    </row>
    <row r="90" spans="1:169" s="191" customFormat="1" x14ac:dyDescent="0.4">
      <c r="A90" s="175"/>
      <c r="B90" s="175"/>
      <c r="C90" s="176"/>
      <c r="D90" s="177"/>
      <c r="E90" s="192" t="s">
        <v>1430</v>
      </c>
      <c r="F90" s="193"/>
      <c r="G90" s="193"/>
      <c r="H90" s="193"/>
      <c r="I90" s="181" t="s">
        <v>593</v>
      </c>
      <c r="J90" s="193"/>
      <c r="K90" s="193"/>
      <c r="L90" s="193"/>
      <c r="M90" s="193"/>
      <c r="N90" s="193"/>
      <c r="O90" s="193"/>
      <c r="P90" s="193"/>
      <c r="Q90" s="180" t="s">
        <v>1421</v>
      </c>
      <c r="R90" s="180" t="s">
        <v>943</v>
      </c>
      <c r="S90" s="181" t="s">
        <v>664</v>
      </c>
      <c r="T90" s="182"/>
      <c r="U90" s="180">
        <v>15000</v>
      </c>
      <c r="V90" s="277">
        <v>19200</v>
      </c>
      <c r="W90" s="179" t="s">
        <v>665</v>
      </c>
      <c r="X90" s="182"/>
      <c r="Y90" s="180">
        <v>3.8</v>
      </c>
      <c r="Z90" s="180">
        <v>4</v>
      </c>
      <c r="AA90" s="179" t="s">
        <v>955</v>
      </c>
      <c r="AB90" s="179"/>
      <c r="AC90" s="181" t="s">
        <v>1422</v>
      </c>
      <c r="AD90" s="181" t="s">
        <v>1423</v>
      </c>
      <c r="AE90" s="179" t="s">
        <v>956</v>
      </c>
      <c r="AF90" s="179"/>
      <c r="AG90" s="185">
        <v>40</v>
      </c>
      <c r="AH90" s="179"/>
      <c r="AI90" s="181" t="s">
        <v>957</v>
      </c>
      <c r="AJ90" s="186"/>
      <c r="AK90" s="186"/>
      <c r="AL90" s="179"/>
      <c r="AM90" s="179"/>
      <c r="AN90" s="179"/>
      <c r="AO90" s="182"/>
      <c r="AP90" s="179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9" t="s">
        <v>984</v>
      </c>
      <c r="BC90" s="182"/>
      <c r="BD90" s="183">
        <v>95</v>
      </c>
      <c r="BE90" s="181" t="s">
        <v>1008</v>
      </c>
      <c r="BF90" s="179"/>
      <c r="BG90" s="185">
        <v>7.5</v>
      </c>
      <c r="BH90" s="178"/>
      <c r="BI90" s="178"/>
      <c r="BJ90" s="178"/>
      <c r="BK90" s="178"/>
      <c r="BL90" s="178"/>
      <c r="BM90" s="178"/>
      <c r="BN90" s="178"/>
      <c r="BO90" s="178"/>
      <c r="BP90" s="178"/>
      <c r="BQ90" s="178"/>
      <c r="BR90" s="182"/>
      <c r="BS90" s="184"/>
      <c r="BT90" s="179"/>
      <c r="BU90" s="185">
        <v>15.2</v>
      </c>
      <c r="BV90" s="181" t="s">
        <v>1019</v>
      </c>
      <c r="BW90" s="187">
        <v>1.2929999999999999</v>
      </c>
      <c r="BX90" s="179"/>
      <c r="BY90" s="179"/>
      <c r="BZ90" s="188"/>
      <c r="CA90" s="178"/>
      <c r="CB90" s="178"/>
      <c r="CC90" s="178"/>
      <c r="CD90" s="178"/>
      <c r="CE90" s="178"/>
      <c r="CF90" s="178"/>
      <c r="CG90" s="178"/>
      <c r="CH90" s="178"/>
      <c r="CI90" s="178"/>
      <c r="CJ90" s="178"/>
      <c r="CK90" s="178"/>
      <c r="CL90" s="178"/>
      <c r="CM90" s="178"/>
      <c r="CN90" s="178"/>
      <c r="CO90" s="178"/>
      <c r="CP90" s="178"/>
      <c r="CQ90" s="178"/>
      <c r="CR90" s="178"/>
      <c r="CS90" s="178"/>
      <c r="CT90" s="178"/>
      <c r="CU90" s="178"/>
      <c r="CV90" s="178"/>
      <c r="CW90" s="178"/>
      <c r="CX90" s="178"/>
      <c r="CY90" s="178"/>
      <c r="CZ90" s="178"/>
      <c r="DA90" s="189"/>
      <c r="DB90" s="179"/>
      <c r="DC90" s="188"/>
      <c r="DD90" s="178"/>
      <c r="DE90" s="178"/>
      <c r="DF90" s="178"/>
      <c r="DG90" s="178"/>
      <c r="DH90" s="178"/>
      <c r="DI90" s="178"/>
      <c r="DJ90" s="178"/>
      <c r="DK90" s="178"/>
      <c r="DL90" s="178"/>
      <c r="DM90" s="178"/>
      <c r="DN90" s="178"/>
      <c r="DO90" s="178"/>
      <c r="DP90" s="178"/>
      <c r="DQ90" s="178"/>
      <c r="DR90" s="178"/>
      <c r="DS90" s="178"/>
      <c r="DT90" s="178"/>
      <c r="DU90" s="178"/>
      <c r="DV90" s="178"/>
      <c r="DW90" s="178"/>
      <c r="DX90" s="178"/>
      <c r="DY90" s="178"/>
      <c r="DZ90" s="178"/>
      <c r="EA90" s="178"/>
      <c r="EB90" s="178"/>
      <c r="EC90" s="178"/>
      <c r="ED90" s="178"/>
      <c r="EE90" s="178"/>
      <c r="EF90" s="178"/>
      <c r="EG90" s="178"/>
      <c r="EH90" s="178"/>
      <c r="EI90" s="178"/>
      <c r="EJ90" s="178"/>
      <c r="EK90" s="178"/>
      <c r="EL90" s="178"/>
      <c r="EM90" s="178"/>
      <c r="EN90" s="178"/>
      <c r="EO90" s="178"/>
      <c r="EP90" s="178"/>
      <c r="EQ90" s="178"/>
      <c r="ER90" s="178"/>
      <c r="ES90" s="178"/>
      <c r="ET90" s="178"/>
      <c r="EU90" s="178"/>
      <c r="EV90" s="178"/>
      <c r="EW90" s="178"/>
      <c r="EX90" s="178"/>
      <c r="EY90" s="178"/>
      <c r="EZ90" s="178"/>
      <c r="FA90" s="178"/>
      <c r="FB90" s="178"/>
      <c r="FC90" s="178"/>
      <c r="FD90" s="178"/>
      <c r="FE90" s="178"/>
      <c r="FF90" s="178"/>
      <c r="FG90" s="178"/>
      <c r="FH90" s="178"/>
      <c r="FI90" s="178"/>
      <c r="FJ90" s="177"/>
      <c r="FK90" s="179"/>
      <c r="FL90" s="179"/>
      <c r="FM90" s="190"/>
    </row>
    <row r="91" spans="1:169" s="3" customFormat="1" x14ac:dyDescent="0.4">
      <c r="A91" s="93"/>
      <c r="B91" s="93"/>
      <c r="C91" s="26"/>
      <c r="D91" s="27" t="s">
        <v>319</v>
      </c>
      <c r="E91" s="2" t="s">
        <v>341</v>
      </c>
      <c r="F91" s="28" t="s">
        <v>319</v>
      </c>
      <c r="G91" s="28" t="s">
        <v>319</v>
      </c>
      <c r="H91" s="28" t="s">
        <v>319</v>
      </c>
      <c r="I91" s="6" t="s">
        <v>594</v>
      </c>
      <c r="J91" s="28" t="s">
        <v>319</v>
      </c>
      <c r="K91" s="28" t="s">
        <v>319</v>
      </c>
      <c r="L91" s="28" t="s">
        <v>319</v>
      </c>
      <c r="M91" s="28" t="s">
        <v>319</v>
      </c>
      <c r="N91" s="28" t="s">
        <v>319</v>
      </c>
      <c r="O91" s="28" t="s">
        <v>319</v>
      </c>
      <c r="P91" s="28" t="s">
        <v>319</v>
      </c>
      <c r="Q91" s="5" t="s">
        <v>747</v>
      </c>
      <c r="R91" s="5" t="s">
        <v>750</v>
      </c>
      <c r="S91" s="6" t="s">
        <v>672</v>
      </c>
      <c r="T91" s="5" t="s">
        <v>748</v>
      </c>
      <c r="U91" s="5" t="s">
        <v>751</v>
      </c>
      <c r="V91" s="229">
        <v>20000</v>
      </c>
      <c r="W91" s="6" t="s">
        <v>665</v>
      </c>
      <c r="X91" s="210">
        <v>26</v>
      </c>
      <c r="Y91" s="210">
        <v>25</v>
      </c>
      <c r="Z91" s="210">
        <v>24</v>
      </c>
      <c r="AA91" s="6" t="s">
        <v>959</v>
      </c>
      <c r="AB91" s="181" t="s">
        <v>1456</v>
      </c>
      <c r="AC91" s="181" t="s">
        <v>1454</v>
      </c>
      <c r="AD91" s="181" t="s">
        <v>1455</v>
      </c>
      <c r="AE91" s="6" t="s">
        <v>956</v>
      </c>
      <c r="AF91" s="6"/>
      <c r="AG91" s="185">
        <v>35</v>
      </c>
      <c r="AH91" s="6"/>
      <c r="AI91" s="6" t="s">
        <v>965</v>
      </c>
      <c r="AJ91" s="108"/>
      <c r="AK91" s="112">
        <v>0.1</v>
      </c>
      <c r="AL91" s="6"/>
      <c r="AM91" s="6" t="s">
        <v>958</v>
      </c>
      <c r="AN91" s="6"/>
      <c r="AO91" s="105">
        <v>8.1</v>
      </c>
      <c r="AP91" s="6"/>
      <c r="AQ91" s="28" t="s">
        <v>319</v>
      </c>
      <c r="AR91" s="28" t="s">
        <v>319</v>
      </c>
      <c r="AS91" s="28" t="s">
        <v>319</v>
      </c>
      <c r="AT91" s="28" t="s">
        <v>319</v>
      </c>
      <c r="AU91" s="28" t="s">
        <v>319</v>
      </c>
      <c r="AV91" s="28" t="s">
        <v>319</v>
      </c>
      <c r="AW91" s="28" t="s">
        <v>319</v>
      </c>
      <c r="AX91" s="28" t="s">
        <v>319</v>
      </c>
      <c r="AY91" s="28" t="s">
        <v>319</v>
      </c>
      <c r="AZ91" s="28" t="s">
        <v>319</v>
      </c>
      <c r="BA91" s="28" t="s">
        <v>319</v>
      </c>
      <c r="BB91" s="6" t="s">
        <v>984</v>
      </c>
      <c r="BC91" s="180">
        <v>-45</v>
      </c>
      <c r="BD91" s="183">
        <v>65</v>
      </c>
      <c r="BE91" s="6" t="s">
        <v>1010</v>
      </c>
      <c r="BF91" s="6"/>
      <c r="BG91" s="185">
        <v>46.5</v>
      </c>
      <c r="BH91" s="28" t="s">
        <v>319</v>
      </c>
      <c r="BI91" s="28" t="s">
        <v>319</v>
      </c>
      <c r="BJ91" s="28" t="s">
        <v>319</v>
      </c>
      <c r="BK91" s="28" t="s">
        <v>319</v>
      </c>
      <c r="BL91" s="28" t="s">
        <v>319</v>
      </c>
      <c r="BM91" s="28" t="s">
        <v>319</v>
      </c>
      <c r="BN91" s="28" t="s">
        <v>319</v>
      </c>
      <c r="BO91" s="28" t="s">
        <v>319</v>
      </c>
      <c r="BP91" s="28" t="s">
        <v>319</v>
      </c>
      <c r="BQ91" s="28" t="s">
        <v>319</v>
      </c>
      <c r="BR91" s="105"/>
      <c r="BS91" s="210">
        <v>485</v>
      </c>
      <c r="BT91" s="6"/>
      <c r="BU91" s="5"/>
      <c r="BV91" s="6"/>
      <c r="BW91" s="5"/>
      <c r="BX91" s="6" t="s">
        <v>1052</v>
      </c>
      <c r="BY91" s="6"/>
      <c r="BZ91" s="30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9"/>
      <c r="DB91" s="6"/>
      <c r="DC91" s="30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 t="s">
        <v>319</v>
      </c>
      <c r="DO91" s="28" t="s">
        <v>319</v>
      </c>
      <c r="DP91" s="28" t="s">
        <v>319</v>
      </c>
      <c r="DQ91" s="28" t="s">
        <v>319</v>
      </c>
      <c r="DR91" s="28" t="s">
        <v>319</v>
      </c>
      <c r="DS91" s="28" t="s">
        <v>319</v>
      </c>
      <c r="DT91" s="28" t="s">
        <v>319</v>
      </c>
      <c r="DU91" s="28" t="s">
        <v>319</v>
      </c>
      <c r="DV91" s="28" t="s">
        <v>319</v>
      </c>
      <c r="DW91" s="28" t="s">
        <v>319</v>
      </c>
      <c r="DX91" s="28" t="s">
        <v>319</v>
      </c>
      <c r="DY91" s="28" t="s">
        <v>319</v>
      </c>
      <c r="DZ91" s="28" t="s">
        <v>319</v>
      </c>
      <c r="EA91" s="28" t="s">
        <v>319</v>
      </c>
      <c r="EB91" s="28" t="s">
        <v>319</v>
      </c>
      <c r="EC91" s="28" t="s">
        <v>319</v>
      </c>
      <c r="ED91" s="28" t="s">
        <v>319</v>
      </c>
      <c r="EE91" s="28"/>
      <c r="EF91" s="28" t="s">
        <v>319</v>
      </c>
      <c r="EG91" s="28" t="s">
        <v>319</v>
      </c>
      <c r="EH91" s="28" t="s">
        <v>319</v>
      </c>
      <c r="EI91" s="28" t="s">
        <v>319</v>
      </c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7"/>
      <c r="FK91" s="6"/>
      <c r="FL91" s="6"/>
      <c r="FM91" s="97"/>
    </row>
    <row r="92" spans="1:169" s="22" customFormat="1" x14ac:dyDescent="0.4">
      <c r="A92" s="93"/>
      <c r="B92" s="93"/>
      <c r="C92" s="26"/>
      <c r="D92" s="27"/>
      <c r="E92" s="2" t="s">
        <v>1233</v>
      </c>
      <c r="F92" s="28"/>
      <c r="G92" s="28"/>
      <c r="H92" s="28"/>
      <c r="I92" s="6" t="s">
        <v>1234</v>
      </c>
      <c r="J92" s="28"/>
      <c r="K92" s="28"/>
      <c r="L92" s="28"/>
      <c r="M92" s="28"/>
      <c r="N92" s="28"/>
      <c r="O92" s="28"/>
      <c r="P92" s="28"/>
      <c r="Q92" s="7" t="s">
        <v>747</v>
      </c>
      <c r="R92" s="5" t="s">
        <v>1415</v>
      </c>
      <c r="S92" s="6" t="s">
        <v>1403</v>
      </c>
      <c r="T92" s="7">
        <v>10000</v>
      </c>
      <c r="U92" s="7">
        <v>50000</v>
      </c>
      <c r="V92" s="7">
        <v>60000</v>
      </c>
      <c r="W92" s="6" t="s">
        <v>665</v>
      </c>
      <c r="X92" s="105"/>
      <c r="Y92" s="14">
        <v>11</v>
      </c>
      <c r="Z92" s="14">
        <v>12.7</v>
      </c>
      <c r="AA92" s="6" t="s">
        <v>1419</v>
      </c>
      <c r="AB92" s="6"/>
      <c r="AC92" s="85">
        <f>11-3.5</f>
        <v>7.5</v>
      </c>
      <c r="AD92" s="85">
        <f>12.7-3.5</f>
        <v>9.1999999999999993</v>
      </c>
      <c r="AE92" s="8" t="s">
        <v>1420</v>
      </c>
      <c r="AF92" s="6"/>
      <c r="AG92" s="11">
        <v>38.299999999999997</v>
      </c>
      <c r="AH92" s="6"/>
      <c r="AI92" s="8" t="s">
        <v>957</v>
      </c>
      <c r="AJ92" s="108"/>
      <c r="AK92" s="112"/>
      <c r="AL92" s="6"/>
      <c r="AM92" s="6"/>
      <c r="AN92" s="6"/>
      <c r="AO92" s="105"/>
      <c r="AP92" s="6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6" t="s">
        <v>984</v>
      </c>
      <c r="BC92" s="5"/>
      <c r="BD92" s="9">
        <v>120</v>
      </c>
      <c r="BE92" s="8" t="s">
        <v>1417</v>
      </c>
      <c r="BF92" s="8" t="s">
        <v>1265</v>
      </c>
      <c r="BG92" s="11">
        <v>13</v>
      </c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105"/>
      <c r="BS92" s="105"/>
      <c r="BT92" s="6"/>
      <c r="BU92" s="11">
        <v>43.8</v>
      </c>
      <c r="BV92" s="8" t="s">
        <v>1025</v>
      </c>
      <c r="BW92" s="10">
        <v>1.157</v>
      </c>
      <c r="BX92" s="6"/>
      <c r="BY92" s="6"/>
      <c r="BZ92" s="30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9"/>
      <c r="DB92" s="6"/>
      <c r="DC92" s="30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7"/>
      <c r="FK92" s="6"/>
      <c r="FL92" s="6"/>
      <c r="FM92" s="94"/>
    </row>
    <row r="93" spans="1:169" s="3" customFormat="1" x14ac:dyDescent="0.4">
      <c r="A93" s="93"/>
      <c r="B93" s="93"/>
      <c r="C93" s="26"/>
      <c r="D93" s="27" t="s">
        <v>319</v>
      </c>
      <c r="E93" s="2" t="s">
        <v>342</v>
      </c>
      <c r="F93" s="28" t="s">
        <v>319</v>
      </c>
      <c r="G93" s="28" t="s">
        <v>319</v>
      </c>
      <c r="H93" s="28" t="s">
        <v>319</v>
      </c>
      <c r="I93" s="6" t="s">
        <v>595</v>
      </c>
      <c r="J93" s="28" t="s">
        <v>319</v>
      </c>
      <c r="K93" s="28" t="s">
        <v>319</v>
      </c>
      <c r="L93" s="28" t="s">
        <v>319</v>
      </c>
      <c r="M93" s="28" t="s">
        <v>319</v>
      </c>
      <c r="N93" s="28" t="s">
        <v>319</v>
      </c>
      <c r="O93" s="28" t="s">
        <v>319</v>
      </c>
      <c r="P93" s="28" t="s">
        <v>319</v>
      </c>
      <c r="Q93" s="5" t="s">
        <v>675</v>
      </c>
      <c r="R93" s="5" t="s">
        <v>667</v>
      </c>
      <c r="S93" s="6" t="s">
        <v>672</v>
      </c>
      <c r="T93" s="5" t="s">
        <v>752</v>
      </c>
      <c r="U93" s="5" t="s">
        <v>753</v>
      </c>
      <c r="V93" s="266">
        <v>3414</v>
      </c>
      <c r="W93" s="6" t="s">
        <v>665</v>
      </c>
      <c r="X93" s="105">
        <v>2.8</v>
      </c>
      <c r="Y93" s="105">
        <v>2.7</v>
      </c>
      <c r="Z93" s="105">
        <v>2.65</v>
      </c>
      <c r="AA93" s="6" t="s">
        <v>963</v>
      </c>
      <c r="AB93" s="6">
        <v>1.2999999999999998</v>
      </c>
      <c r="AC93" s="6">
        <v>1.2000000000000002</v>
      </c>
      <c r="AD93" s="6">
        <v>1.1499999999999999</v>
      </c>
      <c r="AE93" s="6" t="s">
        <v>956</v>
      </c>
      <c r="AF93" s="6"/>
      <c r="AG93" s="12">
        <v>160</v>
      </c>
      <c r="AH93" s="6"/>
      <c r="AI93" s="6" t="s">
        <v>965</v>
      </c>
      <c r="AJ93" s="112"/>
      <c r="AK93" s="112">
        <v>1.4E-2</v>
      </c>
      <c r="AL93" s="6"/>
      <c r="AM93" s="6"/>
      <c r="AN93" s="6"/>
      <c r="AO93" s="5"/>
      <c r="AP93" s="6"/>
      <c r="AQ93" s="28" t="s">
        <v>319</v>
      </c>
      <c r="AR93" s="28" t="s">
        <v>319</v>
      </c>
      <c r="AS93" s="28" t="s">
        <v>319</v>
      </c>
      <c r="AT93" s="28" t="s">
        <v>319</v>
      </c>
      <c r="AU93" s="28" t="s">
        <v>319</v>
      </c>
      <c r="AV93" s="28" t="s">
        <v>319</v>
      </c>
      <c r="AW93" s="28" t="s">
        <v>319</v>
      </c>
      <c r="AX93" s="28" t="s">
        <v>319</v>
      </c>
      <c r="AY93" s="28" t="s">
        <v>319</v>
      </c>
      <c r="AZ93" s="28" t="s">
        <v>319</v>
      </c>
      <c r="BA93" s="28" t="s">
        <v>319</v>
      </c>
      <c r="BB93" s="6" t="s">
        <v>984</v>
      </c>
      <c r="BC93" s="5" t="s">
        <v>1009</v>
      </c>
      <c r="BD93" s="106">
        <v>200</v>
      </c>
      <c r="BE93" s="6" t="s">
        <v>1010</v>
      </c>
      <c r="BF93" s="6"/>
      <c r="BG93" s="12">
        <v>6</v>
      </c>
      <c r="BH93" s="28" t="s">
        <v>319</v>
      </c>
      <c r="BI93" s="28" t="s">
        <v>319</v>
      </c>
      <c r="BJ93" s="28" t="s">
        <v>319</v>
      </c>
      <c r="BK93" s="28" t="s">
        <v>319</v>
      </c>
      <c r="BL93" s="28" t="s">
        <v>319</v>
      </c>
      <c r="BM93" s="28" t="s">
        <v>319</v>
      </c>
      <c r="BN93" s="28" t="s">
        <v>319</v>
      </c>
      <c r="BO93" s="28" t="s">
        <v>319</v>
      </c>
      <c r="BP93" s="28" t="s">
        <v>319</v>
      </c>
      <c r="BQ93" s="28" t="s">
        <v>319</v>
      </c>
      <c r="BR93" s="5"/>
      <c r="BS93" s="105"/>
      <c r="BT93" s="6"/>
      <c r="BU93" s="12">
        <v>18</v>
      </c>
      <c r="BV93" s="6" t="s">
        <v>1026</v>
      </c>
      <c r="BW93" s="105">
        <v>1.35</v>
      </c>
      <c r="BX93" s="6"/>
      <c r="BY93" s="6"/>
      <c r="BZ93" s="30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9"/>
      <c r="DB93" s="6"/>
      <c r="DC93" s="30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 t="s">
        <v>319</v>
      </c>
      <c r="DO93" s="28" t="s">
        <v>319</v>
      </c>
      <c r="DP93" s="28" t="s">
        <v>319</v>
      </c>
      <c r="DQ93" s="28" t="s">
        <v>319</v>
      </c>
      <c r="DR93" s="28" t="s">
        <v>319</v>
      </c>
      <c r="DS93" s="28" t="s">
        <v>319</v>
      </c>
      <c r="DT93" s="28" t="s">
        <v>319</v>
      </c>
      <c r="DU93" s="28" t="s">
        <v>319</v>
      </c>
      <c r="DV93" s="28" t="s">
        <v>319</v>
      </c>
      <c r="DW93" s="28" t="s">
        <v>319</v>
      </c>
      <c r="DX93" s="28" t="s">
        <v>319</v>
      </c>
      <c r="DY93" s="28" t="s">
        <v>319</v>
      </c>
      <c r="DZ93" s="28" t="s">
        <v>319</v>
      </c>
      <c r="EA93" s="28" t="s">
        <v>319</v>
      </c>
      <c r="EB93" s="28" t="s">
        <v>319</v>
      </c>
      <c r="EC93" s="28" t="s">
        <v>319</v>
      </c>
      <c r="ED93" s="28" t="s">
        <v>319</v>
      </c>
      <c r="EE93" s="28"/>
      <c r="EF93" s="28" t="s">
        <v>319</v>
      </c>
      <c r="EG93" s="28" t="s">
        <v>319</v>
      </c>
      <c r="EH93" s="28" t="s">
        <v>319</v>
      </c>
      <c r="EI93" s="28" t="s">
        <v>319</v>
      </c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7"/>
      <c r="FK93" s="6"/>
      <c r="FL93" s="6"/>
      <c r="FM93" s="94"/>
    </row>
    <row r="94" spans="1:169" s="3" customFormat="1" x14ac:dyDescent="0.4">
      <c r="A94" s="93"/>
      <c r="B94" s="93"/>
      <c r="C94" s="26"/>
      <c r="D94" s="27" t="s">
        <v>319</v>
      </c>
      <c r="E94" s="2" t="s">
        <v>451</v>
      </c>
      <c r="F94" s="28" t="s">
        <v>319</v>
      </c>
      <c r="G94" s="28" t="s">
        <v>319</v>
      </c>
      <c r="H94" s="28" t="s">
        <v>319</v>
      </c>
      <c r="I94" s="6" t="s">
        <v>594</v>
      </c>
      <c r="J94" s="28" t="s">
        <v>319</v>
      </c>
      <c r="K94" s="28" t="s">
        <v>319</v>
      </c>
      <c r="L94" s="28" t="s">
        <v>319</v>
      </c>
      <c r="M94" s="28" t="s">
        <v>319</v>
      </c>
      <c r="N94" s="28" t="s">
        <v>319</v>
      </c>
      <c r="O94" s="28" t="s">
        <v>319</v>
      </c>
      <c r="P94" s="28" t="s">
        <v>319</v>
      </c>
      <c r="Q94" s="5" t="s">
        <v>676</v>
      </c>
      <c r="R94" s="5" t="s">
        <v>663</v>
      </c>
      <c r="S94" s="6" t="s">
        <v>669</v>
      </c>
      <c r="T94" s="5" t="s">
        <v>752</v>
      </c>
      <c r="U94" s="5" t="s">
        <v>753</v>
      </c>
      <c r="V94" s="266">
        <v>3414</v>
      </c>
      <c r="W94" s="6" t="s">
        <v>665</v>
      </c>
      <c r="X94" s="5">
        <v>1.5</v>
      </c>
      <c r="Y94" s="5">
        <v>1.5</v>
      </c>
      <c r="Z94" s="5">
        <v>1.5</v>
      </c>
      <c r="AA94" s="6" t="s">
        <v>963</v>
      </c>
      <c r="AB94" s="6" t="s">
        <v>988</v>
      </c>
      <c r="AC94" s="6" t="s">
        <v>989</v>
      </c>
      <c r="AD94" s="6" t="s">
        <v>990</v>
      </c>
      <c r="AE94" s="6" t="s">
        <v>956</v>
      </c>
      <c r="AF94" s="6"/>
      <c r="AG94" s="12">
        <v>126</v>
      </c>
      <c r="AH94" s="6"/>
      <c r="AI94" s="6" t="s">
        <v>969</v>
      </c>
      <c r="AJ94" s="112"/>
      <c r="AK94" s="108">
        <v>0.22</v>
      </c>
      <c r="AL94" s="6"/>
      <c r="AM94" s="6" t="s">
        <v>958</v>
      </c>
      <c r="AN94" s="6"/>
      <c r="AO94" s="105">
        <v>2.44</v>
      </c>
      <c r="AP94" s="6"/>
      <c r="AQ94" s="28" t="s">
        <v>319</v>
      </c>
      <c r="AR94" s="28" t="s">
        <v>319</v>
      </c>
      <c r="AS94" s="28" t="s">
        <v>319</v>
      </c>
      <c r="AT94" s="28" t="s">
        <v>319</v>
      </c>
      <c r="AU94" s="28" t="s">
        <v>319</v>
      </c>
      <c r="AV94" s="28" t="s">
        <v>319</v>
      </c>
      <c r="AW94" s="28" t="s">
        <v>319</v>
      </c>
      <c r="AX94" s="28" t="s">
        <v>319</v>
      </c>
      <c r="AY94" s="28" t="s">
        <v>319</v>
      </c>
      <c r="AZ94" s="28" t="s">
        <v>319</v>
      </c>
      <c r="BA94" s="28" t="s">
        <v>319</v>
      </c>
      <c r="BB94" s="6" t="s">
        <v>984</v>
      </c>
      <c r="BC94" s="5" t="s">
        <v>1011</v>
      </c>
      <c r="BD94" s="106">
        <v>170</v>
      </c>
      <c r="BE94" s="6" t="s">
        <v>1010</v>
      </c>
      <c r="BF94" s="6"/>
      <c r="BG94" s="12">
        <v>6</v>
      </c>
      <c r="BH94" s="28" t="s">
        <v>319</v>
      </c>
      <c r="BI94" s="28" t="s">
        <v>319</v>
      </c>
      <c r="BJ94" s="28" t="s">
        <v>319</v>
      </c>
      <c r="BK94" s="28" t="s">
        <v>319</v>
      </c>
      <c r="BL94" s="28" t="s">
        <v>319</v>
      </c>
      <c r="BM94" s="28" t="s">
        <v>319</v>
      </c>
      <c r="BN94" s="28" t="s">
        <v>319</v>
      </c>
      <c r="BO94" s="28" t="s">
        <v>319</v>
      </c>
      <c r="BP94" s="28" t="s">
        <v>319</v>
      </c>
      <c r="BQ94" s="28" t="s">
        <v>319</v>
      </c>
      <c r="BR94" s="12">
        <v>225.5</v>
      </c>
      <c r="BS94" s="12">
        <v>937.9</v>
      </c>
      <c r="BT94" s="6"/>
      <c r="BU94" s="5"/>
      <c r="BV94" s="6"/>
      <c r="BW94" s="5"/>
      <c r="BX94" s="6" t="s">
        <v>1052</v>
      </c>
      <c r="BY94" s="6"/>
      <c r="BZ94" s="30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9"/>
      <c r="DB94" s="6"/>
      <c r="DC94" s="30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 t="s">
        <v>319</v>
      </c>
      <c r="DO94" s="28" t="s">
        <v>319</v>
      </c>
      <c r="DP94" s="28" t="s">
        <v>319</v>
      </c>
      <c r="DQ94" s="28" t="s">
        <v>319</v>
      </c>
      <c r="DR94" s="28" t="s">
        <v>319</v>
      </c>
      <c r="DS94" s="28" t="s">
        <v>319</v>
      </c>
      <c r="DT94" s="28" t="s">
        <v>319</v>
      </c>
      <c r="DU94" s="28" t="s">
        <v>319</v>
      </c>
      <c r="DV94" s="28" t="s">
        <v>319</v>
      </c>
      <c r="DW94" s="28" t="s">
        <v>319</v>
      </c>
      <c r="DX94" s="28" t="s">
        <v>319</v>
      </c>
      <c r="DY94" s="28" t="s">
        <v>319</v>
      </c>
      <c r="DZ94" s="28" t="s">
        <v>319</v>
      </c>
      <c r="EA94" s="28" t="s">
        <v>319</v>
      </c>
      <c r="EB94" s="28" t="s">
        <v>319</v>
      </c>
      <c r="EC94" s="28" t="s">
        <v>319</v>
      </c>
      <c r="ED94" s="28" t="s">
        <v>319</v>
      </c>
      <c r="EE94" s="28"/>
      <c r="EF94" s="28" t="s">
        <v>319</v>
      </c>
      <c r="EG94" s="28" t="s">
        <v>319</v>
      </c>
      <c r="EH94" s="28" t="s">
        <v>319</v>
      </c>
      <c r="EI94" s="28" t="s">
        <v>319</v>
      </c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7"/>
      <c r="FK94" s="6"/>
      <c r="FL94" s="6"/>
      <c r="FM94" s="97"/>
    </row>
    <row r="95" spans="1:169" s="3" customFormat="1" x14ac:dyDescent="0.4">
      <c r="A95" s="93"/>
      <c r="B95" s="93"/>
      <c r="C95" s="26"/>
      <c r="D95" s="27" t="s">
        <v>319</v>
      </c>
      <c r="E95" s="2" t="s">
        <v>452</v>
      </c>
      <c r="F95" s="28" t="s">
        <v>319</v>
      </c>
      <c r="G95" s="28" t="s">
        <v>319</v>
      </c>
      <c r="H95" s="28" t="s">
        <v>319</v>
      </c>
      <c r="I95" s="6" t="s">
        <v>596</v>
      </c>
      <c r="J95" s="28" t="s">
        <v>319</v>
      </c>
      <c r="K95" s="28" t="s">
        <v>319</v>
      </c>
      <c r="L95" s="28" t="s">
        <v>319</v>
      </c>
      <c r="M95" s="28" t="s">
        <v>319</v>
      </c>
      <c r="N95" s="28" t="s">
        <v>319</v>
      </c>
      <c r="O95" s="28" t="s">
        <v>319</v>
      </c>
      <c r="P95" s="28" t="s">
        <v>319</v>
      </c>
      <c r="Q95" s="5" t="s">
        <v>676</v>
      </c>
      <c r="R95" s="5" t="s">
        <v>663</v>
      </c>
      <c r="S95" s="6" t="s">
        <v>678</v>
      </c>
      <c r="T95" s="5"/>
      <c r="U95" s="106">
        <v>419</v>
      </c>
      <c r="V95" s="106">
        <v>461</v>
      </c>
      <c r="W95" s="6" t="s">
        <v>665</v>
      </c>
      <c r="X95" s="5"/>
      <c r="Y95" s="5">
        <v>2.5499999999999998</v>
      </c>
      <c r="Z95" s="5">
        <v>2.5499999999999998</v>
      </c>
      <c r="AA95" s="6" t="s">
        <v>963</v>
      </c>
      <c r="AB95" s="6"/>
      <c r="AC95" s="6" t="s">
        <v>991</v>
      </c>
      <c r="AD95" s="6" t="s">
        <v>992</v>
      </c>
      <c r="AE95" s="6" t="s">
        <v>956</v>
      </c>
      <c r="AF95" s="6"/>
      <c r="AG95" s="12">
        <v>138.5</v>
      </c>
      <c r="AH95" s="6"/>
      <c r="AI95" s="6" t="s">
        <v>965</v>
      </c>
      <c r="AJ95" s="112"/>
      <c r="AK95" s="108">
        <v>0.19900000000000001</v>
      </c>
      <c r="AL95" s="6"/>
      <c r="AM95" s="6" t="s">
        <v>958</v>
      </c>
      <c r="AN95" s="6"/>
      <c r="AO95" s="105">
        <v>3.5</v>
      </c>
      <c r="AP95" s="6"/>
      <c r="AQ95" s="28" t="s">
        <v>319</v>
      </c>
      <c r="AR95" s="28" t="s">
        <v>319</v>
      </c>
      <c r="AS95" s="28" t="s">
        <v>319</v>
      </c>
      <c r="AT95" s="28" t="s">
        <v>319</v>
      </c>
      <c r="AU95" s="28" t="s">
        <v>319</v>
      </c>
      <c r="AV95" s="28" t="s">
        <v>319</v>
      </c>
      <c r="AW95" s="28" t="s">
        <v>319</v>
      </c>
      <c r="AX95" s="28" t="s">
        <v>319</v>
      </c>
      <c r="AY95" s="28" t="s">
        <v>319</v>
      </c>
      <c r="AZ95" s="28" t="s">
        <v>319</v>
      </c>
      <c r="BA95" s="28" t="s">
        <v>319</v>
      </c>
      <c r="BB95" s="6" t="s">
        <v>984</v>
      </c>
      <c r="BC95" s="5" t="s">
        <v>1011</v>
      </c>
      <c r="BD95" s="106">
        <v>170</v>
      </c>
      <c r="BE95" s="6" t="s">
        <v>1010</v>
      </c>
      <c r="BF95" s="181" t="s">
        <v>1448</v>
      </c>
      <c r="BG95" s="12">
        <v>6</v>
      </c>
      <c r="BH95" s="28" t="s">
        <v>319</v>
      </c>
      <c r="BI95" s="28" t="s">
        <v>319</v>
      </c>
      <c r="BJ95" s="28" t="s">
        <v>319</v>
      </c>
      <c r="BK95" s="28" t="s">
        <v>319</v>
      </c>
      <c r="BL95" s="28" t="s">
        <v>319</v>
      </c>
      <c r="BM95" s="28" t="s">
        <v>319</v>
      </c>
      <c r="BN95" s="28" t="s">
        <v>319</v>
      </c>
      <c r="BO95" s="28" t="s">
        <v>319</v>
      </c>
      <c r="BP95" s="28" t="s">
        <v>319</v>
      </c>
      <c r="BQ95" s="28" t="s">
        <v>319</v>
      </c>
      <c r="BR95" s="12">
        <v>225.5</v>
      </c>
      <c r="BS95" s="12">
        <v>927.3</v>
      </c>
      <c r="BT95" s="6"/>
      <c r="BU95" s="5"/>
      <c r="BV95" s="6"/>
      <c r="BW95" s="5"/>
      <c r="BX95" s="6" t="s">
        <v>1052</v>
      </c>
      <c r="BY95" s="6"/>
      <c r="BZ95" s="30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9"/>
      <c r="DB95" s="6"/>
      <c r="DC95" s="30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 t="s">
        <v>319</v>
      </c>
      <c r="DO95" s="28" t="s">
        <v>319</v>
      </c>
      <c r="DP95" s="28" t="s">
        <v>319</v>
      </c>
      <c r="DQ95" s="28" t="s">
        <v>319</v>
      </c>
      <c r="DR95" s="28" t="s">
        <v>319</v>
      </c>
      <c r="DS95" s="28" t="s">
        <v>319</v>
      </c>
      <c r="DT95" s="28" t="s">
        <v>319</v>
      </c>
      <c r="DU95" s="28" t="s">
        <v>319</v>
      </c>
      <c r="DV95" s="28" t="s">
        <v>319</v>
      </c>
      <c r="DW95" s="28" t="s">
        <v>319</v>
      </c>
      <c r="DX95" s="28" t="s">
        <v>319</v>
      </c>
      <c r="DY95" s="28" t="s">
        <v>319</v>
      </c>
      <c r="DZ95" s="28" t="s">
        <v>319</v>
      </c>
      <c r="EA95" s="28" t="s">
        <v>319</v>
      </c>
      <c r="EB95" s="28" t="s">
        <v>319</v>
      </c>
      <c r="EC95" s="28" t="s">
        <v>319</v>
      </c>
      <c r="ED95" s="28" t="s">
        <v>319</v>
      </c>
      <c r="EE95" s="28"/>
      <c r="EF95" s="28" t="s">
        <v>319</v>
      </c>
      <c r="EG95" s="28" t="s">
        <v>319</v>
      </c>
      <c r="EH95" s="28" t="s">
        <v>319</v>
      </c>
      <c r="EI95" s="28" t="s">
        <v>319</v>
      </c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7"/>
      <c r="FK95" s="6"/>
      <c r="FL95" s="6"/>
      <c r="FM95" s="97"/>
    </row>
    <row r="96" spans="1:169" s="3" customFormat="1" x14ac:dyDescent="0.4">
      <c r="A96" s="93"/>
      <c r="B96" s="93"/>
      <c r="C96" s="26"/>
      <c r="D96" s="27" t="s">
        <v>319</v>
      </c>
      <c r="E96" s="2" t="s">
        <v>526</v>
      </c>
      <c r="F96" s="28" t="s">
        <v>319</v>
      </c>
      <c r="G96" s="28" t="s">
        <v>319</v>
      </c>
      <c r="H96" s="28" t="s">
        <v>319</v>
      </c>
      <c r="I96" s="6" t="s">
        <v>595</v>
      </c>
      <c r="J96" s="28" t="s">
        <v>319</v>
      </c>
      <c r="K96" s="28" t="s">
        <v>319</v>
      </c>
      <c r="L96" s="28" t="s">
        <v>319</v>
      </c>
      <c r="M96" s="28" t="s">
        <v>319</v>
      </c>
      <c r="N96" s="28" t="s">
        <v>319</v>
      </c>
      <c r="O96" s="28" t="s">
        <v>319</v>
      </c>
      <c r="P96" s="28" t="s">
        <v>319</v>
      </c>
      <c r="Q96" s="5" t="s">
        <v>675</v>
      </c>
      <c r="R96" s="5" t="s">
        <v>667</v>
      </c>
      <c r="S96" s="6" t="s">
        <v>672</v>
      </c>
      <c r="T96" s="5"/>
      <c r="U96" s="106">
        <v>419</v>
      </c>
      <c r="V96" s="106">
        <v>461</v>
      </c>
      <c r="W96" s="6" t="s">
        <v>665</v>
      </c>
      <c r="X96" s="5"/>
      <c r="Y96" s="105">
        <v>2.8</v>
      </c>
      <c r="Z96" s="105">
        <v>2.75</v>
      </c>
      <c r="AA96" s="6" t="s">
        <v>963</v>
      </c>
      <c r="AB96" s="6"/>
      <c r="AC96" s="6">
        <v>0.25</v>
      </c>
      <c r="AD96" s="6">
        <v>0.20000000000000018</v>
      </c>
      <c r="AE96" s="6" t="s">
        <v>956</v>
      </c>
      <c r="AF96" s="6"/>
      <c r="AG96" s="12">
        <v>160</v>
      </c>
      <c r="AH96" s="6"/>
      <c r="AI96" s="6" t="s">
        <v>993</v>
      </c>
      <c r="AJ96" s="112"/>
      <c r="AK96" s="112">
        <v>1.4E-2</v>
      </c>
      <c r="AL96" s="6"/>
      <c r="AM96" s="6"/>
      <c r="AN96" s="6"/>
      <c r="AO96" s="5"/>
      <c r="AP96" s="6"/>
      <c r="AQ96" s="28" t="s">
        <v>319</v>
      </c>
      <c r="AR96" s="28" t="s">
        <v>319</v>
      </c>
      <c r="AS96" s="28" t="s">
        <v>319</v>
      </c>
      <c r="AT96" s="28" t="s">
        <v>319</v>
      </c>
      <c r="AU96" s="28" t="s">
        <v>319</v>
      </c>
      <c r="AV96" s="28" t="s">
        <v>319</v>
      </c>
      <c r="AW96" s="28" t="s">
        <v>319</v>
      </c>
      <c r="AX96" s="28" t="s">
        <v>319</v>
      </c>
      <c r="AY96" s="28" t="s">
        <v>319</v>
      </c>
      <c r="AZ96" s="28" t="s">
        <v>319</v>
      </c>
      <c r="BA96" s="28" t="s">
        <v>319</v>
      </c>
      <c r="BB96" s="6" t="s">
        <v>984</v>
      </c>
      <c r="BC96" s="5" t="s">
        <v>1011</v>
      </c>
      <c r="BD96" s="106">
        <v>200</v>
      </c>
      <c r="BE96" s="6" t="s">
        <v>1010</v>
      </c>
      <c r="BF96" s="181" t="s">
        <v>1457</v>
      </c>
      <c r="BG96" s="12">
        <v>6</v>
      </c>
      <c r="BH96" s="28" t="s">
        <v>319</v>
      </c>
      <c r="BI96" s="28" t="s">
        <v>319</v>
      </c>
      <c r="BJ96" s="28" t="s">
        <v>319</v>
      </c>
      <c r="BK96" s="28" t="s">
        <v>319</v>
      </c>
      <c r="BL96" s="28" t="s">
        <v>319</v>
      </c>
      <c r="BM96" s="28" t="s">
        <v>319</v>
      </c>
      <c r="BN96" s="28" t="s">
        <v>319</v>
      </c>
      <c r="BO96" s="28" t="s">
        <v>319</v>
      </c>
      <c r="BP96" s="28" t="s">
        <v>319</v>
      </c>
      <c r="BQ96" s="28" t="s">
        <v>319</v>
      </c>
      <c r="BR96" s="5"/>
      <c r="BS96" s="105"/>
      <c r="BT96" s="6"/>
      <c r="BU96" s="12">
        <v>18</v>
      </c>
      <c r="BV96" s="6" t="s">
        <v>1020</v>
      </c>
      <c r="BW96" s="105">
        <v>1.35</v>
      </c>
      <c r="BX96" s="6"/>
      <c r="BY96" s="6"/>
      <c r="BZ96" s="30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9"/>
      <c r="DB96" s="6" t="s">
        <v>1052</v>
      </c>
      <c r="DC96" s="30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 t="s">
        <v>319</v>
      </c>
      <c r="DO96" s="28" t="s">
        <v>319</v>
      </c>
      <c r="DP96" s="28" t="s">
        <v>319</v>
      </c>
      <c r="DQ96" s="28" t="s">
        <v>319</v>
      </c>
      <c r="DR96" s="28" t="s">
        <v>319</v>
      </c>
      <c r="DS96" s="28" t="s">
        <v>319</v>
      </c>
      <c r="DT96" s="28" t="s">
        <v>319</v>
      </c>
      <c r="DU96" s="28" t="s">
        <v>319</v>
      </c>
      <c r="DV96" s="28" t="s">
        <v>319</v>
      </c>
      <c r="DW96" s="28" t="s">
        <v>319</v>
      </c>
      <c r="DX96" s="28" t="s">
        <v>319</v>
      </c>
      <c r="DY96" s="28" t="s">
        <v>319</v>
      </c>
      <c r="DZ96" s="28" t="s">
        <v>319</v>
      </c>
      <c r="EA96" s="28" t="s">
        <v>319</v>
      </c>
      <c r="EB96" s="28" t="s">
        <v>319</v>
      </c>
      <c r="EC96" s="28" t="s">
        <v>319</v>
      </c>
      <c r="ED96" s="28" t="s">
        <v>319</v>
      </c>
      <c r="EE96" s="28"/>
      <c r="EF96" s="28" t="s">
        <v>319</v>
      </c>
      <c r="EG96" s="28" t="s">
        <v>319</v>
      </c>
      <c r="EH96" s="28" t="s">
        <v>319</v>
      </c>
      <c r="EI96" s="28" t="s">
        <v>319</v>
      </c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7"/>
      <c r="FK96" s="6"/>
      <c r="FL96" s="6"/>
      <c r="FM96" s="94"/>
    </row>
    <row r="97" spans="1:169" s="3" customFormat="1" ht="17.25" customHeight="1" x14ac:dyDescent="0.4">
      <c r="A97" s="93"/>
      <c r="B97" s="93"/>
      <c r="C97" s="26"/>
      <c r="D97" s="27" t="s">
        <v>319</v>
      </c>
      <c r="E97" s="2" t="s">
        <v>343</v>
      </c>
      <c r="F97" s="28" t="s">
        <v>319</v>
      </c>
      <c r="G97" s="28" t="s">
        <v>319</v>
      </c>
      <c r="H97" s="28" t="s">
        <v>319</v>
      </c>
      <c r="I97" s="6" t="s">
        <v>597</v>
      </c>
      <c r="J97" s="28" t="s">
        <v>319</v>
      </c>
      <c r="K97" s="28" t="s">
        <v>319</v>
      </c>
      <c r="L97" s="28" t="s">
        <v>319</v>
      </c>
      <c r="M97" s="28" t="s">
        <v>319</v>
      </c>
      <c r="N97" s="28" t="s">
        <v>319</v>
      </c>
      <c r="O97" s="28" t="s">
        <v>319</v>
      </c>
      <c r="P97" s="28" t="s">
        <v>319</v>
      </c>
      <c r="Q97" s="5" t="s">
        <v>754</v>
      </c>
      <c r="R97" s="5" t="s">
        <v>663</v>
      </c>
      <c r="S97" s="6" t="s">
        <v>669</v>
      </c>
      <c r="T97" s="5"/>
      <c r="U97" s="183">
        <v>10000</v>
      </c>
      <c r="V97" s="9">
        <v>20000</v>
      </c>
      <c r="W97" s="6" t="s">
        <v>665</v>
      </c>
      <c r="X97" s="5"/>
      <c r="Y97" s="210">
        <v>23.5</v>
      </c>
      <c r="Z97" s="14">
        <v>23.5</v>
      </c>
      <c r="AA97" s="6" t="s">
        <v>972</v>
      </c>
      <c r="AB97" s="6"/>
      <c r="AC97" s="181" t="s">
        <v>1427</v>
      </c>
      <c r="AD97" s="8" t="s">
        <v>1427</v>
      </c>
      <c r="AE97" s="6" t="s">
        <v>956</v>
      </c>
      <c r="AF97" s="6"/>
      <c r="AG97" s="12">
        <v>-30</v>
      </c>
      <c r="AH97" s="6"/>
      <c r="AI97" s="6" t="s">
        <v>965</v>
      </c>
      <c r="AJ97" s="112"/>
      <c r="AK97" s="108">
        <v>6.5000000000000002E-2</v>
      </c>
      <c r="AL97" s="6"/>
      <c r="AM97" s="6" t="s">
        <v>958</v>
      </c>
      <c r="AN97" s="6"/>
      <c r="AO97" s="105">
        <v>19.79</v>
      </c>
      <c r="AP97" s="6"/>
      <c r="AQ97" s="28" t="s">
        <v>319</v>
      </c>
      <c r="AR97" s="28" t="s">
        <v>319</v>
      </c>
      <c r="AS97" s="28" t="s">
        <v>319</v>
      </c>
      <c r="AT97" s="28" t="s">
        <v>319</v>
      </c>
      <c r="AU97" s="28" t="s">
        <v>319</v>
      </c>
      <c r="AV97" s="28" t="s">
        <v>319</v>
      </c>
      <c r="AW97" s="28" t="s">
        <v>319</v>
      </c>
      <c r="AX97" s="28" t="s">
        <v>319</v>
      </c>
      <c r="AY97" s="28" t="s">
        <v>319</v>
      </c>
      <c r="AZ97" s="28" t="s">
        <v>319</v>
      </c>
      <c r="BA97" s="28" t="s">
        <v>319</v>
      </c>
      <c r="BB97" s="6" t="s">
        <v>984</v>
      </c>
      <c r="BC97" s="106">
        <v>-101</v>
      </c>
      <c r="BD97" s="106">
        <v>65</v>
      </c>
      <c r="BE97" s="6" t="s">
        <v>1010</v>
      </c>
      <c r="BF97" s="6"/>
      <c r="BG97" s="12">
        <v>37.5</v>
      </c>
      <c r="BH97" s="28" t="s">
        <v>319</v>
      </c>
      <c r="BI97" s="28" t="s">
        <v>319</v>
      </c>
      <c r="BJ97" s="28" t="s">
        <v>319</v>
      </c>
      <c r="BK97" s="28" t="s">
        <v>319</v>
      </c>
      <c r="BL97" s="28" t="s">
        <v>319</v>
      </c>
      <c r="BM97" s="28" t="s">
        <v>319</v>
      </c>
      <c r="BN97" s="28" t="s">
        <v>319</v>
      </c>
      <c r="BO97" s="28" t="s">
        <v>319</v>
      </c>
      <c r="BP97" s="28" t="s">
        <v>319</v>
      </c>
      <c r="BQ97" s="28" t="s">
        <v>319</v>
      </c>
      <c r="BR97" s="12">
        <v>51.3</v>
      </c>
      <c r="BS97" s="12">
        <v>439.1</v>
      </c>
      <c r="BT97" s="6"/>
      <c r="BU97" s="5"/>
      <c r="BV97" s="6"/>
      <c r="BW97" s="5"/>
      <c r="BX97" s="6" t="s">
        <v>1054</v>
      </c>
      <c r="BY97" s="6"/>
      <c r="BZ97" s="30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9"/>
      <c r="DB97" s="6" t="s">
        <v>1428</v>
      </c>
      <c r="DC97" s="30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 t="s">
        <v>319</v>
      </c>
      <c r="DO97" s="28" t="s">
        <v>319</v>
      </c>
      <c r="DP97" s="28" t="s">
        <v>319</v>
      </c>
      <c r="DQ97" s="28" t="s">
        <v>319</v>
      </c>
      <c r="DR97" s="28" t="s">
        <v>319</v>
      </c>
      <c r="DS97" s="28" t="s">
        <v>319</v>
      </c>
      <c r="DT97" s="28" t="s">
        <v>319</v>
      </c>
      <c r="DU97" s="28" t="s">
        <v>319</v>
      </c>
      <c r="DV97" s="28" t="s">
        <v>319</v>
      </c>
      <c r="DW97" s="28" t="s">
        <v>319</v>
      </c>
      <c r="DX97" s="28" t="s">
        <v>319</v>
      </c>
      <c r="DY97" s="28" t="s">
        <v>319</v>
      </c>
      <c r="DZ97" s="28" t="s">
        <v>319</v>
      </c>
      <c r="EA97" s="28" t="s">
        <v>319</v>
      </c>
      <c r="EB97" s="28" t="s">
        <v>319</v>
      </c>
      <c r="EC97" s="28" t="s">
        <v>319</v>
      </c>
      <c r="ED97" s="28" t="s">
        <v>319</v>
      </c>
      <c r="EE97" s="28"/>
      <c r="EF97" s="28" t="s">
        <v>319</v>
      </c>
      <c r="EG97" s="28" t="s">
        <v>319</v>
      </c>
      <c r="EH97" s="28" t="s">
        <v>319</v>
      </c>
      <c r="EI97" s="28" t="s">
        <v>319</v>
      </c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7"/>
      <c r="FK97" s="6"/>
      <c r="FL97" s="6"/>
      <c r="FM97" s="97"/>
    </row>
    <row r="98" spans="1:169" s="3" customFormat="1" x14ac:dyDescent="0.4">
      <c r="A98" s="93"/>
      <c r="B98" s="93"/>
      <c r="C98" s="26"/>
      <c r="D98" s="27" t="s">
        <v>319</v>
      </c>
      <c r="E98" s="2" t="s">
        <v>344</v>
      </c>
      <c r="F98" s="28" t="s">
        <v>319</v>
      </c>
      <c r="G98" s="28" t="s">
        <v>319</v>
      </c>
      <c r="H98" s="28" t="s">
        <v>319</v>
      </c>
      <c r="I98" s="6" t="s">
        <v>598</v>
      </c>
      <c r="J98" s="28" t="s">
        <v>319</v>
      </c>
      <c r="K98" s="28" t="s">
        <v>319</v>
      </c>
      <c r="L98" s="28" t="s">
        <v>319</v>
      </c>
      <c r="M98" s="28" t="s">
        <v>319</v>
      </c>
      <c r="N98" s="28" t="s">
        <v>319</v>
      </c>
      <c r="O98" s="28" t="s">
        <v>319</v>
      </c>
      <c r="P98" s="28" t="s">
        <v>319</v>
      </c>
      <c r="Q98" s="5" t="s">
        <v>721</v>
      </c>
      <c r="R98" s="5" t="s">
        <v>663</v>
      </c>
      <c r="S98" s="6" t="s">
        <v>669</v>
      </c>
      <c r="T98" s="5"/>
      <c r="U98" s="5"/>
      <c r="V98" s="183">
        <v>20000</v>
      </c>
      <c r="W98" s="6" t="s">
        <v>665</v>
      </c>
      <c r="X98" s="5"/>
      <c r="Y98" s="5"/>
      <c r="Z98" s="210">
        <v>18.899999999999999</v>
      </c>
      <c r="AA98" s="6" t="s">
        <v>959</v>
      </c>
      <c r="AB98" s="6"/>
      <c r="AC98" s="6"/>
      <c r="AD98" s="181" t="s">
        <v>1426</v>
      </c>
      <c r="AE98" s="6" t="s">
        <v>956</v>
      </c>
      <c r="AF98" s="6"/>
      <c r="AG98" s="185">
        <v>46</v>
      </c>
      <c r="AH98" s="6"/>
      <c r="AI98" s="6" t="s">
        <v>965</v>
      </c>
      <c r="AJ98" s="5"/>
      <c r="AK98" s="108">
        <v>7.0000000000000007E-2</v>
      </c>
      <c r="AL98" s="6"/>
      <c r="AM98" s="6" t="s">
        <v>958</v>
      </c>
      <c r="AN98" s="6"/>
      <c r="AO98" s="105">
        <v>18.87</v>
      </c>
      <c r="AP98" s="6"/>
      <c r="AQ98" s="28" t="s">
        <v>319</v>
      </c>
      <c r="AR98" s="28" t="s">
        <v>319</v>
      </c>
      <c r="AS98" s="28" t="s">
        <v>319</v>
      </c>
      <c r="AT98" s="28" t="s">
        <v>319</v>
      </c>
      <c r="AU98" s="28" t="s">
        <v>319</v>
      </c>
      <c r="AV98" s="28" t="s">
        <v>319</v>
      </c>
      <c r="AW98" s="28" t="s">
        <v>319</v>
      </c>
      <c r="AX98" s="28" t="s">
        <v>319</v>
      </c>
      <c r="AY98" s="28" t="s">
        <v>319</v>
      </c>
      <c r="AZ98" s="28" t="s">
        <v>319</v>
      </c>
      <c r="BA98" s="28" t="s">
        <v>319</v>
      </c>
      <c r="BB98" s="6" t="s">
        <v>984</v>
      </c>
      <c r="BC98" s="183">
        <v>-101</v>
      </c>
      <c r="BD98" s="106">
        <v>65</v>
      </c>
      <c r="BE98" s="6" t="s">
        <v>1010</v>
      </c>
      <c r="BF98" s="6"/>
      <c r="BG98" s="12">
        <v>37.5</v>
      </c>
      <c r="BH98" s="28" t="s">
        <v>319</v>
      </c>
      <c r="BI98" s="28" t="s">
        <v>319</v>
      </c>
      <c r="BJ98" s="28" t="s">
        <v>319</v>
      </c>
      <c r="BK98" s="28" t="s">
        <v>319</v>
      </c>
      <c r="BL98" s="28" t="s">
        <v>319</v>
      </c>
      <c r="BM98" s="28" t="s">
        <v>319</v>
      </c>
      <c r="BN98" s="28" t="s">
        <v>319</v>
      </c>
      <c r="BO98" s="28" t="s">
        <v>319</v>
      </c>
      <c r="BP98" s="28" t="s">
        <v>319</v>
      </c>
      <c r="BQ98" s="28" t="s">
        <v>319</v>
      </c>
      <c r="BR98" s="106">
        <v>47</v>
      </c>
      <c r="BS98" s="12">
        <v>468.9</v>
      </c>
      <c r="BT98" s="6"/>
      <c r="BU98" s="5"/>
      <c r="BV98" s="6"/>
      <c r="BW98" s="5"/>
      <c r="BX98" s="6" t="s">
        <v>1052</v>
      </c>
      <c r="BY98" s="6"/>
      <c r="BZ98" s="30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9"/>
      <c r="DB98" s="181" t="s">
        <v>1429</v>
      </c>
      <c r="DC98" s="30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 t="s">
        <v>319</v>
      </c>
      <c r="DO98" s="28" t="s">
        <v>319</v>
      </c>
      <c r="DP98" s="28" t="s">
        <v>319</v>
      </c>
      <c r="DQ98" s="28" t="s">
        <v>319</v>
      </c>
      <c r="DR98" s="28" t="s">
        <v>319</v>
      </c>
      <c r="DS98" s="28" t="s">
        <v>319</v>
      </c>
      <c r="DT98" s="28" t="s">
        <v>319</v>
      </c>
      <c r="DU98" s="28" t="s">
        <v>319</v>
      </c>
      <c r="DV98" s="28" t="s">
        <v>319</v>
      </c>
      <c r="DW98" s="28" t="s">
        <v>319</v>
      </c>
      <c r="DX98" s="28" t="s">
        <v>319</v>
      </c>
      <c r="DY98" s="28" t="s">
        <v>319</v>
      </c>
      <c r="DZ98" s="28" t="s">
        <v>319</v>
      </c>
      <c r="EA98" s="28" t="s">
        <v>319</v>
      </c>
      <c r="EB98" s="28" t="s">
        <v>319</v>
      </c>
      <c r="EC98" s="28" t="s">
        <v>319</v>
      </c>
      <c r="ED98" s="28" t="s">
        <v>319</v>
      </c>
      <c r="EE98" s="28"/>
      <c r="EF98" s="28" t="s">
        <v>319</v>
      </c>
      <c r="EG98" s="28" t="s">
        <v>319</v>
      </c>
      <c r="EH98" s="28" t="s">
        <v>319</v>
      </c>
      <c r="EI98" s="28" t="s">
        <v>319</v>
      </c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7"/>
      <c r="FK98" s="6"/>
      <c r="FL98" s="6"/>
      <c r="FM98" s="97"/>
    </row>
    <row r="99" spans="1:169" s="3" customFormat="1" ht="34.799999999999997" x14ac:dyDescent="0.4">
      <c r="A99" s="93"/>
      <c r="B99" s="93"/>
      <c r="C99" s="26"/>
      <c r="D99" s="27" t="s">
        <v>319</v>
      </c>
      <c r="E99" s="2" t="s">
        <v>453</v>
      </c>
      <c r="F99" s="28" t="s">
        <v>319</v>
      </c>
      <c r="G99" s="28" t="s">
        <v>319</v>
      </c>
      <c r="H99" s="28" t="s">
        <v>319</v>
      </c>
      <c r="I99" s="6" t="s">
        <v>598</v>
      </c>
      <c r="J99" s="28" t="s">
        <v>319</v>
      </c>
      <c r="K99" s="28" t="s">
        <v>319</v>
      </c>
      <c r="L99" s="28" t="s">
        <v>319</v>
      </c>
      <c r="M99" s="28" t="s">
        <v>319</v>
      </c>
      <c r="N99" s="28" t="s">
        <v>319</v>
      </c>
      <c r="O99" s="28" t="s">
        <v>319</v>
      </c>
      <c r="P99" s="28" t="s">
        <v>319</v>
      </c>
      <c r="Q99" s="5" t="s">
        <v>676</v>
      </c>
      <c r="R99" s="5" t="s">
        <v>663</v>
      </c>
      <c r="S99" s="6" t="s">
        <v>678</v>
      </c>
      <c r="T99" s="5"/>
      <c r="U99" s="5" t="s">
        <v>755</v>
      </c>
      <c r="V99" s="266">
        <v>3636</v>
      </c>
      <c r="W99" s="6" t="s">
        <v>665</v>
      </c>
      <c r="X99" s="5">
        <v>1.93</v>
      </c>
      <c r="Y99" s="5">
        <v>1.94</v>
      </c>
      <c r="Z99" s="5">
        <v>1.95</v>
      </c>
      <c r="AA99" s="6" t="s">
        <v>963</v>
      </c>
      <c r="AB99" s="6" t="s">
        <v>1111</v>
      </c>
      <c r="AC99" s="6" t="s">
        <v>1110</v>
      </c>
      <c r="AD99" s="6" t="s">
        <v>1112</v>
      </c>
      <c r="AE99" s="6" t="s">
        <v>967</v>
      </c>
      <c r="AF99" s="6"/>
      <c r="AG99" s="5" t="s">
        <v>1377</v>
      </c>
      <c r="AH99" s="6"/>
      <c r="AI99" s="6" t="s">
        <v>965</v>
      </c>
      <c r="AJ99" s="112"/>
      <c r="AK99" s="5" t="s">
        <v>1064</v>
      </c>
      <c r="AL99" s="6"/>
      <c r="AM99" s="6" t="s">
        <v>958</v>
      </c>
      <c r="AN99" s="6"/>
      <c r="AO99" s="5" t="s">
        <v>1063</v>
      </c>
      <c r="AP99" s="6"/>
      <c r="AQ99" s="28" t="s">
        <v>319</v>
      </c>
      <c r="AR99" s="28" t="s">
        <v>319</v>
      </c>
      <c r="AS99" s="28" t="s">
        <v>319</v>
      </c>
      <c r="AT99" s="28" t="s">
        <v>319</v>
      </c>
      <c r="AU99" s="28" t="s">
        <v>319</v>
      </c>
      <c r="AV99" s="28" t="s">
        <v>319</v>
      </c>
      <c r="AW99" s="28" t="s">
        <v>319</v>
      </c>
      <c r="AX99" s="28" t="s">
        <v>319</v>
      </c>
      <c r="AY99" s="28" t="s">
        <v>319</v>
      </c>
      <c r="AZ99" s="28" t="s">
        <v>319</v>
      </c>
      <c r="BA99" s="28" t="s">
        <v>319</v>
      </c>
      <c r="BB99" s="6" t="s">
        <v>984</v>
      </c>
      <c r="BC99" s="5" t="s">
        <v>1009</v>
      </c>
      <c r="BD99" s="106">
        <v>170</v>
      </c>
      <c r="BE99" s="6" t="s">
        <v>1010</v>
      </c>
      <c r="BF99" s="181" t="s">
        <v>1448</v>
      </c>
      <c r="BG99" s="12">
        <v>6</v>
      </c>
      <c r="BH99" s="28" t="s">
        <v>319</v>
      </c>
      <c r="BI99" s="28" t="s">
        <v>319</v>
      </c>
      <c r="BJ99" s="28" t="s">
        <v>319</v>
      </c>
      <c r="BK99" s="28" t="s">
        <v>319</v>
      </c>
      <c r="BL99" s="28" t="s">
        <v>319</v>
      </c>
      <c r="BM99" s="28" t="s">
        <v>319</v>
      </c>
      <c r="BN99" s="28" t="s">
        <v>319</v>
      </c>
      <c r="BO99" s="28" t="s">
        <v>319</v>
      </c>
      <c r="BP99" s="28" t="s">
        <v>319</v>
      </c>
      <c r="BQ99" s="28" t="s">
        <v>319</v>
      </c>
      <c r="BR99" s="12">
        <v>225.5</v>
      </c>
      <c r="BS99" s="5" t="s">
        <v>1065</v>
      </c>
      <c r="BT99" s="6"/>
      <c r="BU99" s="5"/>
      <c r="BV99" s="6"/>
      <c r="BW99" s="5"/>
      <c r="BX99" s="6" t="s">
        <v>1272</v>
      </c>
      <c r="BY99" s="6"/>
      <c r="BZ99" s="30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9"/>
      <c r="DB99" s="6"/>
      <c r="DC99" s="30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 t="s">
        <v>319</v>
      </c>
      <c r="DO99" s="28" t="s">
        <v>319</v>
      </c>
      <c r="DP99" s="28" t="s">
        <v>319</v>
      </c>
      <c r="DQ99" s="28" t="s">
        <v>319</v>
      </c>
      <c r="DR99" s="28" t="s">
        <v>319</v>
      </c>
      <c r="DS99" s="28" t="s">
        <v>319</v>
      </c>
      <c r="DT99" s="28" t="s">
        <v>319</v>
      </c>
      <c r="DU99" s="28" t="s">
        <v>319</v>
      </c>
      <c r="DV99" s="28" t="s">
        <v>319</v>
      </c>
      <c r="DW99" s="28" t="s">
        <v>319</v>
      </c>
      <c r="DX99" s="28" t="s">
        <v>319</v>
      </c>
      <c r="DY99" s="28" t="s">
        <v>319</v>
      </c>
      <c r="DZ99" s="28" t="s">
        <v>319</v>
      </c>
      <c r="EA99" s="28" t="s">
        <v>319</v>
      </c>
      <c r="EB99" s="28" t="s">
        <v>319</v>
      </c>
      <c r="EC99" s="28" t="s">
        <v>319</v>
      </c>
      <c r="ED99" s="28" t="s">
        <v>319</v>
      </c>
      <c r="EE99" s="28"/>
      <c r="EF99" s="28" t="s">
        <v>319</v>
      </c>
      <c r="EG99" s="28" t="s">
        <v>319</v>
      </c>
      <c r="EH99" s="28" t="s">
        <v>319</v>
      </c>
      <c r="EI99" s="28" t="s">
        <v>319</v>
      </c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7"/>
      <c r="FK99" s="6"/>
      <c r="FL99" s="6"/>
      <c r="FM99" s="97"/>
    </row>
    <row r="100" spans="1:169" s="3" customFormat="1" ht="34.799999999999997" x14ac:dyDescent="0.4">
      <c r="A100" s="93"/>
      <c r="B100" s="93"/>
      <c r="C100" s="26"/>
      <c r="D100" s="27" t="s">
        <v>319</v>
      </c>
      <c r="E100" s="2" t="s">
        <v>493</v>
      </c>
      <c r="F100" s="28" t="s">
        <v>319</v>
      </c>
      <c r="G100" s="28" t="s">
        <v>319</v>
      </c>
      <c r="H100" s="28" t="s">
        <v>319</v>
      </c>
      <c r="I100" s="6" t="s">
        <v>598</v>
      </c>
      <c r="J100" s="28" t="s">
        <v>319</v>
      </c>
      <c r="K100" s="28" t="s">
        <v>319</v>
      </c>
      <c r="L100" s="28" t="s">
        <v>319</v>
      </c>
      <c r="M100" s="28" t="s">
        <v>319</v>
      </c>
      <c r="N100" s="28" t="s">
        <v>319</v>
      </c>
      <c r="O100" s="28" t="s">
        <v>319</v>
      </c>
      <c r="P100" s="28" t="s">
        <v>319</v>
      </c>
      <c r="Q100" s="5" t="s">
        <v>756</v>
      </c>
      <c r="R100" s="5" t="s">
        <v>667</v>
      </c>
      <c r="S100" s="6" t="s">
        <v>678</v>
      </c>
      <c r="T100" s="183">
        <v>10000</v>
      </c>
      <c r="U100" s="106">
        <v>10000</v>
      </c>
      <c r="V100" s="106">
        <v>20000</v>
      </c>
      <c r="W100" s="6" t="s">
        <v>665</v>
      </c>
      <c r="X100" s="210">
        <v>5.3</v>
      </c>
      <c r="Y100" s="105">
        <v>5.3</v>
      </c>
      <c r="Z100" s="216">
        <v>5.3</v>
      </c>
      <c r="AA100" s="6" t="s">
        <v>963</v>
      </c>
      <c r="AB100" s="6" t="s">
        <v>1273</v>
      </c>
      <c r="AC100" s="6" t="s">
        <v>1274</v>
      </c>
      <c r="AD100" s="217" t="s">
        <v>1445</v>
      </c>
      <c r="AE100" s="6" t="s">
        <v>956</v>
      </c>
      <c r="AF100" s="6"/>
      <c r="AG100" s="12">
        <v>5</v>
      </c>
      <c r="AH100" s="6"/>
      <c r="AI100" s="6" t="s">
        <v>965</v>
      </c>
      <c r="AJ100" s="112"/>
      <c r="AK100" s="112">
        <v>0.01</v>
      </c>
      <c r="AL100" s="6"/>
      <c r="AM100" s="6" t="s">
        <v>1259</v>
      </c>
      <c r="AN100" s="6"/>
      <c r="AO100" s="5"/>
      <c r="AP100" s="6"/>
      <c r="AQ100" s="28" t="s">
        <v>319</v>
      </c>
      <c r="AR100" s="28" t="s">
        <v>319</v>
      </c>
      <c r="AS100" s="28" t="s">
        <v>319</v>
      </c>
      <c r="AT100" s="28" t="s">
        <v>319</v>
      </c>
      <c r="AU100" s="28" t="s">
        <v>319</v>
      </c>
      <c r="AV100" s="28" t="s">
        <v>319</v>
      </c>
      <c r="AW100" s="28" t="s">
        <v>319</v>
      </c>
      <c r="AX100" s="28" t="s">
        <v>319</v>
      </c>
      <c r="AY100" s="28" t="s">
        <v>319</v>
      </c>
      <c r="AZ100" s="28" t="s">
        <v>319</v>
      </c>
      <c r="BA100" s="28" t="s">
        <v>319</v>
      </c>
      <c r="BB100" s="6" t="s">
        <v>984</v>
      </c>
      <c r="BC100" s="106">
        <v>-101</v>
      </c>
      <c r="BD100" s="106">
        <v>65</v>
      </c>
      <c r="BE100" s="6" t="s">
        <v>1008</v>
      </c>
      <c r="BF100" s="6"/>
      <c r="BG100" s="12">
        <v>37.5</v>
      </c>
      <c r="BH100" s="28" t="s">
        <v>319</v>
      </c>
      <c r="BI100" s="28" t="s">
        <v>319</v>
      </c>
      <c r="BJ100" s="28" t="s">
        <v>319</v>
      </c>
      <c r="BK100" s="28" t="s">
        <v>319</v>
      </c>
      <c r="BL100" s="28" t="s">
        <v>319</v>
      </c>
      <c r="BM100" s="28" t="s">
        <v>319</v>
      </c>
      <c r="BN100" s="28" t="s">
        <v>319</v>
      </c>
      <c r="BO100" s="28" t="s">
        <v>319</v>
      </c>
      <c r="BP100" s="28" t="s">
        <v>319</v>
      </c>
      <c r="BQ100" s="28" t="s">
        <v>319</v>
      </c>
      <c r="BR100" s="5"/>
      <c r="BS100" s="5"/>
      <c r="BT100" s="6"/>
      <c r="BU100" s="5" t="s">
        <v>1378</v>
      </c>
      <c r="BV100" s="15" t="s">
        <v>1275</v>
      </c>
      <c r="BW100" s="5" t="s">
        <v>1379</v>
      </c>
      <c r="BX100" s="6"/>
      <c r="BY100" s="6"/>
      <c r="BZ100" s="30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9"/>
      <c r="DB100" s="6"/>
      <c r="DC100" s="30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 t="s">
        <v>319</v>
      </c>
      <c r="DO100" s="28" t="s">
        <v>319</v>
      </c>
      <c r="DP100" s="28" t="s">
        <v>319</v>
      </c>
      <c r="DQ100" s="28" t="s">
        <v>319</v>
      </c>
      <c r="DR100" s="28" t="s">
        <v>319</v>
      </c>
      <c r="DS100" s="28" t="s">
        <v>319</v>
      </c>
      <c r="DT100" s="28" t="s">
        <v>319</v>
      </c>
      <c r="DU100" s="28" t="s">
        <v>319</v>
      </c>
      <c r="DV100" s="28" t="s">
        <v>319</v>
      </c>
      <c r="DW100" s="28" t="s">
        <v>319</v>
      </c>
      <c r="DX100" s="28" t="s">
        <v>319</v>
      </c>
      <c r="DY100" s="28" t="s">
        <v>319</v>
      </c>
      <c r="DZ100" s="28" t="s">
        <v>319</v>
      </c>
      <c r="EA100" s="28" t="s">
        <v>319</v>
      </c>
      <c r="EB100" s="28" t="s">
        <v>319</v>
      </c>
      <c r="EC100" s="28" t="s">
        <v>319</v>
      </c>
      <c r="ED100" s="28" t="s">
        <v>319</v>
      </c>
      <c r="EE100" s="28"/>
      <c r="EF100" s="28" t="s">
        <v>319</v>
      </c>
      <c r="EG100" s="28" t="s">
        <v>319</v>
      </c>
      <c r="EH100" s="28" t="s">
        <v>319</v>
      </c>
      <c r="EI100" s="28" t="s">
        <v>319</v>
      </c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7"/>
      <c r="FK100" s="6"/>
      <c r="FL100" s="6"/>
      <c r="FM100" s="94"/>
    </row>
    <row r="101" spans="1:169" s="3" customFormat="1" x14ac:dyDescent="0.4">
      <c r="A101" s="93"/>
      <c r="B101" s="93"/>
      <c r="C101" s="26"/>
      <c r="D101" s="27" t="s">
        <v>319</v>
      </c>
      <c r="E101" s="2" t="s">
        <v>1320</v>
      </c>
      <c r="F101" s="28" t="s">
        <v>319</v>
      </c>
      <c r="G101" s="28" t="s">
        <v>319</v>
      </c>
      <c r="H101" s="28" t="s">
        <v>319</v>
      </c>
      <c r="I101" s="6" t="s">
        <v>598</v>
      </c>
      <c r="J101" s="28" t="s">
        <v>319</v>
      </c>
      <c r="K101" s="28" t="s">
        <v>319</v>
      </c>
      <c r="L101" s="28" t="s">
        <v>319</v>
      </c>
      <c r="M101" s="28" t="s">
        <v>319</v>
      </c>
      <c r="N101" s="28" t="s">
        <v>319</v>
      </c>
      <c r="O101" s="28" t="s">
        <v>319</v>
      </c>
      <c r="P101" s="28" t="s">
        <v>319</v>
      </c>
      <c r="Q101" s="5" t="s">
        <v>675</v>
      </c>
      <c r="R101" s="5" t="s">
        <v>667</v>
      </c>
      <c r="S101" s="6" t="s">
        <v>678</v>
      </c>
      <c r="T101" s="5"/>
      <c r="U101" s="5" t="s">
        <v>755</v>
      </c>
      <c r="V101" s="266">
        <v>3636</v>
      </c>
      <c r="W101" s="6" t="s">
        <v>665</v>
      </c>
      <c r="X101" s="5">
        <v>3</v>
      </c>
      <c r="Y101" s="5">
        <v>2.9</v>
      </c>
      <c r="Z101" s="5">
        <v>2.85</v>
      </c>
      <c r="AA101" s="6" t="s">
        <v>963</v>
      </c>
      <c r="AB101" s="6" t="s">
        <v>1108</v>
      </c>
      <c r="AC101" s="6" t="s">
        <v>1107</v>
      </c>
      <c r="AD101" s="6" t="s">
        <v>1109</v>
      </c>
      <c r="AE101" s="6" t="s">
        <v>956</v>
      </c>
      <c r="AF101" s="6"/>
      <c r="AG101" s="12">
        <v>160</v>
      </c>
      <c r="AH101" s="6"/>
      <c r="AI101" s="6" t="s">
        <v>965</v>
      </c>
      <c r="AJ101" s="112"/>
      <c r="AK101" s="112">
        <v>1.44E-2</v>
      </c>
      <c r="AL101" s="6"/>
      <c r="AM101" s="6"/>
      <c r="AN101" s="6"/>
      <c r="AO101" s="5"/>
      <c r="AP101" s="6"/>
      <c r="AQ101" s="28" t="s">
        <v>319</v>
      </c>
      <c r="AR101" s="28" t="s">
        <v>319</v>
      </c>
      <c r="AS101" s="28" t="s">
        <v>319</v>
      </c>
      <c r="AT101" s="28" t="s">
        <v>319</v>
      </c>
      <c r="AU101" s="28" t="s">
        <v>319</v>
      </c>
      <c r="AV101" s="28" t="s">
        <v>319</v>
      </c>
      <c r="AW101" s="28" t="s">
        <v>319</v>
      </c>
      <c r="AX101" s="28" t="s">
        <v>319</v>
      </c>
      <c r="AY101" s="28" t="s">
        <v>319</v>
      </c>
      <c r="AZ101" s="28" t="s">
        <v>319</v>
      </c>
      <c r="BA101" s="28" t="s">
        <v>319</v>
      </c>
      <c r="BB101" s="6" t="s">
        <v>984</v>
      </c>
      <c r="BC101" s="5" t="s">
        <v>1011</v>
      </c>
      <c r="BD101" s="106">
        <v>200</v>
      </c>
      <c r="BE101" s="6" t="s">
        <v>1008</v>
      </c>
      <c r="BF101" s="6"/>
      <c r="BG101" s="12">
        <v>6</v>
      </c>
      <c r="BH101" s="28" t="s">
        <v>319</v>
      </c>
      <c r="BI101" s="28" t="s">
        <v>319</v>
      </c>
      <c r="BJ101" s="28" t="s">
        <v>319</v>
      </c>
      <c r="BK101" s="28" t="s">
        <v>319</v>
      </c>
      <c r="BL101" s="28" t="s">
        <v>319</v>
      </c>
      <c r="BM101" s="28" t="s">
        <v>319</v>
      </c>
      <c r="BN101" s="28" t="s">
        <v>319</v>
      </c>
      <c r="BO101" s="28" t="s">
        <v>319</v>
      </c>
      <c r="BP101" s="28" t="s">
        <v>319</v>
      </c>
      <c r="BQ101" s="28" t="s">
        <v>319</v>
      </c>
      <c r="BR101" s="5"/>
      <c r="BS101" s="105"/>
      <c r="BT101" s="6"/>
      <c r="BU101" s="12">
        <v>18</v>
      </c>
      <c r="BV101" s="6" t="s">
        <v>1020</v>
      </c>
      <c r="BW101" s="105">
        <v>1.35</v>
      </c>
      <c r="BX101" s="6"/>
      <c r="BY101" s="6"/>
      <c r="BZ101" s="30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9"/>
      <c r="DB101" s="6"/>
      <c r="DC101" s="30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 t="s">
        <v>319</v>
      </c>
      <c r="DO101" s="28" t="s">
        <v>319</v>
      </c>
      <c r="DP101" s="28" t="s">
        <v>319</v>
      </c>
      <c r="DQ101" s="28" t="s">
        <v>319</v>
      </c>
      <c r="DR101" s="28" t="s">
        <v>319</v>
      </c>
      <c r="DS101" s="28" t="s">
        <v>319</v>
      </c>
      <c r="DT101" s="28" t="s">
        <v>319</v>
      </c>
      <c r="DU101" s="28" t="s">
        <v>319</v>
      </c>
      <c r="DV101" s="28" t="s">
        <v>319</v>
      </c>
      <c r="DW101" s="28" t="s">
        <v>319</v>
      </c>
      <c r="DX101" s="28" t="s">
        <v>319</v>
      </c>
      <c r="DY101" s="28" t="s">
        <v>319</v>
      </c>
      <c r="DZ101" s="28" t="s">
        <v>319</v>
      </c>
      <c r="EA101" s="28" t="s">
        <v>319</v>
      </c>
      <c r="EB101" s="28" t="s">
        <v>319</v>
      </c>
      <c r="EC101" s="28" t="s">
        <v>319</v>
      </c>
      <c r="ED101" s="28" t="s">
        <v>319</v>
      </c>
      <c r="EE101" s="28"/>
      <c r="EF101" s="28" t="s">
        <v>319</v>
      </c>
      <c r="EG101" s="28" t="s">
        <v>319</v>
      </c>
      <c r="EH101" s="28" t="s">
        <v>319</v>
      </c>
      <c r="EI101" s="28" t="s">
        <v>319</v>
      </c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7"/>
      <c r="FK101" s="6"/>
      <c r="FL101" s="6"/>
      <c r="FM101" s="94"/>
    </row>
    <row r="102" spans="1:169" s="3" customFormat="1" ht="34.799999999999997" x14ac:dyDescent="0.4">
      <c r="A102" s="93"/>
      <c r="B102" s="93"/>
      <c r="C102" s="26"/>
      <c r="D102" s="27" t="s">
        <v>319</v>
      </c>
      <c r="E102" s="2" t="s">
        <v>1347</v>
      </c>
      <c r="F102" s="28" t="s">
        <v>319</v>
      </c>
      <c r="G102" s="28" t="s">
        <v>319</v>
      </c>
      <c r="H102" s="28" t="s">
        <v>319</v>
      </c>
      <c r="I102" s="6" t="s">
        <v>599</v>
      </c>
      <c r="J102" s="28" t="s">
        <v>319</v>
      </c>
      <c r="K102" s="28" t="s">
        <v>319</v>
      </c>
      <c r="L102" s="28" t="s">
        <v>319</v>
      </c>
      <c r="M102" s="28" t="s">
        <v>319</v>
      </c>
      <c r="N102" s="28" t="s">
        <v>319</v>
      </c>
      <c r="O102" s="28" t="s">
        <v>319</v>
      </c>
      <c r="P102" s="28" t="s">
        <v>319</v>
      </c>
      <c r="Q102" s="5" t="s">
        <v>673</v>
      </c>
      <c r="R102" s="5" t="s">
        <v>667</v>
      </c>
      <c r="S102" s="6" t="s">
        <v>672</v>
      </c>
      <c r="T102" s="5"/>
      <c r="U102" s="5">
        <v>702123</v>
      </c>
      <c r="V102" s="5"/>
      <c r="W102" s="6" t="s">
        <v>665</v>
      </c>
      <c r="X102" s="5"/>
      <c r="Y102" s="111">
        <v>45.52</v>
      </c>
      <c r="Z102" s="5"/>
      <c r="AA102" s="6" t="s">
        <v>963</v>
      </c>
      <c r="AB102" s="6"/>
      <c r="AC102" s="5">
        <v>34.450000000000003</v>
      </c>
      <c r="AD102" s="6"/>
      <c r="AE102" s="6" t="s">
        <v>960</v>
      </c>
      <c r="AF102" s="6"/>
      <c r="AG102" s="13">
        <v>138</v>
      </c>
      <c r="AH102" s="6"/>
      <c r="AI102" s="6" t="s">
        <v>973</v>
      </c>
      <c r="AJ102" s="112"/>
      <c r="AK102" s="5">
        <v>0.01</v>
      </c>
      <c r="AL102" s="6"/>
      <c r="AM102" s="6" t="s">
        <v>1254</v>
      </c>
      <c r="AN102" s="6"/>
      <c r="AO102" s="5"/>
      <c r="AP102" s="6"/>
      <c r="AQ102" s="28" t="s">
        <v>319</v>
      </c>
      <c r="AR102" s="28" t="s">
        <v>319</v>
      </c>
      <c r="AS102" s="28" t="s">
        <v>319</v>
      </c>
      <c r="AT102" s="28" t="s">
        <v>319</v>
      </c>
      <c r="AU102" s="28" t="s">
        <v>319</v>
      </c>
      <c r="AV102" s="28" t="s">
        <v>319</v>
      </c>
      <c r="AW102" s="28" t="s">
        <v>319</v>
      </c>
      <c r="AX102" s="28" t="s">
        <v>319</v>
      </c>
      <c r="AY102" s="28" t="s">
        <v>319</v>
      </c>
      <c r="AZ102" s="28" t="s">
        <v>319</v>
      </c>
      <c r="BA102" s="28" t="s">
        <v>319</v>
      </c>
      <c r="BB102" s="6" t="s">
        <v>984</v>
      </c>
      <c r="BC102" s="239" t="s">
        <v>1478</v>
      </c>
      <c r="BD102" s="106" t="s">
        <v>1335</v>
      </c>
      <c r="BE102" s="6" t="s">
        <v>1010</v>
      </c>
      <c r="BF102" s="6"/>
      <c r="BG102" s="12" t="s">
        <v>1380</v>
      </c>
      <c r="BH102" s="28" t="s">
        <v>319</v>
      </c>
      <c r="BI102" s="28" t="s">
        <v>319</v>
      </c>
      <c r="BJ102" s="28" t="s">
        <v>319</v>
      </c>
      <c r="BK102" s="28" t="s">
        <v>319</v>
      </c>
      <c r="BL102" s="28" t="s">
        <v>319</v>
      </c>
      <c r="BM102" s="28" t="s">
        <v>319</v>
      </c>
      <c r="BN102" s="28" t="s">
        <v>319</v>
      </c>
      <c r="BO102" s="28" t="s">
        <v>319</v>
      </c>
      <c r="BP102" s="28" t="s">
        <v>319</v>
      </c>
      <c r="BQ102" s="28" t="s">
        <v>319</v>
      </c>
      <c r="BR102" s="5"/>
      <c r="BS102" s="5"/>
      <c r="BT102" s="6"/>
      <c r="BU102" s="13">
        <v>43.8</v>
      </c>
      <c r="BV102" s="6" t="s">
        <v>1336</v>
      </c>
      <c r="BW102" s="5">
        <v>1.52</v>
      </c>
      <c r="BX102" s="6"/>
      <c r="BY102" s="6"/>
      <c r="BZ102" s="30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9"/>
      <c r="DB102" s="6"/>
      <c r="DC102" s="30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 t="s">
        <v>319</v>
      </c>
      <c r="DO102" s="28" t="s">
        <v>319</v>
      </c>
      <c r="DP102" s="28" t="s">
        <v>319</v>
      </c>
      <c r="DQ102" s="28" t="s">
        <v>319</v>
      </c>
      <c r="DR102" s="28" t="s">
        <v>319</v>
      </c>
      <c r="DS102" s="28" t="s">
        <v>319</v>
      </c>
      <c r="DT102" s="28" t="s">
        <v>319</v>
      </c>
      <c r="DU102" s="28" t="s">
        <v>319</v>
      </c>
      <c r="DV102" s="28" t="s">
        <v>319</v>
      </c>
      <c r="DW102" s="28" t="s">
        <v>319</v>
      </c>
      <c r="DX102" s="28" t="s">
        <v>319</v>
      </c>
      <c r="DY102" s="28" t="s">
        <v>319</v>
      </c>
      <c r="DZ102" s="28" t="s">
        <v>319</v>
      </c>
      <c r="EA102" s="28" t="s">
        <v>319</v>
      </c>
      <c r="EB102" s="28" t="s">
        <v>319</v>
      </c>
      <c r="EC102" s="28" t="s">
        <v>319</v>
      </c>
      <c r="ED102" s="28" t="s">
        <v>319</v>
      </c>
      <c r="EE102" s="28"/>
      <c r="EF102" s="28" t="s">
        <v>319</v>
      </c>
      <c r="EG102" s="28" t="s">
        <v>319</v>
      </c>
      <c r="EH102" s="28" t="s">
        <v>319</v>
      </c>
      <c r="EI102" s="28" t="s">
        <v>319</v>
      </c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7"/>
      <c r="FK102" s="15" t="s">
        <v>1325</v>
      </c>
      <c r="FL102" s="6"/>
      <c r="FM102" s="94"/>
    </row>
    <row r="103" spans="1:169" s="3" customFormat="1" ht="34.799999999999997" x14ac:dyDescent="0.4">
      <c r="A103" s="93"/>
      <c r="B103" s="93"/>
      <c r="C103" s="26"/>
      <c r="D103" s="27" t="s">
        <v>319</v>
      </c>
      <c r="E103" s="2" t="s">
        <v>322</v>
      </c>
      <c r="F103" s="28" t="s">
        <v>319</v>
      </c>
      <c r="G103" s="28" t="s">
        <v>319</v>
      </c>
      <c r="H103" s="28" t="s">
        <v>319</v>
      </c>
      <c r="I103" s="6" t="s">
        <v>599</v>
      </c>
      <c r="J103" s="28" t="s">
        <v>319</v>
      </c>
      <c r="K103" s="28" t="s">
        <v>319</v>
      </c>
      <c r="L103" s="28" t="s">
        <v>319</v>
      </c>
      <c r="M103" s="28" t="s">
        <v>319</v>
      </c>
      <c r="N103" s="28" t="s">
        <v>319</v>
      </c>
      <c r="O103" s="28" t="s">
        <v>319</v>
      </c>
      <c r="P103" s="28" t="s">
        <v>319</v>
      </c>
      <c r="Q103" s="5" t="s">
        <v>673</v>
      </c>
      <c r="R103" s="5" t="s">
        <v>667</v>
      </c>
      <c r="S103" s="6" t="s">
        <v>664</v>
      </c>
      <c r="T103" s="5"/>
      <c r="U103" s="5">
        <v>313787</v>
      </c>
      <c r="V103" s="5"/>
      <c r="W103" s="6" t="s">
        <v>665</v>
      </c>
      <c r="X103" s="5"/>
      <c r="Y103" s="111">
        <v>46.1</v>
      </c>
      <c r="Z103" s="5"/>
      <c r="AA103" s="6" t="s">
        <v>955</v>
      </c>
      <c r="AB103" s="6"/>
      <c r="AC103" s="5">
        <v>36.770000000000003</v>
      </c>
      <c r="AD103" s="6"/>
      <c r="AE103" s="6" t="s">
        <v>960</v>
      </c>
      <c r="AF103" s="6"/>
      <c r="AG103" s="13">
        <v>83.8</v>
      </c>
      <c r="AH103" s="6"/>
      <c r="AI103" s="6" t="s">
        <v>957</v>
      </c>
      <c r="AJ103" s="112"/>
      <c r="AK103" s="5">
        <v>0.01</v>
      </c>
      <c r="AL103" s="6"/>
      <c r="AM103" s="6" t="s">
        <v>1254</v>
      </c>
      <c r="AN103" s="6"/>
      <c r="AO103" s="5"/>
      <c r="AP103" s="6"/>
      <c r="AQ103" s="28" t="s">
        <v>319</v>
      </c>
      <c r="AR103" s="28" t="s">
        <v>319</v>
      </c>
      <c r="AS103" s="28" t="s">
        <v>319</v>
      </c>
      <c r="AT103" s="28" t="s">
        <v>319</v>
      </c>
      <c r="AU103" s="28" t="s">
        <v>319</v>
      </c>
      <c r="AV103" s="28" t="s">
        <v>319</v>
      </c>
      <c r="AW103" s="28" t="s">
        <v>319</v>
      </c>
      <c r="AX103" s="28" t="s">
        <v>319</v>
      </c>
      <c r="AY103" s="28" t="s">
        <v>319</v>
      </c>
      <c r="AZ103" s="28" t="s">
        <v>319</v>
      </c>
      <c r="BA103" s="28" t="s">
        <v>319</v>
      </c>
      <c r="BB103" s="6" t="s">
        <v>984</v>
      </c>
      <c r="BC103" s="239" t="s">
        <v>1478</v>
      </c>
      <c r="BD103" s="106" t="s">
        <v>1335</v>
      </c>
      <c r="BE103" s="6" t="s">
        <v>1008</v>
      </c>
      <c r="BF103" s="6"/>
      <c r="BG103" s="12" t="s">
        <v>1381</v>
      </c>
      <c r="BH103" s="28" t="s">
        <v>319</v>
      </c>
      <c r="BI103" s="28" t="s">
        <v>319</v>
      </c>
      <c r="BJ103" s="28" t="s">
        <v>319</v>
      </c>
      <c r="BK103" s="28" t="s">
        <v>319</v>
      </c>
      <c r="BL103" s="28" t="s">
        <v>319</v>
      </c>
      <c r="BM103" s="28" t="s">
        <v>319</v>
      </c>
      <c r="BN103" s="28" t="s">
        <v>319</v>
      </c>
      <c r="BO103" s="28" t="s">
        <v>319</v>
      </c>
      <c r="BP103" s="28" t="s">
        <v>319</v>
      </c>
      <c r="BQ103" s="28" t="s">
        <v>319</v>
      </c>
      <c r="BR103" s="5"/>
      <c r="BS103" s="5"/>
      <c r="BT103" s="6"/>
      <c r="BU103" s="13">
        <v>23</v>
      </c>
      <c r="BV103" s="6" t="s">
        <v>1337</v>
      </c>
      <c r="BW103" s="5">
        <v>1.33</v>
      </c>
      <c r="BX103" s="6"/>
      <c r="BY103" s="6"/>
      <c r="BZ103" s="30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9"/>
      <c r="DB103" s="6"/>
      <c r="DC103" s="30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 t="s">
        <v>319</v>
      </c>
      <c r="DO103" s="28" t="s">
        <v>319</v>
      </c>
      <c r="DP103" s="28" t="s">
        <v>319</v>
      </c>
      <c r="DQ103" s="28" t="s">
        <v>319</v>
      </c>
      <c r="DR103" s="28" t="s">
        <v>319</v>
      </c>
      <c r="DS103" s="28" t="s">
        <v>319</v>
      </c>
      <c r="DT103" s="28" t="s">
        <v>319</v>
      </c>
      <c r="DU103" s="28" t="s">
        <v>319</v>
      </c>
      <c r="DV103" s="28" t="s">
        <v>319</v>
      </c>
      <c r="DW103" s="28" t="s">
        <v>319</v>
      </c>
      <c r="DX103" s="28" t="s">
        <v>319</v>
      </c>
      <c r="DY103" s="28" t="s">
        <v>319</v>
      </c>
      <c r="DZ103" s="28" t="s">
        <v>319</v>
      </c>
      <c r="EA103" s="28" t="s">
        <v>319</v>
      </c>
      <c r="EB103" s="28" t="s">
        <v>319</v>
      </c>
      <c r="EC103" s="28" t="s">
        <v>319</v>
      </c>
      <c r="ED103" s="28" t="s">
        <v>319</v>
      </c>
      <c r="EE103" s="28"/>
      <c r="EF103" s="28" t="s">
        <v>319</v>
      </c>
      <c r="EG103" s="28" t="s">
        <v>319</v>
      </c>
      <c r="EH103" s="28" t="s">
        <v>319</v>
      </c>
      <c r="EI103" s="28" t="s">
        <v>319</v>
      </c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7"/>
      <c r="FK103" s="15" t="s">
        <v>1325</v>
      </c>
      <c r="FL103" s="6"/>
      <c r="FM103" s="94"/>
    </row>
    <row r="104" spans="1:169" s="3" customFormat="1" ht="34.799999999999997" x14ac:dyDescent="0.4">
      <c r="A104" s="93"/>
      <c r="B104" s="93"/>
      <c r="C104" s="26"/>
      <c r="D104" s="27" t="s">
        <v>319</v>
      </c>
      <c r="E104" s="2" t="s">
        <v>322</v>
      </c>
      <c r="F104" s="28" t="s">
        <v>319</v>
      </c>
      <c r="G104" s="28" t="s">
        <v>319</v>
      </c>
      <c r="H104" s="28" t="s">
        <v>319</v>
      </c>
      <c r="I104" s="6" t="s">
        <v>599</v>
      </c>
      <c r="J104" s="28" t="s">
        <v>319</v>
      </c>
      <c r="K104" s="28" t="s">
        <v>319</v>
      </c>
      <c r="L104" s="28" t="s">
        <v>319</v>
      </c>
      <c r="M104" s="28" t="s">
        <v>319</v>
      </c>
      <c r="N104" s="28" t="s">
        <v>319</v>
      </c>
      <c r="O104" s="28" t="s">
        <v>319</v>
      </c>
      <c r="P104" s="28" t="s">
        <v>319</v>
      </c>
      <c r="Q104" s="5" t="s">
        <v>673</v>
      </c>
      <c r="R104" s="5" t="s">
        <v>667</v>
      </c>
      <c r="S104" s="6" t="s">
        <v>664</v>
      </c>
      <c r="T104" s="5"/>
      <c r="U104" s="5">
        <v>314994</v>
      </c>
      <c r="V104" s="5"/>
      <c r="W104" s="6" t="s">
        <v>665</v>
      </c>
      <c r="X104" s="5"/>
      <c r="Y104" s="111">
        <v>46.11</v>
      </c>
      <c r="Z104" s="5"/>
      <c r="AA104" s="6" t="s">
        <v>955</v>
      </c>
      <c r="AB104" s="6"/>
      <c r="AC104" s="5">
        <v>36.72</v>
      </c>
      <c r="AD104" s="6"/>
      <c r="AE104" s="6" t="s">
        <v>960</v>
      </c>
      <c r="AF104" s="6"/>
      <c r="AG104" s="13">
        <v>81</v>
      </c>
      <c r="AH104" s="6"/>
      <c r="AI104" s="6" t="s">
        <v>957</v>
      </c>
      <c r="AJ104" s="112"/>
      <c r="AK104" s="5">
        <v>0.01</v>
      </c>
      <c r="AL104" s="6"/>
      <c r="AM104" s="6" t="s">
        <v>1254</v>
      </c>
      <c r="AN104" s="6"/>
      <c r="AO104" s="5"/>
      <c r="AP104" s="6"/>
      <c r="AQ104" s="28" t="s">
        <v>319</v>
      </c>
      <c r="AR104" s="28" t="s">
        <v>319</v>
      </c>
      <c r="AS104" s="28" t="s">
        <v>319</v>
      </c>
      <c r="AT104" s="28" t="s">
        <v>319</v>
      </c>
      <c r="AU104" s="28" t="s">
        <v>319</v>
      </c>
      <c r="AV104" s="28" t="s">
        <v>319</v>
      </c>
      <c r="AW104" s="28" t="s">
        <v>319</v>
      </c>
      <c r="AX104" s="28" t="s">
        <v>319</v>
      </c>
      <c r="AY104" s="28" t="s">
        <v>319</v>
      </c>
      <c r="AZ104" s="28" t="s">
        <v>319</v>
      </c>
      <c r="BA104" s="28" t="s">
        <v>319</v>
      </c>
      <c r="BB104" s="6" t="s">
        <v>984</v>
      </c>
      <c r="BC104" s="239" t="s">
        <v>1478</v>
      </c>
      <c r="BD104" s="106" t="s">
        <v>1335</v>
      </c>
      <c r="BE104" s="6" t="s">
        <v>1008</v>
      </c>
      <c r="BF104" s="6"/>
      <c r="BG104" s="12" t="s">
        <v>1380</v>
      </c>
      <c r="BH104" s="28" t="s">
        <v>319</v>
      </c>
      <c r="BI104" s="28" t="s">
        <v>319</v>
      </c>
      <c r="BJ104" s="28" t="s">
        <v>319</v>
      </c>
      <c r="BK104" s="28" t="s">
        <v>319</v>
      </c>
      <c r="BL104" s="28" t="s">
        <v>319</v>
      </c>
      <c r="BM104" s="28" t="s">
        <v>319</v>
      </c>
      <c r="BN104" s="28" t="s">
        <v>319</v>
      </c>
      <c r="BO104" s="28" t="s">
        <v>319</v>
      </c>
      <c r="BP104" s="28" t="s">
        <v>319</v>
      </c>
      <c r="BQ104" s="28" t="s">
        <v>319</v>
      </c>
      <c r="BR104" s="5"/>
      <c r="BS104" s="5"/>
      <c r="BT104" s="6"/>
      <c r="BU104" s="13">
        <v>23</v>
      </c>
      <c r="BV104" s="6" t="s">
        <v>1338</v>
      </c>
      <c r="BW104" s="5">
        <v>1.34</v>
      </c>
      <c r="BX104" s="6"/>
      <c r="BY104" s="6"/>
      <c r="BZ104" s="30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9"/>
      <c r="DB104" s="6"/>
      <c r="DC104" s="30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 t="s">
        <v>319</v>
      </c>
      <c r="DO104" s="28" t="s">
        <v>319</v>
      </c>
      <c r="DP104" s="28" t="s">
        <v>319</v>
      </c>
      <c r="DQ104" s="28" t="s">
        <v>319</v>
      </c>
      <c r="DR104" s="28" t="s">
        <v>319</v>
      </c>
      <c r="DS104" s="28" t="s">
        <v>319</v>
      </c>
      <c r="DT104" s="28" t="s">
        <v>319</v>
      </c>
      <c r="DU104" s="28" t="s">
        <v>319</v>
      </c>
      <c r="DV104" s="28" t="s">
        <v>319</v>
      </c>
      <c r="DW104" s="28" t="s">
        <v>319</v>
      </c>
      <c r="DX104" s="28" t="s">
        <v>319</v>
      </c>
      <c r="DY104" s="28" t="s">
        <v>319</v>
      </c>
      <c r="DZ104" s="28" t="s">
        <v>319</v>
      </c>
      <c r="EA104" s="28" t="s">
        <v>319</v>
      </c>
      <c r="EB104" s="28" t="s">
        <v>319</v>
      </c>
      <c r="EC104" s="28" t="s">
        <v>319</v>
      </c>
      <c r="ED104" s="28" t="s">
        <v>319</v>
      </c>
      <c r="EE104" s="28"/>
      <c r="EF104" s="28" t="s">
        <v>319</v>
      </c>
      <c r="EG104" s="28" t="s">
        <v>319</v>
      </c>
      <c r="EH104" s="28" t="s">
        <v>319</v>
      </c>
      <c r="EI104" s="28" t="s">
        <v>319</v>
      </c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7"/>
      <c r="FK104" s="15" t="s">
        <v>1325</v>
      </c>
      <c r="FL104" s="6"/>
      <c r="FM104" s="94"/>
    </row>
    <row r="105" spans="1:169" s="3" customFormat="1" ht="34.799999999999997" x14ac:dyDescent="0.4">
      <c r="A105" s="93"/>
      <c r="B105" s="93"/>
      <c r="C105" s="26"/>
      <c r="D105" s="27" t="s">
        <v>319</v>
      </c>
      <c r="E105" s="2" t="s">
        <v>322</v>
      </c>
      <c r="F105" s="28" t="s">
        <v>319</v>
      </c>
      <c r="G105" s="28" t="s">
        <v>319</v>
      </c>
      <c r="H105" s="28" t="s">
        <v>319</v>
      </c>
      <c r="I105" s="6" t="s">
        <v>599</v>
      </c>
      <c r="J105" s="28" t="s">
        <v>319</v>
      </c>
      <c r="K105" s="28" t="s">
        <v>319</v>
      </c>
      <c r="L105" s="28" t="s">
        <v>319</v>
      </c>
      <c r="M105" s="28" t="s">
        <v>319</v>
      </c>
      <c r="N105" s="28" t="s">
        <v>319</v>
      </c>
      <c r="O105" s="28" t="s">
        <v>319</v>
      </c>
      <c r="P105" s="28" t="s">
        <v>319</v>
      </c>
      <c r="Q105" s="5" t="s">
        <v>673</v>
      </c>
      <c r="R105" s="5" t="s">
        <v>667</v>
      </c>
      <c r="S105" s="6" t="s">
        <v>664</v>
      </c>
      <c r="T105" s="5"/>
      <c r="U105" s="5">
        <v>313667</v>
      </c>
      <c r="V105" s="5"/>
      <c r="W105" s="6" t="s">
        <v>665</v>
      </c>
      <c r="X105" s="5"/>
      <c r="Y105" s="111">
        <v>46.1</v>
      </c>
      <c r="Z105" s="5"/>
      <c r="AA105" s="6" t="s">
        <v>955</v>
      </c>
      <c r="AB105" s="6"/>
      <c r="AC105" s="5">
        <v>36.770000000000003</v>
      </c>
      <c r="AD105" s="6"/>
      <c r="AE105" s="6" t="s">
        <v>960</v>
      </c>
      <c r="AF105" s="6"/>
      <c r="AG105" s="13">
        <v>83.6</v>
      </c>
      <c r="AH105" s="6"/>
      <c r="AI105" s="6" t="s">
        <v>957</v>
      </c>
      <c r="AJ105" s="112"/>
      <c r="AK105" s="5">
        <v>0.01</v>
      </c>
      <c r="AL105" s="6"/>
      <c r="AM105" s="6" t="s">
        <v>1254</v>
      </c>
      <c r="AN105" s="6"/>
      <c r="AO105" s="5"/>
      <c r="AP105" s="6"/>
      <c r="AQ105" s="28" t="s">
        <v>319</v>
      </c>
      <c r="AR105" s="28" t="s">
        <v>319</v>
      </c>
      <c r="AS105" s="28" t="s">
        <v>319</v>
      </c>
      <c r="AT105" s="28" t="s">
        <v>319</v>
      </c>
      <c r="AU105" s="28" t="s">
        <v>319</v>
      </c>
      <c r="AV105" s="28" t="s">
        <v>319</v>
      </c>
      <c r="AW105" s="28" t="s">
        <v>319</v>
      </c>
      <c r="AX105" s="28" t="s">
        <v>319</v>
      </c>
      <c r="AY105" s="28" t="s">
        <v>319</v>
      </c>
      <c r="AZ105" s="28" t="s">
        <v>319</v>
      </c>
      <c r="BA105" s="28" t="s">
        <v>319</v>
      </c>
      <c r="BB105" s="6" t="s">
        <v>984</v>
      </c>
      <c r="BC105" s="239" t="s">
        <v>1478</v>
      </c>
      <c r="BD105" s="106" t="s">
        <v>1335</v>
      </c>
      <c r="BE105" s="6" t="s">
        <v>1008</v>
      </c>
      <c r="BF105" s="6"/>
      <c r="BG105" s="12" t="s">
        <v>1381</v>
      </c>
      <c r="BH105" s="28" t="s">
        <v>319</v>
      </c>
      <c r="BI105" s="28" t="s">
        <v>319</v>
      </c>
      <c r="BJ105" s="28" t="s">
        <v>319</v>
      </c>
      <c r="BK105" s="28" t="s">
        <v>319</v>
      </c>
      <c r="BL105" s="28" t="s">
        <v>319</v>
      </c>
      <c r="BM105" s="28" t="s">
        <v>319</v>
      </c>
      <c r="BN105" s="28" t="s">
        <v>319</v>
      </c>
      <c r="BO105" s="28" t="s">
        <v>319</v>
      </c>
      <c r="BP105" s="28" t="s">
        <v>319</v>
      </c>
      <c r="BQ105" s="28" t="s">
        <v>319</v>
      </c>
      <c r="BR105" s="5"/>
      <c r="BS105" s="5"/>
      <c r="BT105" s="6"/>
      <c r="BU105" s="13">
        <v>23</v>
      </c>
      <c r="BV105" s="6" t="s">
        <v>1339</v>
      </c>
      <c r="BW105" s="5">
        <v>1.33</v>
      </c>
      <c r="BX105" s="6"/>
      <c r="BY105" s="6"/>
      <c r="BZ105" s="30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9"/>
      <c r="DB105" s="6"/>
      <c r="DC105" s="30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 t="s">
        <v>319</v>
      </c>
      <c r="DO105" s="28" t="s">
        <v>319</v>
      </c>
      <c r="DP105" s="28" t="s">
        <v>319</v>
      </c>
      <c r="DQ105" s="28" t="s">
        <v>319</v>
      </c>
      <c r="DR105" s="28" t="s">
        <v>319</v>
      </c>
      <c r="DS105" s="28" t="s">
        <v>319</v>
      </c>
      <c r="DT105" s="28" t="s">
        <v>319</v>
      </c>
      <c r="DU105" s="28" t="s">
        <v>319</v>
      </c>
      <c r="DV105" s="28" t="s">
        <v>319</v>
      </c>
      <c r="DW105" s="28" t="s">
        <v>319</v>
      </c>
      <c r="DX105" s="28" t="s">
        <v>319</v>
      </c>
      <c r="DY105" s="28" t="s">
        <v>319</v>
      </c>
      <c r="DZ105" s="28" t="s">
        <v>319</v>
      </c>
      <c r="EA105" s="28" t="s">
        <v>319</v>
      </c>
      <c r="EB105" s="28" t="s">
        <v>319</v>
      </c>
      <c r="EC105" s="28" t="s">
        <v>319</v>
      </c>
      <c r="ED105" s="28" t="s">
        <v>319</v>
      </c>
      <c r="EE105" s="28"/>
      <c r="EF105" s="28" t="s">
        <v>319</v>
      </c>
      <c r="EG105" s="28" t="s">
        <v>319</v>
      </c>
      <c r="EH105" s="28" t="s">
        <v>319</v>
      </c>
      <c r="EI105" s="28" t="s">
        <v>319</v>
      </c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7"/>
      <c r="FK105" s="15" t="s">
        <v>1325</v>
      </c>
      <c r="FL105" s="6"/>
      <c r="FM105" s="94"/>
    </row>
    <row r="106" spans="1:169" s="3" customFormat="1" ht="34.799999999999997" x14ac:dyDescent="0.4">
      <c r="A106" s="93"/>
      <c r="B106" s="93"/>
      <c r="C106" s="26"/>
      <c r="D106" s="27" t="s">
        <v>319</v>
      </c>
      <c r="E106" s="2" t="s">
        <v>322</v>
      </c>
      <c r="F106" s="28" t="s">
        <v>319</v>
      </c>
      <c r="G106" s="28" t="s">
        <v>319</v>
      </c>
      <c r="H106" s="28" t="s">
        <v>319</v>
      </c>
      <c r="I106" s="6" t="s">
        <v>599</v>
      </c>
      <c r="J106" s="28" t="s">
        <v>319</v>
      </c>
      <c r="K106" s="28" t="s">
        <v>319</v>
      </c>
      <c r="L106" s="28" t="s">
        <v>319</v>
      </c>
      <c r="M106" s="28" t="s">
        <v>319</v>
      </c>
      <c r="N106" s="28" t="s">
        <v>319</v>
      </c>
      <c r="O106" s="28" t="s">
        <v>319</v>
      </c>
      <c r="P106" s="28" t="s">
        <v>319</v>
      </c>
      <c r="Q106" s="5" t="s">
        <v>673</v>
      </c>
      <c r="R106" s="5" t="s">
        <v>667</v>
      </c>
      <c r="S106" s="6" t="s">
        <v>664</v>
      </c>
      <c r="T106" s="5"/>
      <c r="U106" s="5">
        <v>1053184</v>
      </c>
      <c r="V106" s="5"/>
      <c r="W106" s="6" t="s">
        <v>665</v>
      </c>
      <c r="X106" s="5"/>
      <c r="Y106" s="111">
        <v>43.45</v>
      </c>
      <c r="Z106" s="5"/>
      <c r="AA106" s="6" t="s">
        <v>955</v>
      </c>
      <c r="AB106" s="6"/>
      <c r="AC106" s="5">
        <v>30.64</v>
      </c>
      <c r="AD106" s="6"/>
      <c r="AE106" s="6" t="s">
        <v>960</v>
      </c>
      <c r="AF106" s="6"/>
      <c r="AG106" s="13">
        <v>138</v>
      </c>
      <c r="AH106" s="6"/>
      <c r="AI106" s="6" t="s">
        <v>957</v>
      </c>
      <c r="AJ106" s="112"/>
      <c r="AK106" s="5">
        <v>0.01</v>
      </c>
      <c r="AL106" s="6"/>
      <c r="AM106" s="6" t="s">
        <v>1254</v>
      </c>
      <c r="AN106" s="6"/>
      <c r="AO106" s="5"/>
      <c r="AP106" s="6"/>
      <c r="AQ106" s="28" t="s">
        <v>319</v>
      </c>
      <c r="AR106" s="28" t="s">
        <v>319</v>
      </c>
      <c r="AS106" s="28" t="s">
        <v>319</v>
      </c>
      <c r="AT106" s="28" t="s">
        <v>319</v>
      </c>
      <c r="AU106" s="28" t="s">
        <v>319</v>
      </c>
      <c r="AV106" s="28" t="s">
        <v>319</v>
      </c>
      <c r="AW106" s="28" t="s">
        <v>319</v>
      </c>
      <c r="AX106" s="28" t="s">
        <v>319</v>
      </c>
      <c r="AY106" s="28" t="s">
        <v>319</v>
      </c>
      <c r="AZ106" s="28" t="s">
        <v>319</v>
      </c>
      <c r="BA106" s="28" t="s">
        <v>319</v>
      </c>
      <c r="BB106" s="6" t="s">
        <v>984</v>
      </c>
      <c r="BC106" s="239" t="s">
        <v>1478</v>
      </c>
      <c r="BD106" s="106" t="s">
        <v>1335</v>
      </c>
      <c r="BE106" s="6" t="s">
        <v>1008</v>
      </c>
      <c r="BF106" s="6"/>
      <c r="BG106" s="12" t="s">
        <v>1381</v>
      </c>
      <c r="BH106" s="28" t="s">
        <v>319</v>
      </c>
      <c r="BI106" s="28" t="s">
        <v>319</v>
      </c>
      <c r="BJ106" s="28" t="s">
        <v>319</v>
      </c>
      <c r="BK106" s="28" t="s">
        <v>319</v>
      </c>
      <c r="BL106" s="28" t="s">
        <v>319</v>
      </c>
      <c r="BM106" s="28" t="s">
        <v>319</v>
      </c>
      <c r="BN106" s="28" t="s">
        <v>319</v>
      </c>
      <c r="BO106" s="28" t="s">
        <v>319</v>
      </c>
      <c r="BP106" s="28" t="s">
        <v>319</v>
      </c>
      <c r="BQ106" s="28" t="s">
        <v>319</v>
      </c>
      <c r="BR106" s="5"/>
      <c r="BS106" s="5"/>
      <c r="BT106" s="6"/>
      <c r="BU106" s="13">
        <v>43.8</v>
      </c>
      <c r="BV106" s="6" t="s">
        <v>1340</v>
      </c>
      <c r="BW106" s="5">
        <v>1.52</v>
      </c>
      <c r="BX106" s="6"/>
      <c r="BY106" s="6"/>
      <c r="BZ106" s="30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9"/>
      <c r="DB106" s="6"/>
      <c r="DC106" s="30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 t="s">
        <v>319</v>
      </c>
      <c r="DO106" s="28" t="s">
        <v>319</v>
      </c>
      <c r="DP106" s="28" t="s">
        <v>319</v>
      </c>
      <c r="DQ106" s="28" t="s">
        <v>319</v>
      </c>
      <c r="DR106" s="28" t="s">
        <v>319</v>
      </c>
      <c r="DS106" s="28" t="s">
        <v>319</v>
      </c>
      <c r="DT106" s="28" t="s">
        <v>319</v>
      </c>
      <c r="DU106" s="28" t="s">
        <v>319</v>
      </c>
      <c r="DV106" s="28" t="s">
        <v>319</v>
      </c>
      <c r="DW106" s="28" t="s">
        <v>319</v>
      </c>
      <c r="DX106" s="28" t="s">
        <v>319</v>
      </c>
      <c r="DY106" s="28" t="s">
        <v>319</v>
      </c>
      <c r="DZ106" s="28" t="s">
        <v>319</v>
      </c>
      <c r="EA106" s="28" t="s">
        <v>319</v>
      </c>
      <c r="EB106" s="28" t="s">
        <v>319</v>
      </c>
      <c r="EC106" s="28" t="s">
        <v>319</v>
      </c>
      <c r="ED106" s="28" t="s">
        <v>319</v>
      </c>
      <c r="EE106" s="28"/>
      <c r="EF106" s="28" t="s">
        <v>319</v>
      </c>
      <c r="EG106" s="28" t="s">
        <v>319</v>
      </c>
      <c r="EH106" s="28" t="s">
        <v>319</v>
      </c>
      <c r="EI106" s="28" t="s">
        <v>319</v>
      </c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7"/>
      <c r="FK106" s="15" t="s">
        <v>1325</v>
      </c>
      <c r="FL106" s="6"/>
      <c r="FM106" s="94"/>
    </row>
    <row r="107" spans="1:169" s="3" customFormat="1" ht="34.799999999999997" x14ac:dyDescent="0.4">
      <c r="A107" s="93"/>
      <c r="B107" s="93"/>
      <c r="C107" s="26"/>
      <c r="D107" s="27" t="s">
        <v>319</v>
      </c>
      <c r="E107" s="2" t="s">
        <v>322</v>
      </c>
      <c r="F107" s="28" t="s">
        <v>319</v>
      </c>
      <c r="G107" s="28" t="s">
        <v>319</v>
      </c>
      <c r="H107" s="28" t="s">
        <v>319</v>
      </c>
      <c r="I107" s="6" t="s">
        <v>599</v>
      </c>
      <c r="J107" s="28" t="s">
        <v>319</v>
      </c>
      <c r="K107" s="28" t="s">
        <v>319</v>
      </c>
      <c r="L107" s="28" t="s">
        <v>319</v>
      </c>
      <c r="M107" s="28" t="s">
        <v>319</v>
      </c>
      <c r="N107" s="28" t="s">
        <v>319</v>
      </c>
      <c r="O107" s="28" t="s">
        <v>319</v>
      </c>
      <c r="P107" s="28" t="s">
        <v>319</v>
      </c>
      <c r="Q107" s="5" t="s">
        <v>673</v>
      </c>
      <c r="R107" s="5" t="s">
        <v>667</v>
      </c>
      <c r="S107" s="6" t="s">
        <v>664</v>
      </c>
      <c r="T107" s="5"/>
      <c r="U107" s="5">
        <v>470681</v>
      </c>
      <c r="V107" s="5"/>
      <c r="W107" s="6" t="s">
        <v>665</v>
      </c>
      <c r="X107" s="5"/>
      <c r="Y107" s="111">
        <v>44.8</v>
      </c>
      <c r="Z107" s="5"/>
      <c r="AA107" s="6" t="s">
        <v>955</v>
      </c>
      <c r="AB107" s="6"/>
      <c r="AC107" s="5">
        <v>34.46</v>
      </c>
      <c r="AD107" s="6"/>
      <c r="AE107" s="6" t="s">
        <v>960</v>
      </c>
      <c r="AF107" s="6"/>
      <c r="AG107" s="13">
        <v>83.8</v>
      </c>
      <c r="AH107" s="6"/>
      <c r="AI107" s="6" t="s">
        <v>957</v>
      </c>
      <c r="AJ107" s="112"/>
      <c r="AK107" s="5">
        <v>0.01</v>
      </c>
      <c r="AL107" s="6"/>
      <c r="AM107" s="6" t="s">
        <v>1254</v>
      </c>
      <c r="AN107" s="6"/>
      <c r="AO107" s="5"/>
      <c r="AP107" s="6"/>
      <c r="AQ107" s="28" t="s">
        <v>319</v>
      </c>
      <c r="AR107" s="28" t="s">
        <v>319</v>
      </c>
      <c r="AS107" s="28" t="s">
        <v>319</v>
      </c>
      <c r="AT107" s="28" t="s">
        <v>319</v>
      </c>
      <c r="AU107" s="28" t="s">
        <v>319</v>
      </c>
      <c r="AV107" s="28" t="s">
        <v>319</v>
      </c>
      <c r="AW107" s="28" t="s">
        <v>319</v>
      </c>
      <c r="AX107" s="28" t="s">
        <v>319</v>
      </c>
      <c r="AY107" s="28" t="s">
        <v>319</v>
      </c>
      <c r="AZ107" s="28" t="s">
        <v>319</v>
      </c>
      <c r="BA107" s="28" t="s">
        <v>319</v>
      </c>
      <c r="BB107" s="6" t="s">
        <v>984</v>
      </c>
      <c r="BC107" s="239" t="s">
        <v>1478</v>
      </c>
      <c r="BD107" s="106" t="s">
        <v>1335</v>
      </c>
      <c r="BE107" s="6" t="s">
        <v>1008</v>
      </c>
      <c r="BF107" s="6"/>
      <c r="BG107" s="12" t="s">
        <v>1382</v>
      </c>
      <c r="BH107" s="28" t="s">
        <v>319</v>
      </c>
      <c r="BI107" s="28" t="s">
        <v>319</v>
      </c>
      <c r="BJ107" s="28" t="s">
        <v>319</v>
      </c>
      <c r="BK107" s="28" t="s">
        <v>319</v>
      </c>
      <c r="BL107" s="28" t="s">
        <v>319</v>
      </c>
      <c r="BM107" s="28" t="s">
        <v>319</v>
      </c>
      <c r="BN107" s="28" t="s">
        <v>319</v>
      </c>
      <c r="BO107" s="28" t="s">
        <v>319</v>
      </c>
      <c r="BP107" s="28" t="s">
        <v>319</v>
      </c>
      <c r="BQ107" s="28" t="s">
        <v>319</v>
      </c>
      <c r="BR107" s="5"/>
      <c r="BS107" s="5"/>
      <c r="BT107" s="6"/>
      <c r="BU107" s="13">
        <v>23</v>
      </c>
      <c r="BV107" s="6" t="s">
        <v>1030</v>
      </c>
      <c r="BW107" s="5">
        <v>1.33</v>
      </c>
      <c r="BX107" s="6"/>
      <c r="BY107" s="6"/>
      <c r="BZ107" s="30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9"/>
      <c r="DB107" s="6"/>
      <c r="DC107" s="30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 t="s">
        <v>319</v>
      </c>
      <c r="DO107" s="28" t="s">
        <v>319</v>
      </c>
      <c r="DP107" s="28" t="s">
        <v>319</v>
      </c>
      <c r="DQ107" s="28" t="s">
        <v>319</v>
      </c>
      <c r="DR107" s="28" t="s">
        <v>319</v>
      </c>
      <c r="DS107" s="28" t="s">
        <v>319</v>
      </c>
      <c r="DT107" s="28" t="s">
        <v>319</v>
      </c>
      <c r="DU107" s="28" t="s">
        <v>319</v>
      </c>
      <c r="DV107" s="28" t="s">
        <v>319</v>
      </c>
      <c r="DW107" s="28" t="s">
        <v>319</v>
      </c>
      <c r="DX107" s="28" t="s">
        <v>319</v>
      </c>
      <c r="DY107" s="28" t="s">
        <v>319</v>
      </c>
      <c r="DZ107" s="28" t="s">
        <v>319</v>
      </c>
      <c r="EA107" s="28" t="s">
        <v>319</v>
      </c>
      <c r="EB107" s="28" t="s">
        <v>319</v>
      </c>
      <c r="EC107" s="28" t="s">
        <v>319</v>
      </c>
      <c r="ED107" s="28" t="s">
        <v>319</v>
      </c>
      <c r="EE107" s="28"/>
      <c r="EF107" s="28" t="s">
        <v>319</v>
      </c>
      <c r="EG107" s="28" t="s">
        <v>319</v>
      </c>
      <c r="EH107" s="28" t="s">
        <v>319</v>
      </c>
      <c r="EI107" s="28" t="s">
        <v>319</v>
      </c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7"/>
      <c r="FK107" s="15" t="s">
        <v>1325</v>
      </c>
      <c r="FL107" s="6"/>
      <c r="FM107" s="94"/>
    </row>
    <row r="108" spans="1:169" s="3" customFormat="1" ht="34.799999999999997" x14ac:dyDescent="0.4">
      <c r="A108" s="93"/>
      <c r="B108" s="93"/>
      <c r="C108" s="26"/>
      <c r="D108" s="27" t="s">
        <v>319</v>
      </c>
      <c r="E108" s="2" t="s">
        <v>322</v>
      </c>
      <c r="F108" s="28" t="s">
        <v>319</v>
      </c>
      <c r="G108" s="28" t="s">
        <v>319</v>
      </c>
      <c r="H108" s="28" t="s">
        <v>319</v>
      </c>
      <c r="I108" s="6" t="s">
        <v>599</v>
      </c>
      <c r="J108" s="28" t="s">
        <v>319</v>
      </c>
      <c r="K108" s="28" t="s">
        <v>319</v>
      </c>
      <c r="L108" s="28" t="s">
        <v>319</v>
      </c>
      <c r="M108" s="28" t="s">
        <v>319</v>
      </c>
      <c r="N108" s="28" t="s">
        <v>319</v>
      </c>
      <c r="O108" s="28" t="s">
        <v>319</v>
      </c>
      <c r="P108" s="28" t="s">
        <v>319</v>
      </c>
      <c r="Q108" s="5" t="s">
        <v>673</v>
      </c>
      <c r="R108" s="5" t="s">
        <v>667</v>
      </c>
      <c r="S108" s="6" t="s">
        <v>664</v>
      </c>
      <c r="T108" s="5"/>
      <c r="U108" s="5">
        <v>472491</v>
      </c>
      <c r="V108" s="5"/>
      <c r="W108" s="6" t="s">
        <v>665</v>
      </c>
      <c r="X108" s="5"/>
      <c r="Y108" s="111">
        <v>44.81</v>
      </c>
      <c r="Z108" s="5"/>
      <c r="AA108" s="6" t="s">
        <v>955</v>
      </c>
      <c r="AB108" s="6"/>
      <c r="AC108" s="5">
        <v>34.4</v>
      </c>
      <c r="AD108" s="6"/>
      <c r="AE108" s="6" t="s">
        <v>960</v>
      </c>
      <c r="AF108" s="6"/>
      <c r="AG108" s="13">
        <v>81</v>
      </c>
      <c r="AH108" s="6"/>
      <c r="AI108" s="6" t="s">
        <v>957</v>
      </c>
      <c r="AJ108" s="112"/>
      <c r="AK108" s="5">
        <v>0.01</v>
      </c>
      <c r="AL108" s="6"/>
      <c r="AM108" s="6" t="s">
        <v>1254</v>
      </c>
      <c r="AN108" s="6"/>
      <c r="AO108" s="5"/>
      <c r="AP108" s="6"/>
      <c r="AQ108" s="28" t="s">
        <v>319</v>
      </c>
      <c r="AR108" s="28" t="s">
        <v>319</v>
      </c>
      <c r="AS108" s="28" t="s">
        <v>319</v>
      </c>
      <c r="AT108" s="28" t="s">
        <v>319</v>
      </c>
      <c r="AU108" s="28" t="s">
        <v>319</v>
      </c>
      <c r="AV108" s="28" t="s">
        <v>319</v>
      </c>
      <c r="AW108" s="28" t="s">
        <v>319</v>
      </c>
      <c r="AX108" s="28" t="s">
        <v>319</v>
      </c>
      <c r="AY108" s="28" t="s">
        <v>319</v>
      </c>
      <c r="AZ108" s="28" t="s">
        <v>319</v>
      </c>
      <c r="BA108" s="28" t="s">
        <v>319</v>
      </c>
      <c r="BB108" s="6" t="s">
        <v>984</v>
      </c>
      <c r="BC108" s="239" t="s">
        <v>1478</v>
      </c>
      <c r="BD108" s="106" t="s">
        <v>1335</v>
      </c>
      <c r="BE108" s="6" t="s">
        <v>1008</v>
      </c>
      <c r="BF108" s="6"/>
      <c r="BG108" s="12" t="s">
        <v>1380</v>
      </c>
      <c r="BH108" s="28" t="s">
        <v>319</v>
      </c>
      <c r="BI108" s="28" t="s">
        <v>319</v>
      </c>
      <c r="BJ108" s="28" t="s">
        <v>319</v>
      </c>
      <c r="BK108" s="28" t="s">
        <v>319</v>
      </c>
      <c r="BL108" s="28" t="s">
        <v>319</v>
      </c>
      <c r="BM108" s="28" t="s">
        <v>319</v>
      </c>
      <c r="BN108" s="28" t="s">
        <v>319</v>
      </c>
      <c r="BO108" s="28" t="s">
        <v>319</v>
      </c>
      <c r="BP108" s="28" t="s">
        <v>319</v>
      </c>
      <c r="BQ108" s="28" t="s">
        <v>319</v>
      </c>
      <c r="BR108" s="5"/>
      <c r="BS108" s="5"/>
      <c r="BT108" s="6"/>
      <c r="BU108" s="13">
        <v>23</v>
      </c>
      <c r="BV108" s="6" t="s">
        <v>1338</v>
      </c>
      <c r="BW108" s="5">
        <v>1.34</v>
      </c>
      <c r="BX108" s="6"/>
      <c r="BY108" s="6"/>
      <c r="BZ108" s="30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9"/>
      <c r="DB108" s="6"/>
      <c r="DC108" s="30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 t="s">
        <v>319</v>
      </c>
      <c r="DO108" s="28" t="s">
        <v>319</v>
      </c>
      <c r="DP108" s="28" t="s">
        <v>319</v>
      </c>
      <c r="DQ108" s="28" t="s">
        <v>319</v>
      </c>
      <c r="DR108" s="28" t="s">
        <v>319</v>
      </c>
      <c r="DS108" s="28" t="s">
        <v>319</v>
      </c>
      <c r="DT108" s="28" t="s">
        <v>319</v>
      </c>
      <c r="DU108" s="28" t="s">
        <v>319</v>
      </c>
      <c r="DV108" s="28" t="s">
        <v>319</v>
      </c>
      <c r="DW108" s="28" t="s">
        <v>319</v>
      </c>
      <c r="DX108" s="28" t="s">
        <v>319</v>
      </c>
      <c r="DY108" s="28" t="s">
        <v>319</v>
      </c>
      <c r="DZ108" s="28" t="s">
        <v>319</v>
      </c>
      <c r="EA108" s="28" t="s">
        <v>319</v>
      </c>
      <c r="EB108" s="28" t="s">
        <v>319</v>
      </c>
      <c r="EC108" s="28" t="s">
        <v>319</v>
      </c>
      <c r="ED108" s="28" t="s">
        <v>319</v>
      </c>
      <c r="EE108" s="28"/>
      <c r="EF108" s="28" t="s">
        <v>319</v>
      </c>
      <c r="EG108" s="28" t="s">
        <v>319</v>
      </c>
      <c r="EH108" s="28" t="s">
        <v>319</v>
      </c>
      <c r="EI108" s="28" t="s">
        <v>319</v>
      </c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7"/>
      <c r="FK108" s="15" t="s">
        <v>1325</v>
      </c>
      <c r="FL108" s="6"/>
      <c r="FM108" s="94"/>
    </row>
    <row r="109" spans="1:169" s="3" customFormat="1" ht="34.799999999999997" x14ac:dyDescent="0.4">
      <c r="A109" s="93"/>
      <c r="B109" s="93"/>
      <c r="C109" s="26"/>
      <c r="D109" s="27" t="s">
        <v>319</v>
      </c>
      <c r="E109" s="2" t="s">
        <v>322</v>
      </c>
      <c r="F109" s="28" t="s">
        <v>319</v>
      </c>
      <c r="G109" s="28" t="s">
        <v>319</v>
      </c>
      <c r="H109" s="28" t="s">
        <v>319</v>
      </c>
      <c r="I109" s="6" t="s">
        <v>599</v>
      </c>
      <c r="J109" s="28" t="s">
        <v>319</v>
      </c>
      <c r="K109" s="28" t="s">
        <v>319</v>
      </c>
      <c r="L109" s="28" t="s">
        <v>319</v>
      </c>
      <c r="M109" s="28" t="s">
        <v>319</v>
      </c>
      <c r="N109" s="28" t="s">
        <v>319</v>
      </c>
      <c r="O109" s="28" t="s">
        <v>319</v>
      </c>
      <c r="P109" s="28" t="s">
        <v>319</v>
      </c>
      <c r="Q109" s="5" t="s">
        <v>673</v>
      </c>
      <c r="R109" s="5" t="s">
        <v>667</v>
      </c>
      <c r="S109" s="6" t="s">
        <v>664</v>
      </c>
      <c r="T109" s="5"/>
      <c r="U109" s="5">
        <v>470500</v>
      </c>
      <c r="V109" s="5"/>
      <c r="W109" s="6" t="s">
        <v>665</v>
      </c>
      <c r="X109" s="5"/>
      <c r="Y109" s="111">
        <v>44.8</v>
      </c>
      <c r="Z109" s="5"/>
      <c r="AA109" s="6" t="s">
        <v>955</v>
      </c>
      <c r="AB109" s="6"/>
      <c r="AC109" s="5">
        <v>34.46</v>
      </c>
      <c r="AD109" s="6"/>
      <c r="AE109" s="6" t="s">
        <v>960</v>
      </c>
      <c r="AF109" s="6"/>
      <c r="AG109" s="13">
        <v>83.6</v>
      </c>
      <c r="AH109" s="6"/>
      <c r="AI109" s="6" t="s">
        <v>957</v>
      </c>
      <c r="AJ109" s="112"/>
      <c r="AK109" s="5">
        <v>0.01</v>
      </c>
      <c r="AL109" s="6"/>
      <c r="AM109" s="6" t="s">
        <v>1254</v>
      </c>
      <c r="AN109" s="6"/>
      <c r="AO109" s="5"/>
      <c r="AP109" s="6"/>
      <c r="AQ109" s="28" t="s">
        <v>319</v>
      </c>
      <c r="AR109" s="28" t="s">
        <v>319</v>
      </c>
      <c r="AS109" s="28" t="s">
        <v>319</v>
      </c>
      <c r="AT109" s="28" t="s">
        <v>319</v>
      </c>
      <c r="AU109" s="28" t="s">
        <v>319</v>
      </c>
      <c r="AV109" s="28" t="s">
        <v>319</v>
      </c>
      <c r="AW109" s="28" t="s">
        <v>319</v>
      </c>
      <c r="AX109" s="28" t="s">
        <v>319</v>
      </c>
      <c r="AY109" s="28" t="s">
        <v>319</v>
      </c>
      <c r="AZ109" s="28" t="s">
        <v>319</v>
      </c>
      <c r="BA109" s="28" t="s">
        <v>319</v>
      </c>
      <c r="BB109" s="6" t="s">
        <v>984</v>
      </c>
      <c r="BC109" s="239" t="s">
        <v>1478</v>
      </c>
      <c r="BD109" s="106" t="s">
        <v>1335</v>
      </c>
      <c r="BE109" s="6" t="s">
        <v>1008</v>
      </c>
      <c r="BF109" s="6"/>
      <c r="BG109" s="12" t="s">
        <v>1380</v>
      </c>
      <c r="BH109" s="28" t="s">
        <v>319</v>
      </c>
      <c r="BI109" s="28" t="s">
        <v>319</v>
      </c>
      <c r="BJ109" s="28" t="s">
        <v>319</v>
      </c>
      <c r="BK109" s="28" t="s">
        <v>319</v>
      </c>
      <c r="BL109" s="28" t="s">
        <v>319</v>
      </c>
      <c r="BM109" s="28" t="s">
        <v>319</v>
      </c>
      <c r="BN109" s="28" t="s">
        <v>319</v>
      </c>
      <c r="BO109" s="28" t="s">
        <v>319</v>
      </c>
      <c r="BP109" s="28" t="s">
        <v>319</v>
      </c>
      <c r="BQ109" s="28" t="s">
        <v>319</v>
      </c>
      <c r="BR109" s="5"/>
      <c r="BS109" s="5"/>
      <c r="BT109" s="6"/>
      <c r="BU109" s="13">
        <v>23</v>
      </c>
      <c r="BV109" s="6" t="s">
        <v>1030</v>
      </c>
      <c r="BW109" s="5">
        <v>1.33</v>
      </c>
      <c r="BX109" s="6"/>
      <c r="BY109" s="6"/>
      <c r="BZ109" s="30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9"/>
      <c r="DB109" s="6"/>
      <c r="DC109" s="30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 t="s">
        <v>319</v>
      </c>
      <c r="DO109" s="28" t="s">
        <v>319</v>
      </c>
      <c r="DP109" s="28" t="s">
        <v>319</v>
      </c>
      <c r="DQ109" s="28" t="s">
        <v>319</v>
      </c>
      <c r="DR109" s="28" t="s">
        <v>319</v>
      </c>
      <c r="DS109" s="28" t="s">
        <v>319</v>
      </c>
      <c r="DT109" s="28" t="s">
        <v>319</v>
      </c>
      <c r="DU109" s="28" t="s">
        <v>319</v>
      </c>
      <c r="DV109" s="28" t="s">
        <v>319</v>
      </c>
      <c r="DW109" s="28" t="s">
        <v>319</v>
      </c>
      <c r="DX109" s="28" t="s">
        <v>319</v>
      </c>
      <c r="DY109" s="28" t="s">
        <v>319</v>
      </c>
      <c r="DZ109" s="28" t="s">
        <v>319</v>
      </c>
      <c r="EA109" s="28" t="s">
        <v>319</v>
      </c>
      <c r="EB109" s="28" t="s">
        <v>319</v>
      </c>
      <c r="EC109" s="28" t="s">
        <v>319</v>
      </c>
      <c r="ED109" s="28" t="s">
        <v>319</v>
      </c>
      <c r="EE109" s="28"/>
      <c r="EF109" s="28" t="s">
        <v>319</v>
      </c>
      <c r="EG109" s="28" t="s">
        <v>319</v>
      </c>
      <c r="EH109" s="28" t="s">
        <v>319</v>
      </c>
      <c r="EI109" s="28" t="s">
        <v>319</v>
      </c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7"/>
      <c r="FK109" s="15" t="s">
        <v>1325</v>
      </c>
      <c r="FL109" s="6"/>
      <c r="FM109" s="94"/>
    </row>
    <row r="110" spans="1:169" s="3" customFormat="1" ht="16.5" customHeight="1" x14ac:dyDescent="0.4">
      <c r="A110" s="93"/>
      <c r="B110" s="93"/>
      <c r="C110" s="26"/>
      <c r="D110" s="27" t="s">
        <v>319</v>
      </c>
      <c r="E110" s="2" t="s">
        <v>454</v>
      </c>
      <c r="F110" s="28" t="s">
        <v>319</v>
      </c>
      <c r="G110" s="28" t="s">
        <v>319</v>
      </c>
      <c r="H110" s="28" t="s">
        <v>319</v>
      </c>
      <c r="I110" s="6" t="s">
        <v>599</v>
      </c>
      <c r="J110" s="28" t="s">
        <v>319</v>
      </c>
      <c r="K110" s="28" t="s">
        <v>319</v>
      </c>
      <c r="L110" s="28" t="s">
        <v>319</v>
      </c>
      <c r="M110" s="28" t="s">
        <v>319</v>
      </c>
      <c r="N110" s="28" t="s">
        <v>319</v>
      </c>
      <c r="O110" s="28" t="s">
        <v>319</v>
      </c>
      <c r="P110" s="28" t="s">
        <v>319</v>
      </c>
      <c r="Q110" s="5" t="s">
        <v>721</v>
      </c>
      <c r="R110" s="5" t="s">
        <v>663</v>
      </c>
      <c r="S110" s="6" t="s">
        <v>669</v>
      </c>
      <c r="T110" s="106">
        <v>35410</v>
      </c>
      <c r="U110" s="106">
        <v>75055</v>
      </c>
      <c r="V110" s="106">
        <v>82561</v>
      </c>
      <c r="W110" s="6" t="s">
        <v>665</v>
      </c>
      <c r="X110" s="105">
        <v>5.95</v>
      </c>
      <c r="Y110" s="105">
        <v>5.85</v>
      </c>
      <c r="Z110" s="105">
        <v>5.83</v>
      </c>
      <c r="AA110" s="6" t="s">
        <v>963</v>
      </c>
      <c r="AB110" s="6">
        <v>2.54</v>
      </c>
      <c r="AC110" s="6">
        <v>2.3699999999999997</v>
      </c>
      <c r="AD110" s="6">
        <v>2.3200000000000003</v>
      </c>
      <c r="AE110" s="6" t="s">
        <v>967</v>
      </c>
      <c r="AF110" s="6"/>
      <c r="AG110" s="12">
        <v>3.8</v>
      </c>
      <c r="AH110" s="6"/>
      <c r="AI110" s="6" t="s">
        <v>965</v>
      </c>
      <c r="AJ110" s="112"/>
      <c r="AK110" s="108">
        <v>0.10299999999999999</v>
      </c>
      <c r="AL110" s="6"/>
      <c r="AM110" s="6" t="s">
        <v>958</v>
      </c>
      <c r="AN110" s="6"/>
      <c r="AO110" s="105">
        <v>6.65</v>
      </c>
      <c r="AP110" s="6"/>
      <c r="AQ110" s="28" t="s">
        <v>319</v>
      </c>
      <c r="AR110" s="28" t="s">
        <v>319</v>
      </c>
      <c r="AS110" s="28" t="s">
        <v>319</v>
      </c>
      <c r="AT110" s="28" t="s">
        <v>319</v>
      </c>
      <c r="AU110" s="28" t="s">
        <v>319</v>
      </c>
      <c r="AV110" s="28" t="s">
        <v>319</v>
      </c>
      <c r="AW110" s="28" t="s">
        <v>319</v>
      </c>
      <c r="AX110" s="28" t="s">
        <v>319</v>
      </c>
      <c r="AY110" s="28" t="s">
        <v>319</v>
      </c>
      <c r="AZ110" s="28" t="s">
        <v>319</v>
      </c>
      <c r="BA110" s="28" t="s">
        <v>319</v>
      </c>
      <c r="BB110" s="6" t="s">
        <v>984</v>
      </c>
      <c r="BC110" s="106">
        <v>-47</v>
      </c>
      <c r="BD110" s="106">
        <v>65</v>
      </c>
      <c r="BE110" s="6" t="s">
        <v>1010</v>
      </c>
      <c r="BF110" s="6"/>
      <c r="BG110" s="12">
        <v>18</v>
      </c>
      <c r="BH110" s="28" t="s">
        <v>319</v>
      </c>
      <c r="BI110" s="28" t="s">
        <v>319</v>
      </c>
      <c r="BJ110" s="28" t="s">
        <v>319</v>
      </c>
      <c r="BK110" s="28" t="s">
        <v>319</v>
      </c>
      <c r="BL110" s="28" t="s">
        <v>319</v>
      </c>
      <c r="BM110" s="28" t="s">
        <v>319</v>
      </c>
      <c r="BN110" s="28" t="s">
        <v>319</v>
      </c>
      <c r="BO110" s="28" t="s">
        <v>319</v>
      </c>
      <c r="BP110" s="28" t="s">
        <v>319</v>
      </c>
      <c r="BQ110" s="28" t="s">
        <v>319</v>
      </c>
      <c r="BR110" s="12">
        <v>47.1</v>
      </c>
      <c r="BS110" s="12">
        <v>540.1</v>
      </c>
      <c r="BT110" s="6"/>
      <c r="BU110" s="5"/>
      <c r="BV110" s="6"/>
      <c r="BW110" s="5"/>
      <c r="BX110" s="6" t="s">
        <v>1054</v>
      </c>
      <c r="BY110" s="6"/>
      <c r="BZ110" s="30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9"/>
      <c r="DB110" s="6"/>
      <c r="DC110" s="30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 t="s">
        <v>319</v>
      </c>
      <c r="DO110" s="28" t="s">
        <v>319</v>
      </c>
      <c r="DP110" s="28" t="s">
        <v>319</v>
      </c>
      <c r="DQ110" s="28" t="s">
        <v>319</v>
      </c>
      <c r="DR110" s="28" t="s">
        <v>319</v>
      </c>
      <c r="DS110" s="28" t="s">
        <v>319</v>
      </c>
      <c r="DT110" s="28" t="s">
        <v>319</v>
      </c>
      <c r="DU110" s="28" t="s">
        <v>319</v>
      </c>
      <c r="DV110" s="28" t="s">
        <v>319</v>
      </c>
      <c r="DW110" s="28" t="s">
        <v>319</v>
      </c>
      <c r="DX110" s="28" t="s">
        <v>319</v>
      </c>
      <c r="DY110" s="28" t="s">
        <v>319</v>
      </c>
      <c r="DZ110" s="28" t="s">
        <v>319</v>
      </c>
      <c r="EA110" s="28" t="s">
        <v>319</v>
      </c>
      <c r="EB110" s="28" t="s">
        <v>319</v>
      </c>
      <c r="EC110" s="28" t="s">
        <v>319</v>
      </c>
      <c r="ED110" s="28" t="s">
        <v>319</v>
      </c>
      <c r="EE110" s="28"/>
      <c r="EF110" s="28" t="s">
        <v>319</v>
      </c>
      <c r="EG110" s="28" t="s">
        <v>319</v>
      </c>
      <c r="EH110" s="28" t="s">
        <v>319</v>
      </c>
      <c r="EI110" s="28" t="s">
        <v>319</v>
      </c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7"/>
      <c r="FK110" s="6"/>
      <c r="FL110" s="6"/>
      <c r="FM110" s="97"/>
    </row>
    <row r="111" spans="1:169" s="3" customFormat="1" ht="52.2" x14ac:dyDescent="0.4">
      <c r="A111" s="93"/>
      <c r="B111" s="93"/>
      <c r="C111" s="26"/>
      <c r="D111" s="27" t="s">
        <v>319</v>
      </c>
      <c r="E111" s="2" t="s">
        <v>345</v>
      </c>
      <c r="F111" s="28" t="s">
        <v>319</v>
      </c>
      <c r="G111" s="28" t="s">
        <v>319</v>
      </c>
      <c r="H111" s="28" t="s">
        <v>319</v>
      </c>
      <c r="I111" s="6" t="s">
        <v>600</v>
      </c>
      <c r="J111" s="28" t="s">
        <v>319</v>
      </c>
      <c r="K111" s="28" t="s">
        <v>319</v>
      </c>
      <c r="L111" s="28" t="s">
        <v>319</v>
      </c>
      <c r="M111" s="28" t="s">
        <v>319</v>
      </c>
      <c r="N111" s="28" t="s">
        <v>319</v>
      </c>
      <c r="O111" s="28" t="s">
        <v>319</v>
      </c>
      <c r="P111" s="28" t="s">
        <v>319</v>
      </c>
      <c r="Q111" s="5" t="s">
        <v>673</v>
      </c>
      <c r="R111" s="5" t="s">
        <v>663</v>
      </c>
      <c r="S111" s="6" t="s">
        <v>669</v>
      </c>
      <c r="T111" s="106">
        <v>71952</v>
      </c>
      <c r="U111" s="106">
        <v>119920</v>
      </c>
      <c r="V111" s="106">
        <v>131912</v>
      </c>
      <c r="W111" s="6" t="s">
        <v>665</v>
      </c>
      <c r="X111" s="105">
        <v>9.2100000000000009</v>
      </c>
      <c r="Y111" s="105">
        <v>9.08</v>
      </c>
      <c r="Z111" s="105">
        <v>8.94</v>
      </c>
      <c r="AA111" s="6" t="s">
        <v>963</v>
      </c>
      <c r="AB111" s="6">
        <v>0.83000000000000007</v>
      </c>
      <c r="AC111" s="6">
        <v>0.83999999999999986</v>
      </c>
      <c r="AD111" s="6">
        <v>0.65000000000000036</v>
      </c>
      <c r="AE111" s="6" t="s">
        <v>956</v>
      </c>
      <c r="AF111" s="6"/>
      <c r="AG111" s="12">
        <v>61.1</v>
      </c>
      <c r="AH111" s="6"/>
      <c r="AI111" s="6" t="s">
        <v>965</v>
      </c>
      <c r="AJ111" s="108"/>
      <c r="AK111" s="108">
        <v>0.11899999999999999</v>
      </c>
      <c r="AL111" s="6"/>
      <c r="AM111" s="6" t="s">
        <v>958</v>
      </c>
      <c r="AN111" s="6"/>
      <c r="AO111" s="105">
        <v>9.74</v>
      </c>
      <c r="AP111" s="6"/>
      <c r="AQ111" s="28" t="s">
        <v>319</v>
      </c>
      <c r="AR111" s="28" t="s">
        <v>319</v>
      </c>
      <c r="AS111" s="28" t="s">
        <v>319</v>
      </c>
      <c r="AT111" s="28" t="s">
        <v>319</v>
      </c>
      <c r="AU111" s="28" t="s">
        <v>319</v>
      </c>
      <c r="AV111" s="28" t="s">
        <v>319</v>
      </c>
      <c r="AW111" s="28" t="s">
        <v>319</v>
      </c>
      <c r="AX111" s="28" t="s">
        <v>319</v>
      </c>
      <c r="AY111" s="28" t="s">
        <v>319</v>
      </c>
      <c r="AZ111" s="28" t="s">
        <v>319</v>
      </c>
      <c r="BA111" s="28" t="s">
        <v>319</v>
      </c>
      <c r="BB111" s="6" t="s">
        <v>984</v>
      </c>
      <c r="BC111" s="183">
        <v>-47</v>
      </c>
      <c r="BD111" s="212" t="s">
        <v>1446</v>
      </c>
      <c r="BE111" s="6" t="s">
        <v>1008</v>
      </c>
      <c r="BF111" s="181" t="s">
        <v>1447</v>
      </c>
      <c r="BG111" s="185">
        <v>25</v>
      </c>
      <c r="BH111" s="28" t="s">
        <v>319</v>
      </c>
      <c r="BI111" s="28" t="s">
        <v>319</v>
      </c>
      <c r="BJ111" s="28" t="s">
        <v>319</v>
      </c>
      <c r="BK111" s="28" t="s">
        <v>319</v>
      </c>
      <c r="BL111" s="28" t="s">
        <v>319</v>
      </c>
      <c r="BM111" s="28" t="s">
        <v>319</v>
      </c>
      <c r="BN111" s="28" t="s">
        <v>319</v>
      </c>
      <c r="BO111" s="28" t="s">
        <v>319</v>
      </c>
      <c r="BP111" s="28" t="s">
        <v>319</v>
      </c>
      <c r="BQ111" s="28" t="s">
        <v>319</v>
      </c>
      <c r="BR111" s="12">
        <v>44.3</v>
      </c>
      <c r="BS111" s="12">
        <v>583</v>
      </c>
      <c r="BT111" s="6"/>
      <c r="BU111" s="5"/>
      <c r="BV111" s="6"/>
      <c r="BW111" s="5"/>
      <c r="BX111" s="6" t="s">
        <v>1052</v>
      </c>
      <c r="BY111" s="6"/>
      <c r="BZ111" s="30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9"/>
      <c r="DB111" s="6"/>
      <c r="DC111" s="30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 t="s">
        <v>319</v>
      </c>
      <c r="DO111" s="28" t="s">
        <v>319</v>
      </c>
      <c r="DP111" s="28" t="s">
        <v>319</v>
      </c>
      <c r="DQ111" s="28" t="s">
        <v>319</v>
      </c>
      <c r="DR111" s="28" t="s">
        <v>319</v>
      </c>
      <c r="DS111" s="28" t="s">
        <v>319</v>
      </c>
      <c r="DT111" s="28" t="s">
        <v>319</v>
      </c>
      <c r="DU111" s="28" t="s">
        <v>319</v>
      </c>
      <c r="DV111" s="28" t="s">
        <v>319</v>
      </c>
      <c r="DW111" s="28" t="s">
        <v>319</v>
      </c>
      <c r="DX111" s="28" t="s">
        <v>319</v>
      </c>
      <c r="DY111" s="28" t="s">
        <v>319</v>
      </c>
      <c r="DZ111" s="28" t="s">
        <v>319</v>
      </c>
      <c r="EA111" s="28" t="s">
        <v>319</v>
      </c>
      <c r="EB111" s="28" t="s">
        <v>319</v>
      </c>
      <c r="EC111" s="28" t="s">
        <v>319</v>
      </c>
      <c r="ED111" s="28" t="s">
        <v>319</v>
      </c>
      <c r="EE111" s="28"/>
      <c r="EF111" s="28" t="s">
        <v>319</v>
      </c>
      <c r="EG111" s="28" t="s">
        <v>319</v>
      </c>
      <c r="EH111" s="28" t="s">
        <v>319</v>
      </c>
      <c r="EI111" s="28" t="s">
        <v>319</v>
      </c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7"/>
      <c r="FK111" s="15" t="s">
        <v>1056</v>
      </c>
      <c r="FL111" s="6"/>
      <c r="FM111" s="97"/>
    </row>
    <row r="112" spans="1:169" s="3" customFormat="1" ht="16.5" customHeight="1" x14ac:dyDescent="0.4">
      <c r="A112" s="93"/>
      <c r="B112" s="93"/>
      <c r="C112" s="26"/>
      <c r="D112" s="27" t="s">
        <v>319</v>
      </c>
      <c r="E112" s="2" t="s">
        <v>346</v>
      </c>
      <c r="F112" s="28" t="s">
        <v>319</v>
      </c>
      <c r="G112" s="28" t="s">
        <v>319</v>
      </c>
      <c r="H112" s="28" t="s">
        <v>319</v>
      </c>
      <c r="I112" s="6" t="s">
        <v>600</v>
      </c>
      <c r="J112" s="28" t="s">
        <v>319</v>
      </c>
      <c r="K112" s="28" t="s">
        <v>319</v>
      </c>
      <c r="L112" s="28" t="s">
        <v>319</v>
      </c>
      <c r="M112" s="28" t="s">
        <v>319</v>
      </c>
      <c r="N112" s="28" t="s">
        <v>319</v>
      </c>
      <c r="O112" s="28" t="s">
        <v>319</v>
      </c>
      <c r="P112" s="28" t="s">
        <v>319</v>
      </c>
      <c r="Q112" s="5" t="s">
        <v>673</v>
      </c>
      <c r="R112" s="5" t="s">
        <v>663</v>
      </c>
      <c r="S112" s="6" t="s">
        <v>678</v>
      </c>
      <c r="T112" s="5" t="s">
        <v>757</v>
      </c>
      <c r="U112" s="5" t="s">
        <v>758</v>
      </c>
      <c r="V112" s="5" t="s">
        <v>759</v>
      </c>
      <c r="W112" s="6" t="s">
        <v>665</v>
      </c>
      <c r="X112" s="105">
        <v>36.450000000000003</v>
      </c>
      <c r="Y112" s="105">
        <v>36.35</v>
      </c>
      <c r="Z112" s="105">
        <v>36.33</v>
      </c>
      <c r="AA112" s="6" t="s">
        <v>963</v>
      </c>
      <c r="AB112" s="6">
        <v>27.290000000000003</v>
      </c>
      <c r="AC112" s="6">
        <v>27.150000000000002</v>
      </c>
      <c r="AD112" s="6">
        <v>27.119999999999997</v>
      </c>
      <c r="AE112" s="6" t="s">
        <v>956</v>
      </c>
      <c r="AF112" s="6"/>
      <c r="AG112" s="12">
        <v>-31</v>
      </c>
      <c r="AH112" s="6"/>
      <c r="AI112" s="6" t="s">
        <v>965</v>
      </c>
      <c r="AJ112" s="108"/>
      <c r="AK112" s="108">
        <v>7.0999999999999994E-2</v>
      </c>
      <c r="AL112" s="6"/>
      <c r="AM112" s="6" t="s">
        <v>958</v>
      </c>
      <c r="AN112" s="6"/>
      <c r="AO112" s="105">
        <v>37.29</v>
      </c>
      <c r="AP112" s="6"/>
      <c r="AQ112" s="28" t="s">
        <v>319</v>
      </c>
      <c r="AR112" s="28" t="s">
        <v>319</v>
      </c>
      <c r="AS112" s="28" t="s">
        <v>319</v>
      </c>
      <c r="AT112" s="28" t="s">
        <v>319</v>
      </c>
      <c r="AU112" s="28" t="s">
        <v>319</v>
      </c>
      <c r="AV112" s="28" t="s">
        <v>319</v>
      </c>
      <c r="AW112" s="28" t="s">
        <v>319</v>
      </c>
      <c r="AX112" s="28" t="s">
        <v>319</v>
      </c>
      <c r="AY112" s="28" t="s">
        <v>319</v>
      </c>
      <c r="AZ112" s="28" t="s">
        <v>319</v>
      </c>
      <c r="BA112" s="28" t="s">
        <v>319</v>
      </c>
      <c r="BB112" s="6" t="s">
        <v>984</v>
      </c>
      <c r="BC112" s="106">
        <v>-96</v>
      </c>
      <c r="BD112" s="106">
        <v>65</v>
      </c>
      <c r="BE112" s="6" t="s">
        <v>1010</v>
      </c>
      <c r="BF112" s="6"/>
      <c r="BG112" s="185">
        <v>46</v>
      </c>
      <c r="BH112" s="28" t="s">
        <v>319</v>
      </c>
      <c r="BI112" s="28" t="s">
        <v>319</v>
      </c>
      <c r="BJ112" s="28" t="s">
        <v>319</v>
      </c>
      <c r="BK112" s="28" t="s">
        <v>319</v>
      </c>
      <c r="BL112" s="28" t="s">
        <v>319</v>
      </c>
      <c r="BM112" s="28" t="s">
        <v>319</v>
      </c>
      <c r="BN112" s="28" t="s">
        <v>319</v>
      </c>
      <c r="BO112" s="28" t="s">
        <v>319</v>
      </c>
      <c r="BP112" s="28" t="s">
        <v>319</v>
      </c>
      <c r="BQ112" s="28" t="s">
        <v>319</v>
      </c>
      <c r="BR112" s="12">
        <v>48.8</v>
      </c>
      <c r="BS112" s="12">
        <v>475.8</v>
      </c>
      <c r="BT112" s="6"/>
      <c r="BU112" s="5"/>
      <c r="BV112" s="6"/>
      <c r="BW112" s="5"/>
      <c r="BX112" s="6" t="s">
        <v>1052</v>
      </c>
      <c r="BY112" s="6"/>
      <c r="BZ112" s="30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9"/>
      <c r="DB112" s="6"/>
      <c r="DC112" s="30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 t="s">
        <v>319</v>
      </c>
      <c r="DO112" s="28" t="s">
        <v>319</v>
      </c>
      <c r="DP112" s="28" t="s">
        <v>319</v>
      </c>
      <c r="DQ112" s="28" t="s">
        <v>319</v>
      </c>
      <c r="DR112" s="28" t="s">
        <v>319</v>
      </c>
      <c r="DS112" s="28" t="s">
        <v>319</v>
      </c>
      <c r="DT112" s="28" t="s">
        <v>319</v>
      </c>
      <c r="DU112" s="28" t="s">
        <v>319</v>
      </c>
      <c r="DV112" s="28" t="s">
        <v>319</v>
      </c>
      <c r="DW112" s="28" t="s">
        <v>319</v>
      </c>
      <c r="DX112" s="28" t="s">
        <v>319</v>
      </c>
      <c r="DY112" s="28" t="s">
        <v>319</v>
      </c>
      <c r="DZ112" s="28" t="s">
        <v>319</v>
      </c>
      <c r="EA112" s="28" t="s">
        <v>319</v>
      </c>
      <c r="EB112" s="28" t="s">
        <v>319</v>
      </c>
      <c r="EC112" s="28" t="s">
        <v>319</v>
      </c>
      <c r="ED112" s="28" t="s">
        <v>319</v>
      </c>
      <c r="EE112" s="28"/>
      <c r="EF112" s="28" t="s">
        <v>319</v>
      </c>
      <c r="EG112" s="28" t="s">
        <v>319</v>
      </c>
      <c r="EH112" s="28" t="s">
        <v>319</v>
      </c>
      <c r="EI112" s="28" t="s">
        <v>319</v>
      </c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7"/>
      <c r="FK112" s="6"/>
      <c r="FL112" s="6"/>
      <c r="FM112" s="97"/>
    </row>
    <row r="113" spans="1:169" s="3" customFormat="1" ht="16.5" customHeight="1" x14ac:dyDescent="0.4">
      <c r="A113" s="93"/>
      <c r="B113" s="93"/>
      <c r="C113" s="26"/>
      <c r="D113" s="27" t="s">
        <v>319</v>
      </c>
      <c r="E113" s="2" t="s">
        <v>347</v>
      </c>
      <c r="F113" s="28" t="s">
        <v>319</v>
      </c>
      <c r="G113" s="28" t="s">
        <v>319</v>
      </c>
      <c r="H113" s="28" t="s">
        <v>319</v>
      </c>
      <c r="I113" s="6" t="s">
        <v>601</v>
      </c>
      <c r="J113" s="28" t="s">
        <v>319</v>
      </c>
      <c r="K113" s="28" t="s">
        <v>319</v>
      </c>
      <c r="L113" s="28" t="s">
        <v>319</v>
      </c>
      <c r="M113" s="28" t="s">
        <v>319</v>
      </c>
      <c r="N113" s="28" t="s">
        <v>319</v>
      </c>
      <c r="O113" s="28" t="s">
        <v>319</v>
      </c>
      <c r="P113" s="28" t="s">
        <v>319</v>
      </c>
      <c r="Q113" s="5" t="s">
        <v>760</v>
      </c>
      <c r="R113" s="5" t="s">
        <v>667</v>
      </c>
      <c r="S113" s="6" t="s">
        <v>672</v>
      </c>
      <c r="T113" s="194" t="s">
        <v>761</v>
      </c>
      <c r="U113" s="194" t="s">
        <v>762</v>
      </c>
      <c r="V113" s="194" t="s">
        <v>763</v>
      </c>
      <c r="W113" s="6" t="s">
        <v>665</v>
      </c>
      <c r="X113" s="105">
        <v>1.55</v>
      </c>
      <c r="Y113" s="105">
        <v>1.55</v>
      </c>
      <c r="Z113" s="105">
        <v>1.52</v>
      </c>
      <c r="AA113" s="6" t="s">
        <v>963</v>
      </c>
      <c r="AB113" s="6">
        <v>0.35000000000000009</v>
      </c>
      <c r="AC113" s="6">
        <v>0.35000000000000009</v>
      </c>
      <c r="AD113" s="6">
        <v>0.32000000000000006</v>
      </c>
      <c r="AE113" s="6" t="s">
        <v>967</v>
      </c>
      <c r="AF113" s="6"/>
      <c r="AG113" s="12">
        <v>137</v>
      </c>
      <c r="AH113" s="6"/>
      <c r="AI113" s="6" t="s">
        <v>965</v>
      </c>
      <c r="AJ113" s="112"/>
      <c r="AK113" s="112">
        <v>1.3599999999999999E-2</v>
      </c>
      <c r="AL113" s="6"/>
      <c r="AM113" s="6"/>
      <c r="AN113" s="6"/>
      <c r="AO113" s="5"/>
      <c r="AP113" s="6"/>
      <c r="AQ113" s="28" t="s">
        <v>319</v>
      </c>
      <c r="AR113" s="28" t="s">
        <v>319</v>
      </c>
      <c r="AS113" s="28" t="s">
        <v>319</v>
      </c>
      <c r="AT113" s="28" t="s">
        <v>319</v>
      </c>
      <c r="AU113" s="28" t="s">
        <v>319</v>
      </c>
      <c r="AV113" s="28" t="s">
        <v>319</v>
      </c>
      <c r="AW113" s="28" t="s">
        <v>319</v>
      </c>
      <c r="AX113" s="28" t="s">
        <v>319</v>
      </c>
      <c r="AY113" s="28" t="s">
        <v>319</v>
      </c>
      <c r="AZ113" s="28" t="s">
        <v>319</v>
      </c>
      <c r="BA113" s="28" t="s">
        <v>319</v>
      </c>
      <c r="BB113" s="6" t="s">
        <v>984</v>
      </c>
      <c r="BC113" s="5" t="s">
        <v>1009</v>
      </c>
      <c r="BD113" s="183">
        <v>200</v>
      </c>
      <c r="BE113" s="6" t="s">
        <v>1008</v>
      </c>
      <c r="BF113" s="181" t="s">
        <v>1448</v>
      </c>
      <c r="BG113" s="12">
        <v>6</v>
      </c>
      <c r="BH113" s="28" t="s">
        <v>319</v>
      </c>
      <c r="BI113" s="28" t="s">
        <v>319</v>
      </c>
      <c r="BJ113" s="28" t="s">
        <v>319</v>
      </c>
      <c r="BK113" s="28" t="s">
        <v>319</v>
      </c>
      <c r="BL113" s="28" t="s">
        <v>319</v>
      </c>
      <c r="BM113" s="28" t="s">
        <v>319</v>
      </c>
      <c r="BN113" s="28" t="s">
        <v>319</v>
      </c>
      <c r="BO113" s="28" t="s">
        <v>319</v>
      </c>
      <c r="BP113" s="28" t="s">
        <v>319</v>
      </c>
      <c r="BQ113" s="28" t="s">
        <v>319</v>
      </c>
      <c r="BR113" s="5"/>
      <c r="BS113" s="105"/>
      <c r="BT113" s="6"/>
      <c r="BU113" s="12">
        <v>18</v>
      </c>
      <c r="BV113" s="6" t="s">
        <v>1026</v>
      </c>
      <c r="BW113" s="12">
        <v>1.3</v>
      </c>
      <c r="BX113" s="6"/>
      <c r="BY113" s="6"/>
      <c r="BZ113" s="30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9"/>
      <c r="DB113" s="6"/>
      <c r="DC113" s="30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 t="s">
        <v>319</v>
      </c>
      <c r="DO113" s="28" t="s">
        <v>319</v>
      </c>
      <c r="DP113" s="28" t="s">
        <v>319</v>
      </c>
      <c r="DQ113" s="28" t="s">
        <v>319</v>
      </c>
      <c r="DR113" s="28" t="s">
        <v>319</v>
      </c>
      <c r="DS113" s="28" t="s">
        <v>319</v>
      </c>
      <c r="DT113" s="28" t="s">
        <v>319</v>
      </c>
      <c r="DU113" s="28" t="s">
        <v>319</v>
      </c>
      <c r="DV113" s="28" t="s">
        <v>319</v>
      </c>
      <c r="DW113" s="28" t="s">
        <v>319</v>
      </c>
      <c r="DX113" s="28" t="s">
        <v>319</v>
      </c>
      <c r="DY113" s="28" t="s">
        <v>319</v>
      </c>
      <c r="DZ113" s="28" t="s">
        <v>319</v>
      </c>
      <c r="EA113" s="28" t="s">
        <v>319</v>
      </c>
      <c r="EB113" s="28" t="s">
        <v>319</v>
      </c>
      <c r="EC113" s="28" t="s">
        <v>319</v>
      </c>
      <c r="ED113" s="28" t="s">
        <v>319</v>
      </c>
      <c r="EE113" s="28"/>
      <c r="EF113" s="28" t="s">
        <v>319</v>
      </c>
      <c r="EG113" s="28" t="s">
        <v>319</v>
      </c>
      <c r="EH113" s="28" t="s">
        <v>319</v>
      </c>
      <c r="EI113" s="28" t="s">
        <v>319</v>
      </c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7"/>
      <c r="FK113" s="6"/>
      <c r="FL113" s="6"/>
      <c r="FM113" s="94"/>
    </row>
    <row r="114" spans="1:169" s="3" customFormat="1" ht="16.5" customHeight="1" x14ac:dyDescent="0.4">
      <c r="A114" s="93"/>
      <c r="B114" s="93"/>
      <c r="C114" s="26"/>
      <c r="D114" s="27" t="s">
        <v>319</v>
      </c>
      <c r="E114" s="2" t="s">
        <v>348</v>
      </c>
      <c r="F114" s="28" t="s">
        <v>319</v>
      </c>
      <c r="G114" s="28" t="s">
        <v>319</v>
      </c>
      <c r="H114" s="28" t="s">
        <v>319</v>
      </c>
      <c r="I114" s="6" t="s">
        <v>601</v>
      </c>
      <c r="J114" s="28" t="s">
        <v>319</v>
      </c>
      <c r="K114" s="28" t="s">
        <v>319</v>
      </c>
      <c r="L114" s="28" t="s">
        <v>319</v>
      </c>
      <c r="M114" s="28" t="s">
        <v>319</v>
      </c>
      <c r="N114" s="28" t="s">
        <v>319</v>
      </c>
      <c r="O114" s="28" t="s">
        <v>319</v>
      </c>
      <c r="P114" s="28" t="s">
        <v>319</v>
      </c>
      <c r="Q114" s="5" t="s">
        <v>671</v>
      </c>
      <c r="R114" s="5" t="s">
        <v>663</v>
      </c>
      <c r="S114" s="6" t="s">
        <v>669</v>
      </c>
      <c r="T114" s="196">
        <v>182952</v>
      </c>
      <c r="U114" s="196">
        <v>403260</v>
      </c>
      <c r="V114" s="196">
        <v>443586</v>
      </c>
      <c r="W114" s="6" t="s">
        <v>665</v>
      </c>
      <c r="X114" s="197">
        <v>12.66</v>
      </c>
      <c r="Y114" s="197">
        <v>12.800497374364021</v>
      </c>
      <c r="Z114" s="197">
        <v>13</v>
      </c>
      <c r="AA114" s="6" t="s">
        <v>963</v>
      </c>
      <c r="AB114" s="197">
        <v>1.8643959394169611</v>
      </c>
      <c r="AC114" s="197">
        <v>1.3471763936124219</v>
      </c>
      <c r="AD114" s="197">
        <v>1.2124587542511798</v>
      </c>
      <c r="AE114" s="6" t="s">
        <v>956</v>
      </c>
      <c r="AF114" s="6"/>
      <c r="AG114" s="12">
        <v>82.5</v>
      </c>
      <c r="AH114" s="6"/>
      <c r="AI114" s="6" t="s">
        <v>979</v>
      </c>
      <c r="AJ114" s="108"/>
      <c r="AK114" s="108">
        <v>0.34399999999999997</v>
      </c>
      <c r="AL114" s="6"/>
      <c r="AM114" s="6" t="s">
        <v>958</v>
      </c>
      <c r="AN114" s="6"/>
      <c r="AO114" s="105">
        <v>0.53</v>
      </c>
      <c r="AP114" s="6"/>
      <c r="AQ114" s="28" t="s">
        <v>319</v>
      </c>
      <c r="AR114" s="28" t="s">
        <v>319</v>
      </c>
      <c r="AS114" s="28" t="s">
        <v>319</v>
      </c>
      <c r="AT114" s="28" t="s">
        <v>319</v>
      </c>
      <c r="AU114" s="28" t="s">
        <v>319</v>
      </c>
      <c r="AV114" s="28" t="s">
        <v>319</v>
      </c>
      <c r="AW114" s="28" t="s">
        <v>319</v>
      </c>
      <c r="AX114" s="28" t="s">
        <v>319</v>
      </c>
      <c r="AY114" s="28" t="s">
        <v>319</v>
      </c>
      <c r="AZ114" s="28" t="s">
        <v>319</v>
      </c>
      <c r="BA114" s="28" t="s">
        <v>319</v>
      </c>
      <c r="BB114" s="6" t="s">
        <v>984</v>
      </c>
      <c r="BC114" s="5" t="s">
        <v>1011</v>
      </c>
      <c r="BD114" s="106">
        <v>115</v>
      </c>
      <c r="BE114" s="6" t="s">
        <v>1010</v>
      </c>
      <c r="BF114" s="6"/>
      <c r="BG114" s="12">
        <v>20.7</v>
      </c>
      <c r="BH114" s="28" t="s">
        <v>319</v>
      </c>
      <c r="BI114" s="28" t="s">
        <v>319</v>
      </c>
      <c r="BJ114" s="28" t="s">
        <v>319</v>
      </c>
      <c r="BK114" s="28" t="s">
        <v>319</v>
      </c>
      <c r="BL114" s="28" t="s">
        <v>319</v>
      </c>
      <c r="BM114" s="28" t="s">
        <v>319</v>
      </c>
      <c r="BN114" s="28" t="s">
        <v>319</v>
      </c>
      <c r="BO114" s="28" t="s">
        <v>319</v>
      </c>
      <c r="BP114" s="28" t="s">
        <v>319</v>
      </c>
      <c r="BQ114" s="28" t="s">
        <v>319</v>
      </c>
      <c r="BR114" s="12">
        <v>225.5</v>
      </c>
      <c r="BS114" s="12">
        <v>971</v>
      </c>
      <c r="BT114" s="6"/>
      <c r="BU114" s="5"/>
      <c r="BV114" s="6"/>
      <c r="BW114" s="5"/>
      <c r="BX114" s="6"/>
      <c r="BY114" s="6"/>
      <c r="BZ114" s="30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9"/>
      <c r="DB114" s="6"/>
      <c r="DC114" s="30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 t="s">
        <v>319</v>
      </c>
      <c r="DO114" s="28" t="s">
        <v>319</v>
      </c>
      <c r="DP114" s="28" t="s">
        <v>319</v>
      </c>
      <c r="DQ114" s="28" t="s">
        <v>319</v>
      </c>
      <c r="DR114" s="28" t="s">
        <v>319</v>
      </c>
      <c r="DS114" s="28" t="s">
        <v>319</v>
      </c>
      <c r="DT114" s="28" t="s">
        <v>319</v>
      </c>
      <c r="DU114" s="28" t="s">
        <v>319</v>
      </c>
      <c r="DV114" s="28" t="s">
        <v>319</v>
      </c>
      <c r="DW114" s="28" t="s">
        <v>319</v>
      </c>
      <c r="DX114" s="28" t="s">
        <v>319</v>
      </c>
      <c r="DY114" s="28" t="s">
        <v>319</v>
      </c>
      <c r="DZ114" s="28" t="s">
        <v>319</v>
      </c>
      <c r="EA114" s="28" t="s">
        <v>319</v>
      </c>
      <c r="EB114" s="28" t="s">
        <v>319</v>
      </c>
      <c r="EC114" s="28" t="s">
        <v>319</v>
      </c>
      <c r="ED114" s="28" t="s">
        <v>319</v>
      </c>
      <c r="EE114" s="28"/>
      <c r="EF114" s="28" t="s">
        <v>319</v>
      </c>
      <c r="EG114" s="28" t="s">
        <v>319</v>
      </c>
      <c r="EH114" s="28" t="s">
        <v>319</v>
      </c>
      <c r="EI114" s="28" t="s">
        <v>319</v>
      </c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7"/>
      <c r="FK114" s="6"/>
      <c r="FL114" s="6"/>
      <c r="FM114" s="97"/>
    </row>
    <row r="115" spans="1:169" s="43" customFormat="1" ht="16.5" customHeight="1" x14ac:dyDescent="0.4">
      <c r="A115" s="116"/>
      <c r="B115" s="116"/>
      <c r="C115" s="117"/>
      <c r="D115" s="118" t="s">
        <v>319</v>
      </c>
      <c r="E115" s="119" t="s">
        <v>349</v>
      </c>
      <c r="F115" s="28" t="s">
        <v>319</v>
      </c>
      <c r="G115" s="28" t="s">
        <v>319</v>
      </c>
      <c r="H115" s="28" t="s">
        <v>319</v>
      </c>
      <c r="I115" s="120" t="s">
        <v>602</v>
      </c>
      <c r="J115" s="28" t="s">
        <v>319</v>
      </c>
      <c r="K115" s="28" t="s">
        <v>319</v>
      </c>
      <c r="L115" s="28" t="s">
        <v>319</v>
      </c>
      <c r="M115" s="28" t="s">
        <v>319</v>
      </c>
      <c r="N115" s="28" t="s">
        <v>319</v>
      </c>
      <c r="O115" s="28" t="s">
        <v>319</v>
      </c>
      <c r="P115" s="28" t="s">
        <v>319</v>
      </c>
      <c r="Q115" s="121" t="s">
        <v>764</v>
      </c>
      <c r="R115" s="121" t="s">
        <v>663</v>
      </c>
      <c r="S115" s="120" t="s">
        <v>672</v>
      </c>
      <c r="T115" s="195"/>
      <c r="U115" s="195"/>
      <c r="V115" s="195" t="s">
        <v>765</v>
      </c>
      <c r="W115" s="120" t="s">
        <v>665</v>
      </c>
      <c r="X115" s="121"/>
      <c r="Y115" s="121"/>
      <c r="Z115" s="122">
        <v>2.2999999999999998</v>
      </c>
      <c r="AA115" s="120" t="s">
        <v>963</v>
      </c>
      <c r="AB115" s="120"/>
      <c r="AC115" s="120"/>
      <c r="AD115" s="120">
        <v>0.94999999999999973</v>
      </c>
      <c r="AE115" s="120" t="s">
        <v>956</v>
      </c>
      <c r="AF115" s="120"/>
      <c r="AG115" s="123">
        <v>123</v>
      </c>
      <c r="AH115" s="120"/>
      <c r="AI115" s="120" t="s">
        <v>965</v>
      </c>
      <c r="AJ115" s="124"/>
      <c r="AK115" s="124">
        <v>0.22</v>
      </c>
      <c r="AL115" s="120"/>
      <c r="AM115" s="120" t="s">
        <v>958</v>
      </c>
      <c r="AN115" s="120"/>
      <c r="AO115" s="122">
        <v>2.2200000000000002</v>
      </c>
      <c r="AP115" s="6"/>
      <c r="AQ115" s="28" t="s">
        <v>319</v>
      </c>
      <c r="AR115" s="28" t="s">
        <v>319</v>
      </c>
      <c r="AS115" s="28" t="s">
        <v>319</v>
      </c>
      <c r="AT115" s="28" t="s">
        <v>319</v>
      </c>
      <c r="AU115" s="28" t="s">
        <v>319</v>
      </c>
      <c r="AV115" s="28" t="s">
        <v>319</v>
      </c>
      <c r="AW115" s="28" t="s">
        <v>319</v>
      </c>
      <c r="AX115" s="28" t="s">
        <v>319</v>
      </c>
      <c r="AY115" s="28" t="s">
        <v>319</v>
      </c>
      <c r="AZ115" s="28" t="s">
        <v>319</v>
      </c>
      <c r="BA115" s="28" t="s">
        <v>319</v>
      </c>
      <c r="BB115" s="120" t="s">
        <v>984</v>
      </c>
      <c r="BC115" s="121" t="s">
        <v>1012</v>
      </c>
      <c r="BD115" s="125">
        <v>170</v>
      </c>
      <c r="BE115" s="120" t="s">
        <v>1010</v>
      </c>
      <c r="BF115" s="120"/>
      <c r="BG115" s="123">
        <v>4.9000000000000004</v>
      </c>
      <c r="BH115" s="28" t="s">
        <v>319</v>
      </c>
      <c r="BI115" s="28" t="s">
        <v>319</v>
      </c>
      <c r="BJ115" s="28" t="s">
        <v>319</v>
      </c>
      <c r="BK115" s="28" t="s">
        <v>319</v>
      </c>
      <c r="BL115" s="28" t="s">
        <v>319</v>
      </c>
      <c r="BM115" s="28" t="s">
        <v>319</v>
      </c>
      <c r="BN115" s="28" t="s">
        <v>319</v>
      </c>
      <c r="BO115" s="28" t="s">
        <v>319</v>
      </c>
      <c r="BP115" s="28" t="s">
        <v>319</v>
      </c>
      <c r="BQ115" s="28" t="s">
        <v>319</v>
      </c>
      <c r="BR115" s="123">
        <v>225.5</v>
      </c>
      <c r="BS115" s="123">
        <v>940</v>
      </c>
      <c r="BT115" s="6"/>
      <c r="BU115" s="121"/>
      <c r="BV115" s="120"/>
      <c r="BW115" s="121"/>
      <c r="BX115" s="120"/>
      <c r="BY115" s="120"/>
      <c r="BZ115" s="30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9"/>
      <c r="DB115" s="120"/>
      <c r="DC115" s="30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 t="s">
        <v>319</v>
      </c>
      <c r="DO115" s="28" t="s">
        <v>319</v>
      </c>
      <c r="DP115" s="28" t="s">
        <v>319</v>
      </c>
      <c r="DQ115" s="28" t="s">
        <v>319</v>
      </c>
      <c r="DR115" s="28" t="s">
        <v>319</v>
      </c>
      <c r="DS115" s="28" t="s">
        <v>319</v>
      </c>
      <c r="DT115" s="28" t="s">
        <v>319</v>
      </c>
      <c r="DU115" s="28" t="s">
        <v>319</v>
      </c>
      <c r="DV115" s="28" t="s">
        <v>319</v>
      </c>
      <c r="DW115" s="28" t="s">
        <v>319</v>
      </c>
      <c r="DX115" s="28" t="s">
        <v>319</v>
      </c>
      <c r="DY115" s="28" t="s">
        <v>319</v>
      </c>
      <c r="DZ115" s="28" t="s">
        <v>319</v>
      </c>
      <c r="EA115" s="28" t="s">
        <v>319</v>
      </c>
      <c r="EB115" s="28" t="s">
        <v>319</v>
      </c>
      <c r="EC115" s="28" t="s">
        <v>319</v>
      </c>
      <c r="ED115" s="28" t="s">
        <v>319</v>
      </c>
      <c r="EE115" s="28"/>
      <c r="EF115" s="28" t="s">
        <v>319</v>
      </c>
      <c r="EG115" s="28" t="s">
        <v>319</v>
      </c>
      <c r="EH115" s="28" t="s">
        <v>319</v>
      </c>
      <c r="EI115" s="28" t="s">
        <v>319</v>
      </c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7"/>
      <c r="FK115" s="120"/>
      <c r="FL115" s="120"/>
      <c r="FM115" s="144"/>
    </row>
    <row r="116" spans="1:169" s="3" customFormat="1" ht="16.5" customHeight="1" x14ac:dyDescent="0.4">
      <c r="A116" s="93"/>
      <c r="B116" s="93"/>
      <c r="C116" s="26"/>
      <c r="D116" s="27" t="s">
        <v>319</v>
      </c>
      <c r="E116" s="2" t="s">
        <v>455</v>
      </c>
      <c r="F116" s="28" t="s">
        <v>319</v>
      </c>
      <c r="G116" s="28" t="s">
        <v>319</v>
      </c>
      <c r="H116" s="28" t="s">
        <v>319</v>
      </c>
      <c r="I116" s="6" t="s">
        <v>603</v>
      </c>
      <c r="J116" s="28" t="s">
        <v>319</v>
      </c>
      <c r="K116" s="28" t="s">
        <v>319</v>
      </c>
      <c r="L116" s="28" t="s">
        <v>319</v>
      </c>
      <c r="M116" s="28" t="s">
        <v>319</v>
      </c>
      <c r="N116" s="28" t="s">
        <v>319</v>
      </c>
      <c r="O116" s="28" t="s">
        <v>319</v>
      </c>
      <c r="P116" s="28" t="s">
        <v>319</v>
      </c>
      <c r="Q116" s="5" t="s">
        <v>764</v>
      </c>
      <c r="R116" s="5" t="s">
        <v>663</v>
      </c>
      <c r="S116" s="6" t="s">
        <v>669</v>
      </c>
      <c r="T116" s="5" t="s">
        <v>761</v>
      </c>
      <c r="U116" s="5" t="s">
        <v>762</v>
      </c>
      <c r="V116" s="5" t="s">
        <v>763</v>
      </c>
      <c r="W116" s="6" t="s">
        <v>665</v>
      </c>
      <c r="X116" s="222">
        <f>2.29+0.4</f>
        <v>2.69</v>
      </c>
      <c r="Y116" s="222">
        <f>2.08+0.4</f>
        <v>2.48</v>
      </c>
      <c r="Z116" s="222">
        <f>2.03+0.4</f>
        <v>2.4299999999999997</v>
      </c>
      <c r="AA116" s="6" t="s">
        <v>963</v>
      </c>
      <c r="AB116" s="6">
        <v>1.2</v>
      </c>
      <c r="AC116" s="6">
        <v>0.96</v>
      </c>
      <c r="AD116" s="6">
        <v>0.86999999999999988</v>
      </c>
      <c r="AE116" s="6" t="s">
        <v>956</v>
      </c>
      <c r="AF116" s="6"/>
      <c r="AG116" s="12">
        <v>123</v>
      </c>
      <c r="AH116" s="6"/>
      <c r="AI116" s="6" t="s">
        <v>965</v>
      </c>
      <c r="AJ116" s="5"/>
      <c r="AK116" s="108">
        <v>0.22</v>
      </c>
      <c r="AL116" s="6"/>
      <c r="AM116" s="6" t="s">
        <v>958</v>
      </c>
      <c r="AN116" s="6"/>
      <c r="AO116" s="105">
        <v>2.2200000000000002</v>
      </c>
      <c r="AP116" s="6"/>
      <c r="AQ116" s="28" t="s">
        <v>319</v>
      </c>
      <c r="AR116" s="28" t="s">
        <v>319</v>
      </c>
      <c r="AS116" s="28" t="s">
        <v>319</v>
      </c>
      <c r="AT116" s="28" t="s">
        <v>319</v>
      </c>
      <c r="AU116" s="28" t="s">
        <v>319</v>
      </c>
      <c r="AV116" s="28" t="s">
        <v>319</v>
      </c>
      <c r="AW116" s="28" t="s">
        <v>319</v>
      </c>
      <c r="AX116" s="28" t="s">
        <v>319</v>
      </c>
      <c r="AY116" s="28" t="s">
        <v>319</v>
      </c>
      <c r="AZ116" s="28" t="s">
        <v>319</v>
      </c>
      <c r="BA116" s="28" t="s">
        <v>319</v>
      </c>
      <c r="BB116" s="6" t="s">
        <v>984</v>
      </c>
      <c r="BC116" s="5" t="s">
        <v>1011</v>
      </c>
      <c r="BD116" s="106">
        <v>200</v>
      </c>
      <c r="BE116" s="6" t="s">
        <v>1010</v>
      </c>
      <c r="BF116" s="181" t="s">
        <v>1448</v>
      </c>
      <c r="BG116" s="12">
        <v>10</v>
      </c>
      <c r="BH116" s="28" t="s">
        <v>319</v>
      </c>
      <c r="BI116" s="28" t="s">
        <v>319</v>
      </c>
      <c r="BJ116" s="28" t="s">
        <v>319</v>
      </c>
      <c r="BK116" s="28" t="s">
        <v>319</v>
      </c>
      <c r="BL116" s="28" t="s">
        <v>319</v>
      </c>
      <c r="BM116" s="28" t="s">
        <v>319</v>
      </c>
      <c r="BN116" s="28" t="s">
        <v>319</v>
      </c>
      <c r="BO116" s="28" t="s">
        <v>319</v>
      </c>
      <c r="BP116" s="28" t="s">
        <v>319</v>
      </c>
      <c r="BQ116" s="28" t="s">
        <v>319</v>
      </c>
      <c r="BR116" s="12">
        <v>225.5</v>
      </c>
      <c r="BS116" s="12">
        <v>940</v>
      </c>
      <c r="BT116" s="6"/>
      <c r="BU116" s="5"/>
      <c r="BV116" s="6"/>
      <c r="BW116" s="5"/>
      <c r="BX116" s="6"/>
      <c r="BY116" s="6"/>
      <c r="BZ116" s="30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9"/>
      <c r="DB116" s="6"/>
      <c r="DC116" s="30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 t="s">
        <v>319</v>
      </c>
      <c r="DO116" s="28" t="s">
        <v>319</v>
      </c>
      <c r="DP116" s="28" t="s">
        <v>319</v>
      </c>
      <c r="DQ116" s="28" t="s">
        <v>319</v>
      </c>
      <c r="DR116" s="28" t="s">
        <v>319</v>
      </c>
      <c r="DS116" s="28" t="s">
        <v>319</v>
      </c>
      <c r="DT116" s="28" t="s">
        <v>319</v>
      </c>
      <c r="DU116" s="28" t="s">
        <v>319</v>
      </c>
      <c r="DV116" s="28" t="s">
        <v>319</v>
      </c>
      <c r="DW116" s="28" t="s">
        <v>319</v>
      </c>
      <c r="DX116" s="28" t="s">
        <v>319</v>
      </c>
      <c r="DY116" s="28" t="s">
        <v>319</v>
      </c>
      <c r="DZ116" s="28" t="s">
        <v>319</v>
      </c>
      <c r="EA116" s="28" t="s">
        <v>319</v>
      </c>
      <c r="EB116" s="28" t="s">
        <v>319</v>
      </c>
      <c r="EC116" s="28" t="s">
        <v>319</v>
      </c>
      <c r="ED116" s="28" t="s">
        <v>319</v>
      </c>
      <c r="EE116" s="28"/>
      <c r="EF116" s="28" t="s">
        <v>319</v>
      </c>
      <c r="EG116" s="28" t="s">
        <v>319</v>
      </c>
      <c r="EH116" s="28" t="s">
        <v>319</v>
      </c>
      <c r="EI116" s="28" t="s">
        <v>319</v>
      </c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7"/>
      <c r="FK116" s="6"/>
      <c r="FL116" s="6"/>
      <c r="FM116" s="97"/>
    </row>
    <row r="117" spans="1:169" s="3" customFormat="1" ht="52.2" x14ac:dyDescent="0.4">
      <c r="A117" s="93"/>
      <c r="B117" s="93"/>
      <c r="C117" s="26"/>
      <c r="D117" s="27" t="s">
        <v>319</v>
      </c>
      <c r="E117" s="2" t="s">
        <v>350</v>
      </c>
      <c r="F117" s="28" t="s">
        <v>319</v>
      </c>
      <c r="G117" s="28" t="s">
        <v>319</v>
      </c>
      <c r="H117" s="28" t="s">
        <v>319</v>
      </c>
      <c r="I117" s="6" t="s">
        <v>604</v>
      </c>
      <c r="J117" s="28" t="s">
        <v>319</v>
      </c>
      <c r="K117" s="28" t="s">
        <v>319</v>
      </c>
      <c r="L117" s="28" t="s">
        <v>319</v>
      </c>
      <c r="M117" s="28" t="s">
        <v>319</v>
      </c>
      <c r="N117" s="28" t="s">
        <v>319</v>
      </c>
      <c r="O117" s="28" t="s">
        <v>319</v>
      </c>
      <c r="P117" s="28" t="s">
        <v>319</v>
      </c>
      <c r="Q117" s="5" t="s">
        <v>673</v>
      </c>
      <c r="R117" s="5" t="s">
        <v>663</v>
      </c>
      <c r="S117" s="6" t="s">
        <v>678</v>
      </c>
      <c r="T117" s="5" t="s">
        <v>766</v>
      </c>
      <c r="U117" s="5" t="s">
        <v>767</v>
      </c>
      <c r="V117" s="5" t="s">
        <v>768</v>
      </c>
      <c r="W117" s="6" t="s">
        <v>665</v>
      </c>
      <c r="X117" s="105">
        <v>7.42</v>
      </c>
      <c r="Y117" s="105">
        <v>7.36</v>
      </c>
      <c r="Z117" s="105">
        <v>7.34</v>
      </c>
      <c r="AA117" s="6" t="s">
        <v>963</v>
      </c>
      <c r="AB117" s="6">
        <v>2.6100000000000003</v>
      </c>
      <c r="AC117" s="6">
        <v>2.6100000000000003</v>
      </c>
      <c r="AD117" s="6">
        <v>2.5700000000000003</v>
      </c>
      <c r="AE117" s="6" t="s">
        <v>956</v>
      </c>
      <c r="AF117" s="6"/>
      <c r="AG117" s="12">
        <v>84.1</v>
      </c>
      <c r="AH117" s="6"/>
      <c r="AI117" s="6" t="s">
        <v>973</v>
      </c>
      <c r="AJ117" s="112"/>
      <c r="AK117" s="108">
        <v>0.125</v>
      </c>
      <c r="AL117" s="6"/>
      <c r="AM117" s="6" t="s">
        <v>958</v>
      </c>
      <c r="AN117" s="6"/>
      <c r="AO117" s="105">
        <v>8.14</v>
      </c>
      <c r="AP117" s="6"/>
      <c r="AQ117" s="28" t="s">
        <v>319</v>
      </c>
      <c r="AR117" s="28" t="s">
        <v>319</v>
      </c>
      <c r="AS117" s="28" t="s">
        <v>319</v>
      </c>
      <c r="AT117" s="28" t="s">
        <v>319</v>
      </c>
      <c r="AU117" s="28" t="s">
        <v>319</v>
      </c>
      <c r="AV117" s="28" t="s">
        <v>319</v>
      </c>
      <c r="AW117" s="28" t="s">
        <v>319</v>
      </c>
      <c r="AX117" s="28" t="s">
        <v>319</v>
      </c>
      <c r="AY117" s="28" t="s">
        <v>319</v>
      </c>
      <c r="AZ117" s="28" t="s">
        <v>319</v>
      </c>
      <c r="BA117" s="28" t="s">
        <v>319</v>
      </c>
      <c r="BB117" s="6" t="s">
        <v>984</v>
      </c>
      <c r="BC117" s="106">
        <v>-47</v>
      </c>
      <c r="BD117" s="106">
        <v>120</v>
      </c>
      <c r="BE117" s="6" t="s">
        <v>1010</v>
      </c>
      <c r="BF117" s="6"/>
      <c r="BG117" s="185">
        <v>8</v>
      </c>
      <c r="BH117" s="28" t="s">
        <v>319</v>
      </c>
      <c r="BI117" s="28" t="s">
        <v>319</v>
      </c>
      <c r="BJ117" s="28" t="s">
        <v>319</v>
      </c>
      <c r="BK117" s="28" t="s">
        <v>319</v>
      </c>
      <c r="BL117" s="28" t="s">
        <v>319</v>
      </c>
      <c r="BM117" s="28" t="s">
        <v>319</v>
      </c>
      <c r="BN117" s="28" t="s">
        <v>319</v>
      </c>
      <c r="BO117" s="28" t="s">
        <v>319</v>
      </c>
      <c r="BP117" s="28" t="s">
        <v>319</v>
      </c>
      <c r="BQ117" s="28" t="s">
        <v>319</v>
      </c>
      <c r="BR117" s="12">
        <v>42.7</v>
      </c>
      <c r="BS117" s="12">
        <v>590.6</v>
      </c>
      <c r="BT117" s="6"/>
      <c r="BU117" s="5"/>
      <c r="BV117" s="6"/>
      <c r="BW117" s="5"/>
      <c r="BX117" s="6" t="s">
        <v>1054</v>
      </c>
      <c r="BY117" s="6"/>
      <c r="BZ117" s="30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9"/>
      <c r="DB117" s="6"/>
      <c r="DC117" s="30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 t="s">
        <v>319</v>
      </c>
      <c r="DO117" s="28" t="s">
        <v>319</v>
      </c>
      <c r="DP117" s="28" t="s">
        <v>319</v>
      </c>
      <c r="DQ117" s="28" t="s">
        <v>319</v>
      </c>
      <c r="DR117" s="28" t="s">
        <v>319</v>
      </c>
      <c r="DS117" s="28" t="s">
        <v>319</v>
      </c>
      <c r="DT117" s="28" t="s">
        <v>319</v>
      </c>
      <c r="DU117" s="28" t="s">
        <v>319</v>
      </c>
      <c r="DV117" s="28" t="s">
        <v>319</v>
      </c>
      <c r="DW117" s="28" t="s">
        <v>319</v>
      </c>
      <c r="DX117" s="28" t="s">
        <v>319</v>
      </c>
      <c r="DY117" s="28" t="s">
        <v>319</v>
      </c>
      <c r="DZ117" s="28" t="s">
        <v>319</v>
      </c>
      <c r="EA117" s="28" t="s">
        <v>319</v>
      </c>
      <c r="EB117" s="28" t="s">
        <v>319</v>
      </c>
      <c r="EC117" s="28" t="s">
        <v>319</v>
      </c>
      <c r="ED117" s="28" t="s">
        <v>319</v>
      </c>
      <c r="EE117" s="28"/>
      <c r="EF117" s="28" t="s">
        <v>319</v>
      </c>
      <c r="EG117" s="28" t="s">
        <v>319</v>
      </c>
      <c r="EH117" s="28" t="s">
        <v>319</v>
      </c>
      <c r="EI117" s="28" t="s">
        <v>319</v>
      </c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7"/>
      <c r="FK117" s="15" t="s">
        <v>1056</v>
      </c>
      <c r="FL117" s="6"/>
      <c r="FM117" s="97"/>
    </row>
    <row r="118" spans="1:169" s="3" customFormat="1" x14ac:dyDescent="0.4">
      <c r="A118" s="93"/>
      <c r="B118" s="93"/>
      <c r="C118" s="26"/>
      <c r="D118" s="27" t="s">
        <v>319</v>
      </c>
      <c r="E118" s="2" t="s">
        <v>351</v>
      </c>
      <c r="F118" s="28" t="s">
        <v>319</v>
      </c>
      <c r="G118" s="28" t="s">
        <v>319</v>
      </c>
      <c r="H118" s="28" t="s">
        <v>319</v>
      </c>
      <c r="I118" s="6" t="s">
        <v>604</v>
      </c>
      <c r="J118" s="28" t="s">
        <v>319</v>
      </c>
      <c r="K118" s="28" t="s">
        <v>319</v>
      </c>
      <c r="L118" s="28" t="s">
        <v>319</v>
      </c>
      <c r="M118" s="28" t="s">
        <v>319</v>
      </c>
      <c r="N118" s="28" t="s">
        <v>319</v>
      </c>
      <c r="O118" s="28" t="s">
        <v>319</v>
      </c>
      <c r="P118" s="28" t="s">
        <v>319</v>
      </c>
      <c r="Q118" s="5" t="s">
        <v>673</v>
      </c>
      <c r="R118" s="5" t="s">
        <v>663</v>
      </c>
      <c r="S118" s="6" t="s">
        <v>672</v>
      </c>
      <c r="T118" s="5" t="s">
        <v>769</v>
      </c>
      <c r="U118" s="5" t="s">
        <v>770</v>
      </c>
      <c r="V118" s="5" t="s">
        <v>771</v>
      </c>
      <c r="W118" s="6" t="s">
        <v>665</v>
      </c>
      <c r="X118" s="105">
        <v>35.549999999999997</v>
      </c>
      <c r="Y118" s="105">
        <v>32.409999999999997</v>
      </c>
      <c r="Z118" s="105">
        <v>30.51</v>
      </c>
      <c r="AA118" s="6" t="s">
        <v>963</v>
      </c>
      <c r="AB118" s="6">
        <v>26.65</v>
      </c>
      <c r="AC118" s="6">
        <v>23.509999999999998</v>
      </c>
      <c r="AD118" s="6">
        <v>21.6</v>
      </c>
      <c r="AE118" s="6" t="s">
        <v>956</v>
      </c>
      <c r="AF118" s="6"/>
      <c r="AG118" s="12">
        <v>11.1</v>
      </c>
      <c r="AH118" s="6"/>
      <c r="AI118" s="6" t="s">
        <v>969</v>
      </c>
      <c r="AJ118" s="112"/>
      <c r="AK118" s="108">
        <v>0.10199999999999999</v>
      </c>
      <c r="AL118" s="6"/>
      <c r="AM118" s="6" t="s">
        <v>958</v>
      </c>
      <c r="AN118" s="6"/>
      <c r="AO118" s="105">
        <v>7.89</v>
      </c>
      <c r="AP118" s="6"/>
      <c r="AQ118" s="28" t="s">
        <v>319</v>
      </c>
      <c r="AR118" s="28" t="s">
        <v>319</v>
      </c>
      <c r="AS118" s="28" t="s">
        <v>319</v>
      </c>
      <c r="AT118" s="28" t="s">
        <v>319</v>
      </c>
      <c r="AU118" s="28" t="s">
        <v>319</v>
      </c>
      <c r="AV118" s="28" t="s">
        <v>319</v>
      </c>
      <c r="AW118" s="28" t="s">
        <v>319</v>
      </c>
      <c r="AX118" s="28" t="s">
        <v>319</v>
      </c>
      <c r="AY118" s="28" t="s">
        <v>319</v>
      </c>
      <c r="AZ118" s="28" t="s">
        <v>319</v>
      </c>
      <c r="BA118" s="28" t="s">
        <v>319</v>
      </c>
      <c r="BB118" s="6" t="s">
        <v>984</v>
      </c>
      <c r="BC118" s="106">
        <v>-47</v>
      </c>
      <c r="BD118" s="106">
        <v>120</v>
      </c>
      <c r="BE118" s="6" t="s">
        <v>1010</v>
      </c>
      <c r="BF118" s="6"/>
      <c r="BG118" s="12">
        <v>39.299999999999997</v>
      </c>
      <c r="BH118" s="28" t="s">
        <v>319</v>
      </c>
      <c r="BI118" s="28" t="s">
        <v>319</v>
      </c>
      <c r="BJ118" s="28" t="s">
        <v>319</v>
      </c>
      <c r="BK118" s="28" t="s">
        <v>319</v>
      </c>
      <c r="BL118" s="28" t="s">
        <v>319</v>
      </c>
      <c r="BM118" s="28" t="s">
        <v>319</v>
      </c>
      <c r="BN118" s="28" t="s">
        <v>319</v>
      </c>
      <c r="BO118" s="28" t="s">
        <v>319</v>
      </c>
      <c r="BP118" s="28" t="s">
        <v>319</v>
      </c>
      <c r="BQ118" s="28" t="s">
        <v>319</v>
      </c>
      <c r="BR118" s="106">
        <v>48</v>
      </c>
      <c r="BS118" s="12">
        <v>537.29999999999995</v>
      </c>
      <c r="BT118" s="6"/>
      <c r="BU118" s="5"/>
      <c r="BV118" s="6"/>
      <c r="BW118" s="5"/>
      <c r="BX118" s="8" t="s">
        <v>1051</v>
      </c>
      <c r="BY118" s="6"/>
      <c r="BZ118" s="30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9"/>
      <c r="DB118" s="6"/>
      <c r="DC118" s="30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 t="s">
        <v>319</v>
      </c>
      <c r="DO118" s="28" t="s">
        <v>319</v>
      </c>
      <c r="DP118" s="28" t="s">
        <v>319</v>
      </c>
      <c r="DQ118" s="28" t="s">
        <v>319</v>
      </c>
      <c r="DR118" s="28" t="s">
        <v>319</v>
      </c>
      <c r="DS118" s="28" t="s">
        <v>319</v>
      </c>
      <c r="DT118" s="28" t="s">
        <v>319</v>
      </c>
      <c r="DU118" s="28" t="s">
        <v>319</v>
      </c>
      <c r="DV118" s="28" t="s">
        <v>319</v>
      </c>
      <c r="DW118" s="28" t="s">
        <v>319</v>
      </c>
      <c r="DX118" s="28" t="s">
        <v>319</v>
      </c>
      <c r="DY118" s="28" t="s">
        <v>319</v>
      </c>
      <c r="DZ118" s="28" t="s">
        <v>319</v>
      </c>
      <c r="EA118" s="28" t="s">
        <v>319</v>
      </c>
      <c r="EB118" s="28" t="s">
        <v>319</v>
      </c>
      <c r="EC118" s="28" t="s">
        <v>319</v>
      </c>
      <c r="ED118" s="28" t="s">
        <v>319</v>
      </c>
      <c r="EE118" s="28"/>
      <c r="EF118" s="28" t="s">
        <v>319</v>
      </c>
      <c r="EG118" s="28" t="s">
        <v>319</v>
      </c>
      <c r="EH118" s="28" t="s">
        <v>319</v>
      </c>
      <c r="EI118" s="28" t="s">
        <v>319</v>
      </c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7"/>
      <c r="FK118" s="6"/>
      <c r="FL118" s="6"/>
      <c r="FM118" s="97"/>
    </row>
    <row r="119" spans="1:169" s="3" customFormat="1" ht="30" customHeight="1" x14ac:dyDescent="0.4">
      <c r="A119" s="93"/>
      <c r="B119" s="93"/>
      <c r="C119" s="26"/>
      <c r="D119" s="27" t="s">
        <v>319</v>
      </c>
      <c r="E119" s="2" t="s">
        <v>352</v>
      </c>
      <c r="F119" s="28" t="s">
        <v>319</v>
      </c>
      <c r="G119" s="28" t="s">
        <v>319</v>
      </c>
      <c r="H119" s="28" t="s">
        <v>319</v>
      </c>
      <c r="I119" s="6" t="s">
        <v>605</v>
      </c>
      <c r="J119" s="28" t="s">
        <v>319</v>
      </c>
      <c r="K119" s="28" t="s">
        <v>319</v>
      </c>
      <c r="L119" s="28" t="s">
        <v>319</v>
      </c>
      <c r="M119" s="28" t="s">
        <v>319</v>
      </c>
      <c r="N119" s="28" t="s">
        <v>319</v>
      </c>
      <c r="O119" s="28" t="s">
        <v>319</v>
      </c>
      <c r="P119" s="28" t="s">
        <v>319</v>
      </c>
      <c r="Q119" s="5" t="s">
        <v>760</v>
      </c>
      <c r="R119" s="5" t="s">
        <v>667</v>
      </c>
      <c r="S119" s="6" t="s">
        <v>669</v>
      </c>
      <c r="T119" s="5" t="s">
        <v>772</v>
      </c>
      <c r="U119" s="5" t="s">
        <v>773</v>
      </c>
      <c r="V119" s="5" t="s">
        <v>774</v>
      </c>
      <c r="W119" s="6" t="s">
        <v>665</v>
      </c>
      <c r="X119" s="105">
        <v>1.6</v>
      </c>
      <c r="Y119" s="105">
        <v>1.55</v>
      </c>
      <c r="Z119" s="105">
        <v>1.52</v>
      </c>
      <c r="AA119" s="6" t="s">
        <v>963</v>
      </c>
      <c r="AB119" s="6">
        <v>0.40000000000000013</v>
      </c>
      <c r="AC119" s="6">
        <v>0.35000000000000009</v>
      </c>
      <c r="AD119" s="6">
        <v>0.32000000000000006</v>
      </c>
      <c r="AE119" s="6" t="s">
        <v>956</v>
      </c>
      <c r="AF119" s="6"/>
      <c r="AG119" s="12">
        <v>137</v>
      </c>
      <c r="AH119" s="6"/>
      <c r="AI119" s="6" t="s">
        <v>965</v>
      </c>
      <c r="AJ119" s="5"/>
      <c r="AK119" s="112">
        <v>1.3599999999999999E-2</v>
      </c>
      <c r="AL119" s="6"/>
      <c r="AM119" s="6"/>
      <c r="AN119" s="6"/>
      <c r="AO119" s="5"/>
      <c r="AP119" s="6"/>
      <c r="AQ119" s="28" t="s">
        <v>319</v>
      </c>
      <c r="AR119" s="28" t="s">
        <v>319</v>
      </c>
      <c r="AS119" s="28" t="s">
        <v>319</v>
      </c>
      <c r="AT119" s="28" t="s">
        <v>319</v>
      </c>
      <c r="AU119" s="28" t="s">
        <v>319</v>
      </c>
      <c r="AV119" s="28" t="s">
        <v>319</v>
      </c>
      <c r="AW119" s="28" t="s">
        <v>319</v>
      </c>
      <c r="AX119" s="28" t="s">
        <v>319</v>
      </c>
      <c r="AY119" s="28" t="s">
        <v>319</v>
      </c>
      <c r="AZ119" s="28" t="s">
        <v>319</v>
      </c>
      <c r="BA119" s="28" t="s">
        <v>319</v>
      </c>
      <c r="BB119" s="6" t="s">
        <v>984</v>
      </c>
      <c r="BC119" s="5" t="s">
        <v>1011</v>
      </c>
      <c r="BD119" s="106">
        <v>200</v>
      </c>
      <c r="BE119" s="6" t="s">
        <v>1010</v>
      </c>
      <c r="BF119" s="181" t="s">
        <v>1448</v>
      </c>
      <c r="BG119" s="12">
        <v>6</v>
      </c>
      <c r="BH119" s="28" t="s">
        <v>319</v>
      </c>
      <c r="BI119" s="28" t="s">
        <v>319</v>
      </c>
      <c r="BJ119" s="28" t="s">
        <v>319</v>
      </c>
      <c r="BK119" s="28" t="s">
        <v>319</v>
      </c>
      <c r="BL119" s="28" t="s">
        <v>319</v>
      </c>
      <c r="BM119" s="28" t="s">
        <v>319</v>
      </c>
      <c r="BN119" s="28" t="s">
        <v>319</v>
      </c>
      <c r="BO119" s="28" t="s">
        <v>319</v>
      </c>
      <c r="BP119" s="28" t="s">
        <v>319</v>
      </c>
      <c r="BQ119" s="28" t="s">
        <v>319</v>
      </c>
      <c r="BR119" s="5"/>
      <c r="BS119" s="105"/>
      <c r="BT119" s="6"/>
      <c r="BU119" s="12">
        <v>18</v>
      </c>
      <c r="BV119" s="6" t="s">
        <v>1026</v>
      </c>
      <c r="BW119" s="105">
        <v>1.41</v>
      </c>
      <c r="BX119" s="6"/>
      <c r="BY119" s="6"/>
      <c r="BZ119" s="30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9"/>
      <c r="DB119" s="6"/>
      <c r="DC119" s="30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 t="s">
        <v>319</v>
      </c>
      <c r="DO119" s="28" t="s">
        <v>319</v>
      </c>
      <c r="DP119" s="28" t="s">
        <v>319</v>
      </c>
      <c r="DQ119" s="28" t="s">
        <v>319</v>
      </c>
      <c r="DR119" s="28" t="s">
        <v>319</v>
      </c>
      <c r="DS119" s="28" t="s">
        <v>319</v>
      </c>
      <c r="DT119" s="28" t="s">
        <v>319</v>
      </c>
      <c r="DU119" s="28" t="s">
        <v>319</v>
      </c>
      <c r="DV119" s="28" t="s">
        <v>319</v>
      </c>
      <c r="DW119" s="28" t="s">
        <v>319</v>
      </c>
      <c r="DX119" s="28" t="s">
        <v>319</v>
      </c>
      <c r="DY119" s="28" t="s">
        <v>319</v>
      </c>
      <c r="DZ119" s="28" t="s">
        <v>319</v>
      </c>
      <c r="EA119" s="28" t="s">
        <v>319</v>
      </c>
      <c r="EB119" s="28" t="s">
        <v>319</v>
      </c>
      <c r="EC119" s="28" t="s">
        <v>319</v>
      </c>
      <c r="ED119" s="28" t="s">
        <v>319</v>
      </c>
      <c r="EE119" s="28"/>
      <c r="EF119" s="28" t="s">
        <v>319</v>
      </c>
      <c r="EG119" s="28" t="s">
        <v>319</v>
      </c>
      <c r="EH119" s="28" t="s">
        <v>319</v>
      </c>
      <c r="EI119" s="28" t="s">
        <v>319</v>
      </c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7"/>
      <c r="FK119" s="6"/>
      <c r="FL119" s="6"/>
      <c r="FM119" s="94"/>
    </row>
    <row r="120" spans="1:169" s="43" customFormat="1" x14ac:dyDescent="0.4">
      <c r="A120" s="116"/>
      <c r="B120" s="116"/>
      <c r="C120" s="117"/>
      <c r="D120" s="118" t="s">
        <v>319</v>
      </c>
      <c r="E120" s="119" t="s">
        <v>353</v>
      </c>
      <c r="F120" s="28" t="s">
        <v>319</v>
      </c>
      <c r="G120" s="28" t="s">
        <v>319</v>
      </c>
      <c r="H120" s="28" t="s">
        <v>319</v>
      </c>
      <c r="I120" s="120" t="s">
        <v>606</v>
      </c>
      <c r="J120" s="28" t="s">
        <v>319</v>
      </c>
      <c r="K120" s="28" t="s">
        <v>319</v>
      </c>
      <c r="L120" s="28" t="s">
        <v>319</v>
      </c>
      <c r="M120" s="28" t="s">
        <v>319</v>
      </c>
      <c r="N120" s="28" t="s">
        <v>319</v>
      </c>
      <c r="O120" s="28" t="s">
        <v>319</v>
      </c>
      <c r="P120" s="28" t="s">
        <v>319</v>
      </c>
      <c r="Q120" s="121" t="s">
        <v>764</v>
      </c>
      <c r="R120" s="121" t="s">
        <v>663</v>
      </c>
      <c r="S120" s="120" t="s">
        <v>672</v>
      </c>
      <c r="T120" s="121"/>
      <c r="U120" s="121"/>
      <c r="V120" s="121" t="s">
        <v>775</v>
      </c>
      <c r="W120" s="120" t="s">
        <v>665</v>
      </c>
      <c r="X120" s="121"/>
      <c r="Y120" s="121"/>
      <c r="Z120" s="122">
        <v>2.2400000000000002</v>
      </c>
      <c r="AA120" s="120" t="s">
        <v>994</v>
      </c>
      <c r="AB120" s="120"/>
      <c r="AC120" s="120"/>
      <c r="AD120" s="120">
        <v>0.99000000000000021</v>
      </c>
      <c r="AE120" s="120" t="s">
        <v>956</v>
      </c>
      <c r="AF120" s="120"/>
      <c r="AG120" s="123">
        <v>121</v>
      </c>
      <c r="AH120" s="120"/>
      <c r="AI120" s="120" t="s">
        <v>965</v>
      </c>
      <c r="AJ120" s="124"/>
      <c r="AK120" s="124">
        <v>0.23</v>
      </c>
      <c r="AL120" s="120"/>
      <c r="AM120" s="120" t="s">
        <v>958</v>
      </c>
      <c r="AN120" s="120"/>
      <c r="AO120" s="122">
        <v>2</v>
      </c>
      <c r="AP120" s="6"/>
      <c r="AQ120" s="28" t="s">
        <v>319</v>
      </c>
      <c r="AR120" s="28" t="s">
        <v>319</v>
      </c>
      <c r="AS120" s="28" t="s">
        <v>319</v>
      </c>
      <c r="AT120" s="28" t="s">
        <v>319</v>
      </c>
      <c r="AU120" s="28" t="s">
        <v>319</v>
      </c>
      <c r="AV120" s="28" t="s">
        <v>319</v>
      </c>
      <c r="AW120" s="28" t="s">
        <v>319</v>
      </c>
      <c r="AX120" s="28" t="s">
        <v>319</v>
      </c>
      <c r="AY120" s="28" t="s">
        <v>319</v>
      </c>
      <c r="AZ120" s="28" t="s">
        <v>319</v>
      </c>
      <c r="BA120" s="28" t="s">
        <v>319</v>
      </c>
      <c r="BB120" s="120" t="s">
        <v>984</v>
      </c>
      <c r="BC120" s="121" t="s">
        <v>1009</v>
      </c>
      <c r="BD120" s="125">
        <v>170</v>
      </c>
      <c r="BE120" s="120" t="s">
        <v>1010</v>
      </c>
      <c r="BF120" s="120"/>
      <c r="BG120" s="123">
        <v>4.9000000000000004</v>
      </c>
      <c r="BH120" s="28" t="s">
        <v>319</v>
      </c>
      <c r="BI120" s="28" t="s">
        <v>319</v>
      </c>
      <c r="BJ120" s="28" t="s">
        <v>319</v>
      </c>
      <c r="BK120" s="28" t="s">
        <v>319</v>
      </c>
      <c r="BL120" s="28" t="s">
        <v>319</v>
      </c>
      <c r="BM120" s="28" t="s">
        <v>319</v>
      </c>
      <c r="BN120" s="28" t="s">
        <v>319</v>
      </c>
      <c r="BO120" s="28" t="s">
        <v>319</v>
      </c>
      <c r="BP120" s="28" t="s">
        <v>319</v>
      </c>
      <c r="BQ120" s="28" t="s">
        <v>319</v>
      </c>
      <c r="BR120" s="123">
        <v>225.5</v>
      </c>
      <c r="BS120" s="123">
        <v>942.5</v>
      </c>
      <c r="BT120" s="6"/>
      <c r="BU120" s="121"/>
      <c r="BV120" s="120"/>
      <c r="BW120" s="121"/>
      <c r="BX120" s="120"/>
      <c r="BY120" s="120"/>
      <c r="BZ120" s="30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9"/>
      <c r="DB120" s="120"/>
      <c r="DC120" s="30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 t="s">
        <v>319</v>
      </c>
      <c r="DO120" s="28" t="s">
        <v>319</v>
      </c>
      <c r="DP120" s="28" t="s">
        <v>319</v>
      </c>
      <c r="DQ120" s="28" t="s">
        <v>319</v>
      </c>
      <c r="DR120" s="28" t="s">
        <v>319</v>
      </c>
      <c r="DS120" s="28" t="s">
        <v>319</v>
      </c>
      <c r="DT120" s="28" t="s">
        <v>319</v>
      </c>
      <c r="DU120" s="28" t="s">
        <v>319</v>
      </c>
      <c r="DV120" s="28" t="s">
        <v>319</v>
      </c>
      <c r="DW120" s="28" t="s">
        <v>319</v>
      </c>
      <c r="DX120" s="28" t="s">
        <v>319</v>
      </c>
      <c r="DY120" s="28" t="s">
        <v>319</v>
      </c>
      <c r="DZ120" s="28" t="s">
        <v>319</v>
      </c>
      <c r="EA120" s="28" t="s">
        <v>319</v>
      </c>
      <c r="EB120" s="28" t="s">
        <v>319</v>
      </c>
      <c r="EC120" s="28" t="s">
        <v>319</v>
      </c>
      <c r="ED120" s="28" t="s">
        <v>319</v>
      </c>
      <c r="EE120" s="28"/>
      <c r="EF120" s="28" t="s">
        <v>319</v>
      </c>
      <c r="EG120" s="28" t="s">
        <v>319</v>
      </c>
      <c r="EH120" s="28" t="s">
        <v>319</v>
      </c>
      <c r="EI120" s="28" t="s">
        <v>319</v>
      </c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7"/>
      <c r="FK120" s="120"/>
      <c r="FL120" s="120"/>
      <c r="FM120" s="144"/>
    </row>
    <row r="121" spans="1:169" s="3" customFormat="1" x14ac:dyDescent="0.4">
      <c r="A121" s="93"/>
      <c r="B121" s="93"/>
      <c r="C121" s="26"/>
      <c r="D121" s="27" t="s">
        <v>319</v>
      </c>
      <c r="E121" s="2" t="s">
        <v>456</v>
      </c>
      <c r="F121" s="28" t="s">
        <v>319</v>
      </c>
      <c r="G121" s="28" t="s">
        <v>319</v>
      </c>
      <c r="H121" s="28" t="s">
        <v>319</v>
      </c>
      <c r="I121" s="6" t="s">
        <v>607</v>
      </c>
      <c r="J121" s="28" t="s">
        <v>319</v>
      </c>
      <c r="K121" s="28" t="s">
        <v>319</v>
      </c>
      <c r="L121" s="28" t="s">
        <v>319</v>
      </c>
      <c r="M121" s="28" t="s">
        <v>319</v>
      </c>
      <c r="N121" s="28" t="s">
        <v>319</v>
      </c>
      <c r="O121" s="28" t="s">
        <v>319</v>
      </c>
      <c r="P121" s="28" t="s">
        <v>319</v>
      </c>
      <c r="Q121" s="5" t="s">
        <v>676</v>
      </c>
      <c r="R121" s="5" t="s">
        <v>663</v>
      </c>
      <c r="S121" s="6" t="s">
        <v>669</v>
      </c>
      <c r="T121" s="5" t="s">
        <v>772</v>
      </c>
      <c r="U121" s="5" t="s">
        <v>773</v>
      </c>
      <c r="V121" s="5" t="s">
        <v>774</v>
      </c>
      <c r="W121" s="6" t="s">
        <v>665</v>
      </c>
      <c r="X121" s="222">
        <f>2.22+0.4</f>
        <v>2.62</v>
      </c>
      <c r="Y121" s="222">
        <f>1.99+0.4</f>
        <v>2.39</v>
      </c>
      <c r="Z121" s="222">
        <f>1.92+0.4</f>
        <v>2.3199999999999998</v>
      </c>
      <c r="AA121" s="6" t="s">
        <v>963</v>
      </c>
      <c r="AB121" s="6">
        <v>1.2600000000000002</v>
      </c>
      <c r="AC121" s="6">
        <v>0.8600000000000001</v>
      </c>
      <c r="AD121" s="6">
        <v>0.75</v>
      </c>
      <c r="AE121" s="6" t="s">
        <v>967</v>
      </c>
      <c r="AF121" s="6"/>
      <c r="AG121" s="12">
        <v>121</v>
      </c>
      <c r="AH121" s="6"/>
      <c r="AI121" s="6" t="s">
        <v>965</v>
      </c>
      <c r="AJ121" s="108"/>
      <c r="AK121" s="108">
        <v>0.23</v>
      </c>
      <c r="AL121" s="6"/>
      <c r="AM121" s="6" t="s">
        <v>958</v>
      </c>
      <c r="AN121" s="6"/>
      <c r="AO121" s="105">
        <v>2</v>
      </c>
      <c r="AP121" s="6"/>
      <c r="AQ121" s="28" t="s">
        <v>319</v>
      </c>
      <c r="AR121" s="28" t="s">
        <v>319</v>
      </c>
      <c r="AS121" s="28" t="s">
        <v>319</v>
      </c>
      <c r="AT121" s="28" t="s">
        <v>319</v>
      </c>
      <c r="AU121" s="28" t="s">
        <v>319</v>
      </c>
      <c r="AV121" s="28" t="s">
        <v>319</v>
      </c>
      <c r="AW121" s="28" t="s">
        <v>319</v>
      </c>
      <c r="AX121" s="28" t="s">
        <v>319</v>
      </c>
      <c r="AY121" s="28" t="s">
        <v>319</v>
      </c>
      <c r="AZ121" s="28" t="s">
        <v>319</v>
      </c>
      <c r="BA121" s="28" t="s">
        <v>319</v>
      </c>
      <c r="BB121" s="6" t="s">
        <v>984</v>
      </c>
      <c r="BC121" s="5" t="s">
        <v>1011</v>
      </c>
      <c r="BD121" s="106">
        <v>200</v>
      </c>
      <c r="BE121" s="6" t="s">
        <v>1010</v>
      </c>
      <c r="BF121" s="181" t="s">
        <v>1448</v>
      </c>
      <c r="BG121" s="12">
        <v>10</v>
      </c>
      <c r="BH121" s="28" t="s">
        <v>319</v>
      </c>
      <c r="BI121" s="28" t="s">
        <v>319</v>
      </c>
      <c r="BJ121" s="28" t="s">
        <v>319</v>
      </c>
      <c r="BK121" s="28" t="s">
        <v>319</v>
      </c>
      <c r="BL121" s="28" t="s">
        <v>319</v>
      </c>
      <c r="BM121" s="28" t="s">
        <v>319</v>
      </c>
      <c r="BN121" s="28" t="s">
        <v>319</v>
      </c>
      <c r="BO121" s="28" t="s">
        <v>319</v>
      </c>
      <c r="BP121" s="28" t="s">
        <v>319</v>
      </c>
      <c r="BQ121" s="28" t="s">
        <v>319</v>
      </c>
      <c r="BR121" s="12">
        <v>225.5</v>
      </c>
      <c r="BS121" s="12">
        <v>942</v>
      </c>
      <c r="BT121" s="6"/>
      <c r="BU121" s="5"/>
      <c r="BV121" s="6"/>
      <c r="BW121" s="5"/>
      <c r="BX121" s="6" t="s">
        <v>1052</v>
      </c>
      <c r="BY121" s="6"/>
      <c r="BZ121" s="30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9"/>
      <c r="DB121" s="6"/>
      <c r="DC121" s="30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 t="s">
        <v>319</v>
      </c>
      <c r="DO121" s="28" t="s">
        <v>319</v>
      </c>
      <c r="DP121" s="28" t="s">
        <v>319</v>
      </c>
      <c r="DQ121" s="28" t="s">
        <v>319</v>
      </c>
      <c r="DR121" s="28" t="s">
        <v>319</v>
      </c>
      <c r="DS121" s="28" t="s">
        <v>319</v>
      </c>
      <c r="DT121" s="28" t="s">
        <v>319</v>
      </c>
      <c r="DU121" s="28" t="s">
        <v>319</v>
      </c>
      <c r="DV121" s="28" t="s">
        <v>319</v>
      </c>
      <c r="DW121" s="28" t="s">
        <v>319</v>
      </c>
      <c r="DX121" s="28" t="s">
        <v>319</v>
      </c>
      <c r="DY121" s="28" t="s">
        <v>319</v>
      </c>
      <c r="DZ121" s="28" t="s">
        <v>319</v>
      </c>
      <c r="EA121" s="28" t="s">
        <v>319</v>
      </c>
      <c r="EB121" s="28" t="s">
        <v>319</v>
      </c>
      <c r="EC121" s="28" t="s">
        <v>319</v>
      </c>
      <c r="ED121" s="28" t="s">
        <v>319</v>
      </c>
      <c r="EE121" s="28"/>
      <c r="EF121" s="28" t="s">
        <v>319</v>
      </c>
      <c r="EG121" s="28" t="s">
        <v>319</v>
      </c>
      <c r="EH121" s="28" t="s">
        <v>319</v>
      </c>
      <c r="EI121" s="28" t="s">
        <v>319</v>
      </c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7"/>
      <c r="FK121" s="6"/>
      <c r="FL121" s="6"/>
      <c r="FM121" s="97"/>
    </row>
    <row r="122" spans="1:169" s="3" customFormat="1" ht="33" customHeight="1" x14ac:dyDescent="0.4">
      <c r="A122" s="93"/>
      <c r="B122" s="93"/>
      <c r="C122" s="26"/>
      <c r="D122" s="27" t="s">
        <v>319</v>
      </c>
      <c r="E122" s="2" t="s">
        <v>354</v>
      </c>
      <c r="F122" s="28" t="s">
        <v>319</v>
      </c>
      <c r="G122" s="28" t="s">
        <v>319</v>
      </c>
      <c r="H122" s="28" t="s">
        <v>319</v>
      </c>
      <c r="I122" s="6" t="s">
        <v>608</v>
      </c>
      <c r="J122" s="28" t="s">
        <v>319</v>
      </c>
      <c r="K122" s="28" t="s">
        <v>319</v>
      </c>
      <c r="L122" s="28" t="s">
        <v>319</v>
      </c>
      <c r="M122" s="28" t="s">
        <v>319</v>
      </c>
      <c r="N122" s="28" t="s">
        <v>319</v>
      </c>
      <c r="O122" s="28" t="s">
        <v>319</v>
      </c>
      <c r="P122" s="28" t="s">
        <v>319</v>
      </c>
      <c r="Q122" s="5" t="s">
        <v>673</v>
      </c>
      <c r="R122" s="5" t="s">
        <v>663</v>
      </c>
      <c r="S122" s="6" t="s">
        <v>669</v>
      </c>
      <c r="T122" s="5" t="s">
        <v>776</v>
      </c>
      <c r="U122" s="5" t="s">
        <v>777</v>
      </c>
      <c r="V122" s="5" t="s">
        <v>778</v>
      </c>
      <c r="W122" s="6" t="s">
        <v>665</v>
      </c>
      <c r="X122" s="105">
        <v>35.61</v>
      </c>
      <c r="Y122" s="105">
        <v>32.770000000000003</v>
      </c>
      <c r="Z122" s="105">
        <v>31.02</v>
      </c>
      <c r="AA122" s="6" t="s">
        <v>963</v>
      </c>
      <c r="AB122" s="6">
        <v>1.490000000000002</v>
      </c>
      <c r="AC122" s="6">
        <v>1.5300000000000047</v>
      </c>
      <c r="AD122" s="6">
        <v>0.78999999999999915</v>
      </c>
      <c r="AE122" s="6" t="s">
        <v>956</v>
      </c>
      <c r="AF122" s="6"/>
      <c r="AG122" s="12">
        <v>12.1</v>
      </c>
      <c r="AH122" s="6"/>
      <c r="AI122" s="6" t="s">
        <v>965</v>
      </c>
      <c r="AJ122" s="108"/>
      <c r="AK122" s="108">
        <v>0.10100000000000001</v>
      </c>
      <c r="AL122" s="6"/>
      <c r="AM122" s="6" t="s">
        <v>958</v>
      </c>
      <c r="AN122" s="6"/>
      <c r="AO122" s="105">
        <v>7.99</v>
      </c>
      <c r="AP122" s="6"/>
      <c r="AQ122" s="28" t="s">
        <v>319</v>
      </c>
      <c r="AR122" s="28" t="s">
        <v>319</v>
      </c>
      <c r="AS122" s="28" t="s">
        <v>319</v>
      </c>
      <c r="AT122" s="28" t="s">
        <v>319</v>
      </c>
      <c r="AU122" s="28" t="s">
        <v>319</v>
      </c>
      <c r="AV122" s="28" t="s">
        <v>319</v>
      </c>
      <c r="AW122" s="28" t="s">
        <v>319</v>
      </c>
      <c r="AX122" s="28" t="s">
        <v>319</v>
      </c>
      <c r="AY122" s="28" t="s">
        <v>319</v>
      </c>
      <c r="AZ122" s="28" t="s">
        <v>319</v>
      </c>
      <c r="BA122" s="28" t="s">
        <v>319</v>
      </c>
      <c r="BB122" s="6" t="s">
        <v>984</v>
      </c>
      <c r="BC122" s="106">
        <v>-47</v>
      </c>
      <c r="BD122" s="106">
        <v>115</v>
      </c>
      <c r="BE122" s="6" t="s">
        <v>1010</v>
      </c>
      <c r="BF122" s="6"/>
      <c r="BG122" s="185">
        <v>44.8</v>
      </c>
      <c r="BH122" s="28" t="s">
        <v>319</v>
      </c>
      <c r="BI122" s="28" t="s">
        <v>319</v>
      </c>
      <c r="BJ122" s="28" t="s">
        <v>319</v>
      </c>
      <c r="BK122" s="28" t="s">
        <v>319</v>
      </c>
      <c r="BL122" s="28" t="s">
        <v>319</v>
      </c>
      <c r="BM122" s="28" t="s">
        <v>319</v>
      </c>
      <c r="BN122" s="28" t="s">
        <v>319</v>
      </c>
      <c r="BO122" s="28" t="s">
        <v>319</v>
      </c>
      <c r="BP122" s="28" t="s">
        <v>319</v>
      </c>
      <c r="BQ122" s="28" t="s">
        <v>319</v>
      </c>
      <c r="BR122" s="106">
        <v>48</v>
      </c>
      <c r="BS122" s="12">
        <v>536.5</v>
      </c>
      <c r="BT122" s="6"/>
      <c r="BU122" s="5"/>
      <c r="BV122" s="6"/>
      <c r="BW122" s="5"/>
      <c r="BX122" s="6" t="s">
        <v>1052</v>
      </c>
      <c r="BY122" s="6"/>
      <c r="BZ122" s="30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9"/>
      <c r="DB122" s="6"/>
      <c r="DC122" s="30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 t="s">
        <v>319</v>
      </c>
      <c r="DO122" s="28" t="s">
        <v>319</v>
      </c>
      <c r="DP122" s="28" t="s">
        <v>319</v>
      </c>
      <c r="DQ122" s="28" t="s">
        <v>319</v>
      </c>
      <c r="DR122" s="28" t="s">
        <v>319</v>
      </c>
      <c r="DS122" s="28" t="s">
        <v>319</v>
      </c>
      <c r="DT122" s="28" t="s">
        <v>319</v>
      </c>
      <c r="DU122" s="28" t="s">
        <v>319</v>
      </c>
      <c r="DV122" s="28" t="s">
        <v>319</v>
      </c>
      <c r="DW122" s="28" t="s">
        <v>319</v>
      </c>
      <c r="DX122" s="28" t="s">
        <v>319</v>
      </c>
      <c r="DY122" s="28" t="s">
        <v>319</v>
      </c>
      <c r="DZ122" s="28" t="s">
        <v>319</v>
      </c>
      <c r="EA122" s="28" t="s">
        <v>319</v>
      </c>
      <c r="EB122" s="28" t="s">
        <v>319</v>
      </c>
      <c r="EC122" s="28" t="s">
        <v>319</v>
      </c>
      <c r="ED122" s="28" t="s">
        <v>319</v>
      </c>
      <c r="EE122" s="28"/>
      <c r="EF122" s="28" t="s">
        <v>319</v>
      </c>
      <c r="EG122" s="28" t="s">
        <v>319</v>
      </c>
      <c r="EH122" s="28" t="s">
        <v>319</v>
      </c>
      <c r="EI122" s="28" t="s">
        <v>319</v>
      </c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7"/>
      <c r="FK122" s="6"/>
      <c r="FL122" s="6"/>
      <c r="FM122" s="97"/>
    </row>
    <row r="123" spans="1:169" s="3" customFormat="1" x14ac:dyDescent="0.4">
      <c r="A123" s="93"/>
      <c r="B123" s="93"/>
      <c r="C123" s="26"/>
      <c r="D123" s="27" t="s">
        <v>319</v>
      </c>
      <c r="E123" s="2" t="s">
        <v>457</v>
      </c>
      <c r="F123" s="28" t="s">
        <v>319</v>
      </c>
      <c r="G123" s="28" t="s">
        <v>319</v>
      </c>
      <c r="H123" s="28" t="s">
        <v>319</v>
      </c>
      <c r="I123" s="6" t="s">
        <v>608</v>
      </c>
      <c r="J123" s="28" t="s">
        <v>319</v>
      </c>
      <c r="K123" s="28" t="s">
        <v>319</v>
      </c>
      <c r="L123" s="28" t="s">
        <v>319</v>
      </c>
      <c r="M123" s="28" t="s">
        <v>319</v>
      </c>
      <c r="N123" s="28" t="s">
        <v>319</v>
      </c>
      <c r="O123" s="28" t="s">
        <v>319</v>
      </c>
      <c r="P123" s="28" t="s">
        <v>319</v>
      </c>
      <c r="Q123" s="5" t="s">
        <v>721</v>
      </c>
      <c r="R123" s="5" t="s">
        <v>663</v>
      </c>
      <c r="S123" s="6" t="s">
        <v>669</v>
      </c>
      <c r="T123" s="5" t="s">
        <v>779</v>
      </c>
      <c r="U123" s="106">
        <v>88730</v>
      </c>
      <c r="V123" s="106">
        <v>94307</v>
      </c>
      <c r="W123" s="6" t="s">
        <v>665</v>
      </c>
      <c r="X123" s="105">
        <v>15.67</v>
      </c>
      <c r="Y123" s="105">
        <v>15.46</v>
      </c>
      <c r="Z123" s="105">
        <v>15.14</v>
      </c>
      <c r="AA123" s="6" t="s">
        <v>963</v>
      </c>
      <c r="AB123" s="6">
        <v>9.01</v>
      </c>
      <c r="AC123" s="6">
        <v>8.5</v>
      </c>
      <c r="AD123" s="6">
        <v>8.3300000000000018</v>
      </c>
      <c r="AE123" s="6" t="s">
        <v>956</v>
      </c>
      <c r="AF123" s="6"/>
      <c r="AG123" s="12">
        <v>21.6</v>
      </c>
      <c r="AH123" s="6"/>
      <c r="AI123" s="6" t="s">
        <v>965</v>
      </c>
      <c r="AJ123" s="112"/>
      <c r="AK123" s="108">
        <v>8.5999999999999993E-2</v>
      </c>
      <c r="AL123" s="6"/>
      <c r="AM123" s="6" t="s">
        <v>958</v>
      </c>
      <c r="AN123" s="6"/>
      <c r="AO123" s="105">
        <v>10.82</v>
      </c>
      <c r="AP123" s="6"/>
      <c r="AQ123" s="28" t="s">
        <v>319</v>
      </c>
      <c r="AR123" s="28" t="s">
        <v>319</v>
      </c>
      <c r="AS123" s="28" t="s">
        <v>319</v>
      </c>
      <c r="AT123" s="28" t="s">
        <v>319</v>
      </c>
      <c r="AU123" s="28" t="s">
        <v>319</v>
      </c>
      <c r="AV123" s="28" t="s">
        <v>319</v>
      </c>
      <c r="AW123" s="28" t="s">
        <v>319</v>
      </c>
      <c r="AX123" s="28" t="s">
        <v>319</v>
      </c>
      <c r="AY123" s="28" t="s">
        <v>319</v>
      </c>
      <c r="AZ123" s="28" t="s">
        <v>319</v>
      </c>
      <c r="BA123" s="28" t="s">
        <v>319</v>
      </c>
      <c r="BB123" s="6" t="s">
        <v>984</v>
      </c>
      <c r="BC123" s="106">
        <v>-47</v>
      </c>
      <c r="BD123" s="106">
        <v>100</v>
      </c>
      <c r="BE123" s="6" t="s">
        <v>1010</v>
      </c>
      <c r="BF123" s="6"/>
      <c r="BG123" s="12">
        <v>28.5</v>
      </c>
      <c r="BH123" s="28" t="s">
        <v>319</v>
      </c>
      <c r="BI123" s="28" t="s">
        <v>319</v>
      </c>
      <c r="BJ123" s="28" t="s">
        <v>319</v>
      </c>
      <c r="BK123" s="28" t="s">
        <v>319</v>
      </c>
      <c r="BL123" s="28" t="s">
        <v>319</v>
      </c>
      <c r="BM123" s="28" t="s">
        <v>319</v>
      </c>
      <c r="BN123" s="28" t="s">
        <v>319</v>
      </c>
      <c r="BO123" s="28" t="s">
        <v>319</v>
      </c>
      <c r="BP123" s="28" t="s">
        <v>319</v>
      </c>
      <c r="BQ123" s="28" t="s">
        <v>319</v>
      </c>
      <c r="BR123" s="12">
        <v>47.1</v>
      </c>
      <c r="BS123" s="12">
        <v>507.9</v>
      </c>
      <c r="BT123" s="6"/>
      <c r="BU123" s="5"/>
      <c r="BV123" s="6"/>
      <c r="BW123" s="5"/>
      <c r="BX123" s="6" t="s">
        <v>1054</v>
      </c>
      <c r="BY123" s="6"/>
      <c r="BZ123" s="30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9"/>
      <c r="DB123" s="6"/>
      <c r="DC123" s="30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 t="s">
        <v>319</v>
      </c>
      <c r="DO123" s="28" t="s">
        <v>319</v>
      </c>
      <c r="DP123" s="28" t="s">
        <v>319</v>
      </c>
      <c r="DQ123" s="28" t="s">
        <v>319</v>
      </c>
      <c r="DR123" s="28" t="s">
        <v>319</v>
      </c>
      <c r="DS123" s="28" t="s">
        <v>319</v>
      </c>
      <c r="DT123" s="28" t="s">
        <v>319</v>
      </c>
      <c r="DU123" s="28" t="s">
        <v>319</v>
      </c>
      <c r="DV123" s="28" t="s">
        <v>319</v>
      </c>
      <c r="DW123" s="28" t="s">
        <v>319</v>
      </c>
      <c r="DX123" s="28" t="s">
        <v>319</v>
      </c>
      <c r="DY123" s="28" t="s">
        <v>319</v>
      </c>
      <c r="DZ123" s="28" t="s">
        <v>319</v>
      </c>
      <c r="EA123" s="28" t="s">
        <v>319</v>
      </c>
      <c r="EB123" s="28" t="s">
        <v>319</v>
      </c>
      <c r="EC123" s="28" t="s">
        <v>319</v>
      </c>
      <c r="ED123" s="28" t="s">
        <v>319</v>
      </c>
      <c r="EE123" s="28"/>
      <c r="EF123" s="28" t="s">
        <v>319</v>
      </c>
      <c r="EG123" s="28" t="s">
        <v>319</v>
      </c>
      <c r="EH123" s="28" t="s">
        <v>319</v>
      </c>
      <c r="EI123" s="28" t="s">
        <v>319</v>
      </c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7"/>
      <c r="FK123" s="6"/>
      <c r="FL123" s="6"/>
      <c r="FM123" s="97"/>
    </row>
    <row r="124" spans="1:169" s="3" customFormat="1" x14ac:dyDescent="0.4">
      <c r="A124" s="93"/>
      <c r="B124" s="93"/>
      <c r="C124" s="26"/>
      <c r="D124" s="27" t="s">
        <v>319</v>
      </c>
      <c r="E124" s="2" t="s">
        <v>494</v>
      </c>
      <c r="F124" s="28" t="s">
        <v>319</v>
      </c>
      <c r="G124" s="28" t="s">
        <v>319</v>
      </c>
      <c r="H124" s="28" t="s">
        <v>319</v>
      </c>
      <c r="I124" s="6" t="s">
        <v>608</v>
      </c>
      <c r="J124" s="28" t="s">
        <v>319</v>
      </c>
      <c r="K124" s="28" t="s">
        <v>319</v>
      </c>
      <c r="L124" s="28" t="s">
        <v>319</v>
      </c>
      <c r="M124" s="28" t="s">
        <v>319</v>
      </c>
      <c r="N124" s="28" t="s">
        <v>319</v>
      </c>
      <c r="O124" s="28" t="s">
        <v>319</v>
      </c>
      <c r="P124" s="28" t="s">
        <v>319</v>
      </c>
      <c r="Q124" s="5" t="s">
        <v>721</v>
      </c>
      <c r="R124" s="5" t="s">
        <v>667</v>
      </c>
      <c r="S124" s="6" t="s">
        <v>669</v>
      </c>
      <c r="T124" s="5" t="s">
        <v>779</v>
      </c>
      <c r="U124" s="106">
        <v>88730</v>
      </c>
      <c r="V124" s="106">
        <v>97603</v>
      </c>
      <c r="W124" s="6" t="s">
        <v>665</v>
      </c>
      <c r="X124" s="105">
        <v>6.06</v>
      </c>
      <c r="Y124" s="105">
        <v>6.27</v>
      </c>
      <c r="Z124" s="105">
        <v>6.32</v>
      </c>
      <c r="AA124" s="6" t="s">
        <v>963</v>
      </c>
      <c r="AB124" s="6">
        <v>0.29999999999999982</v>
      </c>
      <c r="AC124" s="6">
        <v>0.29999999999999982</v>
      </c>
      <c r="AD124" s="6">
        <v>0.30000000000000071</v>
      </c>
      <c r="AE124" s="6" t="s">
        <v>956</v>
      </c>
      <c r="AF124" s="6"/>
      <c r="AG124" s="12">
        <v>11.2</v>
      </c>
      <c r="AH124" s="6"/>
      <c r="AI124" s="6" t="s">
        <v>993</v>
      </c>
      <c r="AJ124" s="108"/>
      <c r="AK124" s="112">
        <v>8.3999999999999995E-3</v>
      </c>
      <c r="AL124" s="6"/>
      <c r="AM124" s="6"/>
      <c r="AN124" s="6"/>
      <c r="AO124" s="5"/>
      <c r="AP124" s="6"/>
      <c r="AQ124" s="28" t="s">
        <v>319</v>
      </c>
      <c r="AR124" s="28" t="s">
        <v>319</v>
      </c>
      <c r="AS124" s="28" t="s">
        <v>319</v>
      </c>
      <c r="AT124" s="28" t="s">
        <v>319</v>
      </c>
      <c r="AU124" s="28" t="s">
        <v>319</v>
      </c>
      <c r="AV124" s="28" t="s">
        <v>319</v>
      </c>
      <c r="AW124" s="28" t="s">
        <v>319</v>
      </c>
      <c r="AX124" s="28" t="s">
        <v>319</v>
      </c>
      <c r="AY124" s="28" t="s">
        <v>319</v>
      </c>
      <c r="AZ124" s="28" t="s">
        <v>319</v>
      </c>
      <c r="BA124" s="28" t="s">
        <v>319</v>
      </c>
      <c r="BB124" s="6" t="s">
        <v>984</v>
      </c>
      <c r="BC124" s="106">
        <v>-47</v>
      </c>
      <c r="BD124" s="106">
        <v>65</v>
      </c>
      <c r="BE124" s="6" t="s">
        <v>1010</v>
      </c>
      <c r="BF124" s="6"/>
      <c r="BG124" s="12">
        <v>18</v>
      </c>
      <c r="BH124" s="28" t="s">
        <v>319</v>
      </c>
      <c r="BI124" s="28" t="s">
        <v>319</v>
      </c>
      <c r="BJ124" s="28" t="s">
        <v>319</v>
      </c>
      <c r="BK124" s="28" t="s">
        <v>319</v>
      </c>
      <c r="BL124" s="28" t="s">
        <v>319</v>
      </c>
      <c r="BM124" s="28" t="s">
        <v>319</v>
      </c>
      <c r="BN124" s="28" t="s">
        <v>319</v>
      </c>
      <c r="BO124" s="28" t="s">
        <v>319</v>
      </c>
      <c r="BP124" s="28" t="s">
        <v>319</v>
      </c>
      <c r="BQ124" s="28" t="s">
        <v>319</v>
      </c>
      <c r="BR124" s="5"/>
      <c r="BS124" s="105"/>
      <c r="BT124" s="6"/>
      <c r="BU124" s="12">
        <v>42.1</v>
      </c>
      <c r="BV124" s="6" t="s">
        <v>1021</v>
      </c>
      <c r="BW124" s="108">
        <v>1.2330000000000001</v>
      </c>
      <c r="BX124" s="6"/>
      <c r="BY124" s="6"/>
      <c r="BZ124" s="30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9"/>
      <c r="DB124" s="6"/>
      <c r="DC124" s="30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 t="s">
        <v>319</v>
      </c>
      <c r="DO124" s="28" t="s">
        <v>319</v>
      </c>
      <c r="DP124" s="28" t="s">
        <v>319</v>
      </c>
      <c r="DQ124" s="28" t="s">
        <v>319</v>
      </c>
      <c r="DR124" s="28" t="s">
        <v>319</v>
      </c>
      <c r="DS124" s="28" t="s">
        <v>319</v>
      </c>
      <c r="DT124" s="28" t="s">
        <v>319</v>
      </c>
      <c r="DU124" s="28" t="s">
        <v>319</v>
      </c>
      <c r="DV124" s="28" t="s">
        <v>319</v>
      </c>
      <c r="DW124" s="28" t="s">
        <v>319</v>
      </c>
      <c r="DX124" s="28" t="s">
        <v>319</v>
      </c>
      <c r="DY124" s="28" t="s">
        <v>319</v>
      </c>
      <c r="DZ124" s="28" t="s">
        <v>319</v>
      </c>
      <c r="EA124" s="28" t="s">
        <v>319</v>
      </c>
      <c r="EB124" s="28" t="s">
        <v>319</v>
      </c>
      <c r="EC124" s="28" t="s">
        <v>319</v>
      </c>
      <c r="ED124" s="28" t="s">
        <v>319</v>
      </c>
      <c r="EE124" s="28"/>
      <c r="EF124" s="28" t="s">
        <v>319</v>
      </c>
      <c r="EG124" s="28" t="s">
        <v>319</v>
      </c>
      <c r="EH124" s="28" t="s">
        <v>319</v>
      </c>
      <c r="EI124" s="28" t="s">
        <v>319</v>
      </c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7"/>
      <c r="FK124" s="6"/>
      <c r="FL124" s="6"/>
      <c r="FM124" s="94"/>
    </row>
    <row r="125" spans="1:169" s="3" customFormat="1" x14ac:dyDescent="0.4">
      <c r="A125" s="93"/>
      <c r="B125" s="93"/>
      <c r="C125" s="26"/>
      <c r="D125" s="27" t="s">
        <v>319</v>
      </c>
      <c r="E125" s="2" t="s">
        <v>1383</v>
      </c>
      <c r="F125" s="28" t="s">
        <v>319</v>
      </c>
      <c r="G125" s="28" t="s">
        <v>319</v>
      </c>
      <c r="H125" s="28" t="s">
        <v>319</v>
      </c>
      <c r="I125" s="6" t="s">
        <v>608</v>
      </c>
      <c r="J125" s="28" t="s">
        <v>319</v>
      </c>
      <c r="K125" s="28" t="s">
        <v>319</v>
      </c>
      <c r="L125" s="28" t="s">
        <v>319</v>
      </c>
      <c r="M125" s="28" t="s">
        <v>319</v>
      </c>
      <c r="N125" s="28" t="s">
        <v>319</v>
      </c>
      <c r="O125" s="28" t="s">
        <v>319</v>
      </c>
      <c r="P125" s="28" t="s">
        <v>319</v>
      </c>
      <c r="Q125" s="5" t="s">
        <v>780</v>
      </c>
      <c r="R125" s="5" t="s">
        <v>667</v>
      </c>
      <c r="S125" s="6" t="s">
        <v>672</v>
      </c>
      <c r="T125" s="5"/>
      <c r="U125" s="106"/>
      <c r="V125" s="5" t="s">
        <v>781</v>
      </c>
      <c r="W125" s="6" t="s">
        <v>665</v>
      </c>
      <c r="X125" s="105"/>
      <c r="Y125" s="105"/>
      <c r="Z125" s="105">
        <v>6.5</v>
      </c>
      <c r="AA125" s="6" t="s">
        <v>972</v>
      </c>
      <c r="AB125" s="6"/>
      <c r="AC125" s="6"/>
      <c r="AD125" s="6" t="s">
        <v>995</v>
      </c>
      <c r="AE125" s="6" t="s">
        <v>956</v>
      </c>
      <c r="AF125" s="6"/>
      <c r="AG125" s="12">
        <v>10</v>
      </c>
      <c r="AH125" s="6"/>
      <c r="AI125" s="6" t="s">
        <v>964</v>
      </c>
      <c r="AJ125" s="108"/>
      <c r="AK125" s="108">
        <v>8.9999999999999993E-3</v>
      </c>
      <c r="AL125" s="6"/>
      <c r="AM125" s="6"/>
      <c r="AN125" s="6"/>
      <c r="AO125" s="5"/>
      <c r="AP125" s="6"/>
      <c r="AQ125" s="28" t="s">
        <v>319</v>
      </c>
      <c r="AR125" s="28" t="s">
        <v>319</v>
      </c>
      <c r="AS125" s="28" t="s">
        <v>319</v>
      </c>
      <c r="AT125" s="28" t="s">
        <v>319</v>
      </c>
      <c r="AU125" s="28" t="s">
        <v>319</v>
      </c>
      <c r="AV125" s="28" t="s">
        <v>319</v>
      </c>
      <c r="AW125" s="28" t="s">
        <v>319</v>
      </c>
      <c r="AX125" s="28" t="s">
        <v>319</v>
      </c>
      <c r="AY125" s="28" t="s">
        <v>319</v>
      </c>
      <c r="AZ125" s="28" t="s">
        <v>319</v>
      </c>
      <c r="BA125" s="28" t="s">
        <v>319</v>
      </c>
      <c r="BB125" s="6" t="s">
        <v>984</v>
      </c>
      <c r="BC125" s="183">
        <v>-190</v>
      </c>
      <c r="BD125" s="183">
        <v>190</v>
      </c>
      <c r="BE125" s="6" t="s">
        <v>1010</v>
      </c>
      <c r="BF125" s="6"/>
      <c r="BG125" s="12">
        <v>8</v>
      </c>
      <c r="BH125" s="28" t="s">
        <v>319</v>
      </c>
      <c r="BI125" s="28" t="s">
        <v>319</v>
      </c>
      <c r="BJ125" s="28" t="s">
        <v>319</v>
      </c>
      <c r="BK125" s="28" t="s">
        <v>319</v>
      </c>
      <c r="BL125" s="28" t="s">
        <v>319</v>
      </c>
      <c r="BM125" s="28" t="s">
        <v>319</v>
      </c>
      <c r="BN125" s="28" t="s">
        <v>319</v>
      </c>
      <c r="BO125" s="28" t="s">
        <v>319</v>
      </c>
      <c r="BP125" s="28" t="s">
        <v>319</v>
      </c>
      <c r="BQ125" s="28" t="s">
        <v>319</v>
      </c>
      <c r="BR125" s="5"/>
      <c r="BS125" s="105"/>
      <c r="BT125" s="6"/>
      <c r="BU125" s="12">
        <v>30.1</v>
      </c>
      <c r="BV125" s="99" t="s">
        <v>1278</v>
      </c>
      <c r="BW125" s="108">
        <v>1.2370000000000001</v>
      </c>
      <c r="BX125" s="6"/>
      <c r="BY125" s="6"/>
      <c r="BZ125" s="30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9"/>
      <c r="DB125" s="6"/>
      <c r="DC125" s="30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 t="s">
        <v>319</v>
      </c>
      <c r="DO125" s="28" t="s">
        <v>319</v>
      </c>
      <c r="DP125" s="28" t="s">
        <v>319</v>
      </c>
      <c r="DQ125" s="28" t="s">
        <v>319</v>
      </c>
      <c r="DR125" s="28" t="s">
        <v>319</v>
      </c>
      <c r="DS125" s="28" t="s">
        <v>319</v>
      </c>
      <c r="DT125" s="28" t="s">
        <v>319</v>
      </c>
      <c r="DU125" s="28" t="s">
        <v>319</v>
      </c>
      <c r="DV125" s="28" t="s">
        <v>319</v>
      </c>
      <c r="DW125" s="28" t="s">
        <v>319</v>
      </c>
      <c r="DX125" s="28" t="s">
        <v>319</v>
      </c>
      <c r="DY125" s="28" t="s">
        <v>319</v>
      </c>
      <c r="DZ125" s="28" t="s">
        <v>319</v>
      </c>
      <c r="EA125" s="28" t="s">
        <v>319</v>
      </c>
      <c r="EB125" s="28" t="s">
        <v>319</v>
      </c>
      <c r="EC125" s="28" t="s">
        <v>319</v>
      </c>
      <c r="ED125" s="28" t="s">
        <v>319</v>
      </c>
      <c r="EE125" s="28"/>
      <c r="EF125" s="28" t="s">
        <v>319</v>
      </c>
      <c r="EG125" s="28" t="s">
        <v>319</v>
      </c>
      <c r="EH125" s="28" t="s">
        <v>319</v>
      </c>
      <c r="EI125" s="28" t="s">
        <v>319</v>
      </c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7"/>
      <c r="FK125" s="6"/>
      <c r="FL125" s="6"/>
      <c r="FM125" s="94"/>
    </row>
    <row r="126" spans="1:169" s="22" customFormat="1" x14ac:dyDescent="0.4">
      <c r="A126" s="93"/>
      <c r="B126" s="93"/>
      <c r="C126" s="26"/>
      <c r="D126" s="27"/>
      <c r="E126" s="2" t="s">
        <v>1235</v>
      </c>
      <c r="F126" s="28"/>
      <c r="G126" s="28"/>
      <c r="H126" s="28"/>
      <c r="I126" s="6" t="s">
        <v>608</v>
      </c>
      <c r="J126" s="28"/>
      <c r="K126" s="28"/>
      <c r="L126" s="28"/>
      <c r="M126" s="28"/>
      <c r="N126" s="28"/>
      <c r="O126" s="28"/>
      <c r="P126" s="28"/>
      <c r="Q126" s="5" t="s">
        <v>1277</v>
      </c>
      <c r="R126" s="5" t="s">
        <v>1276</v>
      </c>
      <c r="S126" s="6" t="s">
        <v>672</v>
      </c>
      <c r="T126" s="5"/>
      <c r="U126" s="106"/>
      <c r="V126" s="5" t="s">
        <v>781</v>
      </c>
      <c r="W126" s="6" t="s">
        <v>665</v>
      </c>
      <c r="X126" s="105"/>
      <c r="Y126" s="105"/>
      <c r="Z126" s="105">
        <v>6.5</v>
      </c>
      <c r="AA126" s="6" t="s">
        <v>959</v>
      </c>
      <c r="AB126" s="6"/>
      <c r="AC126" s="6"/>
      <c r="AD126" s="6" t="s">
        <v>995</v>
      </c>
      <c r="AE126" s="6" t="s">
        <v>956</v>
      </c>
      <c r="AF126" s="6"/>
      <c r="AG126" s="145">
        <v>10</v>
      </c>
      <c r="AH126" s="6"/>
      <c r="AI126" s="6" t="s">
        <v>957</v>
      </c>
      <c r="AJ126" s="146"/>
      <c r="AK126" s="146">
        <v>8.9999999999999993E-3</v>
      </c>
      <c r="AL126" s="6"/>
      <c r="AM126" s="6"/>
      <c r="AN126" s="6"/>
      <c r="AO126" s="147"/>
      <c r="AP126" s="6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6" t="s">
        <v>984</v>
      </c>
      <c r="BC126" s="106" t="s">
        <v>680</v>
      </c>
      <c r="BD126" s="106">
        <v>115</v>
      </c>
      <c r="BE126" s="6" t="s">
        <v>1008</v>
      </c>
      <c r="BF126" s="6"/>
      <c r="BG126" s="12">
        <v>8</v>
      </c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5"/>
      <c r="BS126" s="105"/>
      <c r="BT126" s="6"/>
      <c r="BU126" s="12">
        <v>30.1</v>
      </c>
      <c r="BV126" s="99" t="s">
        <v>1278</v>
      </c>
      <c r="BW126" s="108">
        <v>1.2370000000000001</v>
      </c>
      <c r="BX126" s="6"/>
      <c r="BY126" s="6"/>
      <c r="BZ126" s="30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9"/>
      <c r="DB126" s="6"/>
      <c r="DC126" s="30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7"/>
      <c r="FK126" s="6"/>
      <c r="FL126" s="6"/>
      <c r="FM126" s="94"/>
    </row>
    <row r="127" spans="1:169" s="22" customFormat="1" ht="33" customHeight="1" x14ac:dyDescent="0.4">
      <c r="A127" s="93"/>
      <c r="B127" s="93"/>
      <c r="C127" s="26"/>
      <c r="D127" s="27"/>
      <c r="E127" s="2" t="s">
        <v>1236</v>
      </c>
      <c r="F127" s="28"/>
      <c r="G127" s="28"/>
      <c r="H127" s="28"/>
      <c r="I127" s="6" t="s">
        <v>608</v>
      </c>
      <c r="J127" s="28"/>
      <c r="K127" s="28"/>
      <c r="L127" s="28"/>
      <c r="M127" s="28"/>
      <c r="N127" s="28"/>
      <c r="O127" s="28"/>
      <c r="P127" s="28"/>
      <c r="Q127" s="5" t="s">
        <v>673</v>
      </c>
      <c r="R127" s="5" t="s">
        <v>663</v>
      </c>
      <c r="S127" s="6" t="s">
        <v>669</v>
      </c>
      <c r="T127" s="5"/>
      <c r="U127" s="226">
        <f>60*540</f>
        <v>32400</v>
      </c>
      <c r="V127" s="226">
        <f>60*540</f>
        <v>32400</v>
      </c>
      <c r="W127" s="6" t="s">
        <v>665</v>
      </c>
      <c r="X127" s="105"/>
      <c r="Y127" s="222">
        <v>30.72</v>
      </c>
      <c r="Z127" s="222">
        <v>35.6</v>
      </c>
      <c r="AA127" s="6" t="s">
        <v>959</v>
      </c>
      <c r="AB127" s="103"/>
      <c r="AC127" s="227">
        <v>23.3</v>
      </c>
      <c r="AD127" s="227">
        <v>28.2</v>
      </c>
      <c r="AE127" s="6" t="s">
        <v>956</v>
      </c>
      <c r="AF127" s="6"/>
      <c r="AG127" s="12">
        <v>12.1</v>
      </c>
      <c r="AH127" s="6"/>
      <c r="AI127" s="6" t="s">
        <v>957</v>
      </c>
      <c r="AJ127" s="148"/>
      <c r="AK127" s="108">
        <v>0.10100000000000001</v>
      </c>
      <c r="AL127" s="6"/>
      <c r="AM127" s="6" t="s">
        <v>958</v>
      </c>
      <c r="AN127" s="6"/>
      <c r="AO127" s="105">
        <v>7.99</v>
      </c>
      <c r="AP127" s="6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6" t="s">
        <v>984</v>
      </c>
      <c r="BC127" s="106">
        <v>-47</v>
      </c>
      <c r="BD127" s="106">
        <v>115</v>
      </c>
      <c r="BE127" s="6" t="s">
        <v>1008</v>
      </c>
      <c r="BF127" s="6"/>
      <c r="BG127" s="185">
        <v>44.8</v>
      </c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106">
        <v>48</v>
      </c>
      <c r="BS127" s="12">
        <v>536.5</v>
      </c>
      <c r="BT127" s="6"/>
      <c r="BU127" s="12"/>
      <c r="BV127" s="6"/>
      <c r="BW127" s="108"/>
      <c r="BX127" s="6" t="s">
        <v>1051</v>
      </c>
      <c r="BY127" s="6"/>
      <c r="BZ127" s="30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9"/>
      <c r="DB127" s="6"/>
      <c r="DC127" s="30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7"/>
      <c r="FK127" s="6"/>
      <c r="FL127" s="6"/>
      <c r="FM127" s="94"/>
    </row>
    <row r="128" spans="1:169" s="22" customFormat="1" x14ac:dyDescent="0.4">
      <c r="A128" s="93"/>
      <c r="B128" s="93"/>
      <c r="C128" s="26"/>
      <c r="D128" s="27"/>
      <c r="E128" s="2" t="s">
        <v>1237</v>
      </c>
      <c r="F128" s="28"/>
      <c r="G128" s="28"/>
      <c r="H128" s="28"/>
      <c r="I128" s="6" t="s">
        <v>1238</v>
      </c>
      <c r="J128" s="28"/>
      <c r="K128" s="28"/>
      <c r="L128" s="28"/>
      <c r="M128" s="28"/>
      <c r="N128" s="28"/>
      <c r="O128" s="28"/>
      <c r="P128" s="28"/>
      <c r="Q128" s="5" t="s">
        <v>673</v>
      </c>
      <c r="R128" s="5" t="s">
        <v>663</v>
      </c>
      <c r="S128" s="6" t="s">
        <v>669</v>
      </c>
      <c r="T128" s="180">
        <v>10443</v>
      </c>
      <c r="U128" s="180">
        <v>24977</v>
      </c>
      <c r="V128" s="180">
        <v>27475</v>
      </c>
      <c r="W128" s="6" t="s">
        <v>665</v>
      </c>
      <c r="X128" s="105">
        <v>35.61</v>
      </c>
      <c r="Y128" s="105">
        <v>32.770000000000003</v>
      </c>
      <c r="Z128" s="105">
        <v>31.02</v>
      </c>
      <c r="AA128" s="6" t="s">
        <v>959</v>
      </c>
      <c r="AB128" s="278" t="s">
        <v>1495</v>
      </c>
      <c r="AC128" s="278" t="s">
        <v>1496</v>
      </c>
      <c r="AD128" s="278" t="s">
        <v>1497</v>
      </c>
      <c r="AE128" s="6" t="s">
        <v>956</v>
      </c>
      <c r="AF128" s="6"/>
      <c r="AG128" s="12">
        <v>12.1</v>
      </c>
      <c r="AH128" s="6"/>
      <c r="AI128" s="6" t="s">
        <v>957</v>
      </c>
      <c r="AJ128" s="108"/>
      <c r="AK128" s="108">
        <v>0.10100000000000001</v>
      </c>
      <c r="AL128" s="6"/>
      <c r="AM128" s="6" t="s">
        <v>958</v>
      </c>
      <c r="AN128" s="6"/>
      <c r="AO128" s="105">
        <v>7.99</v>
      </c>
      <c r="AP128" s="6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6" t="s">
        <v>984</v>
      </c>
      <c r="BC128" s="106">
        <v>-47</v>
      </c>
      <c r="BD128" s="106">
        <v>115</v>
      </c>
      <c r="BE128" s="6" t="s">
        <v>1008</v>
      </c>
      <c r="BF128" s="6"/>
      <c r="BG128" s="185">
        <v>44.8</v>
      </c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106">
        <v>48</v>
      </c>
      <c r="BS128" s="12">
        <v>536.5</v>
      </c>
      <c r="BT128" s="6"/>
      <c r="BU128" s="12"/>
      <c r="BV128" s="6"/>
      <c r="BW128" s="108"/>
      <c r="BX128" s="6" t="s">
        <v>1051</v>
      </c>
      <c r="BY128" s="6"/>
      <c r="BZ128" s="30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9"/>
      <c r="DB128" s="6"/>
      <c r="DC128" s="30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7"/>
      <c r="FK128" s="6"/>
      <c r="FL128" s="6"/>
      <c r="FM128" s="94"/>
    </row>
    <row r="129" spans="1:169" s="3" customFormat="1" ht="33" customHeight="1" x14ac:dyDescent="0.4">
      <c r="A129" s="93"/>
      <c r="B129" s="93"/>
      <c r="C129" s="26"/>
      <c r="D129" s="27" t="s">
        <v>319</v>
      </c>
      <c r="E129" s="2" t="s">
        <v>355</v>
      </c>
      <c r="F129" s="28" t="s">
        <v>319</v>
      </c>
      <c r="G129" s="28" t="s">
        <v>319</v>
      </c>
      <c r="H129" s="28" t="s">
        <v>319</v>
      </c>
      <c r="I129" s="6" t="s">
        <v>609</v>
      </c>
      <c r="J129" s="28" t="s">
        <v>319</v>
      </c>
      <c r="K129" s="28" t="s">
        <v>319</v>
      </c>
      <c r="L129" s="28" t="s">
        <v>319</v>
      </c>
      <c r="M129" s="28" t="s">
        <v>319</v>
      </c>
      <c r="N129" s="28" t="s">
        <v>319</v>
      </c>
      <c r="O129" s="28" t="s">
        <v>319</v>
      </c>
      <c r="P129" s="28" t="s">
        <v>319</v>
      </c>
      <c r="Q129" s="5" t="s">
        <v>675</v>
      </c>
      <c r="R129" s="5" t="s">
        <v>667</v>
      </c>
      <c r="S129" s="6" t="s">
        <v>672</v>
      </c>
      <c r="T129" s="106">
        <v>6629</v>
      </c>
      <c r="U129" s="106">
        <v>11048</v>
      </c>
      <c r="V129" s="106">
        <v>12153</v>
      </c>
      <c r="W129" s="6" t="s">
        <v>665</v>
      </c>
      <c r="X129" s="105">
        <v>3</v>
      </c>
      <c r="Y129" s="105">
        <v>2.9</v>
      </c>
      <c r="Z129" s="105">
        <v>2.85</v>
      </c>
      <c r="AA129" s="6" t="s">
        <v>963</v>
      </c>
      <c r="AB129" s="6">
        <v>0.70000000000000018</v>
      </c>
      <c r="AC129" s="6">
        <v>0.58999999999999986</v>
      </c>
      <c r="AD129" s="6">
        <v>0.53000000000000025</v>
      </c>
      <c r="AE129" s="6" t="s">
        <v>956</v>
      </c>
      <c r="AF129" s="6"/>
      <c r="AG129" s="12">
        <v>160</v>
      </c>
      <c r="AH129" s="6"/>
      <c r="AI129" s="6" t="s">
        <v>965</v>
      </c>
      <c r="AJ129" s="108"/>
      <c r="AK129" s="112">
        <v>1.44E-2</v>
      </c>
      <c r="AL129" s="6"/>
      <c r="AM129" s="6"/>
      <c r="AN129" s="6"/>
      <c r="AO129" s="5"/>
      <c r="AP129" s="6"/>
      <c r="AQ129" s="28" t="s">
        <v>319</v>
      </c>
      <c r="AR129" s="28" t="s">
        <v>319</v>
      </c>
      <c r="AS129" s="28" t="s">
        <v>319</v>
      </c>
      <c r="AT129" s="28" t="s">
        <v>319</v>
      </c>
      <c r="AU129" s="28" t="s">
        <v>319</v>
      </c>
      <c r="AV129" s="28" t="s">
        <v>319</v>
      </c>
      <c r="AW129" s="28" t="s">
        <v>319</v>
      </c>
      <c r="AX129" s="28" t="s">
        <v>319</v>
      </c>
      <c r="AY129" s="28" t="s">
        <v>319</v>
      </c>
      <c r="AZ129" s="28" t="s">
        <v>319</v>
      </c>
      <c r="BA129" s="28" t="s">
        <v>319</v>
      </c>
      <c r="BB129" s="6" t="s">
        <v>984</v>
      </c>
      <c r="BC129" s="5" t="s">
        <v>1012</v>
      </c>
      <c r="BD129" s="106">
        <v>200</v>
      </c>
      <c r="BE129" s="6" t="s">
        <v>1010</v>
      </c>
      <c r="BF129" s="181" t="s">
        <v>1448</v>
      </c>
      <c r="BG129" s="12">
        <v>6</v>
      </c>
      <c r="BH129" s="28" t="s">
        <v>319</v>
      </c>
      <c r="BI129" s="28" t="s">
        <v>319</v>
      </c>
      <c r="BJ129" s="28" t="s">
        <v>319</v>
      </c>
      <c r="BK129" s="28" t="s">
        <v>319</v>
      </c>
      <c r="BL129" s="28" t="s">
        <v>319</v>
      </c>
      <c r="BM129" s="28" t="s">
        <v>319</v>
      </c>
      <c r="BN129" s="28" t="s">
        <v>319</v>
      </c>
      <c r="BO129" s="28" t="s">
        <v>319</v>
      </c>
      <c r="BP129" s="28" t="s">
        <v>319</v>
      </c>
      <c r="BQ129" s="28" t="s">
        <v>319</v>
      </c>
      <c r="BR129" s="5"/>
      <c r="BS129" s="105"/>
      <c r="BT129" s="6"/>
      <c r="BU129" s="12">
        <v>18</v>
      </c>
      <c r="BV129" s="6" t="s">
        <v>1026</v>
      </c>
      <c r="BW129" s="105">
        <v>1.41</v>
      </c>
      <c r="BX129" s="6"/>
      <c r="BY129" s="6"/>
      <c r="BZ129" s="30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9"/>
      <c r="DB129" s="6"/>
      <c r="DC129" s="30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 t="s">
        <v>319</v>
      </c>
      <c r="DO129" s="28" t="s">
        <v>319</v>
      </c>
      <c r="DP129" s="28" t="s">
        <v>319</v>
      </c>
      <c r="DQ129" s="28" t="s">
        <v>319</v>
      </c>
      <c r="DR129" s="28" t="s">
        <v>319</v>
      </c>
      <c r="DS129" s="28" t="s">
        <v>319</v>
      </c>
      <c r="DT129" s="28" t="s">
        <v>319</v>
      </c>
      <c r="DU129" s="28" t="s">
        <v>319</v>
      </c>
      <c r="DV129" s="28" t="s">
        <v>319</v>
      </c>
      <c r="DW129" s="28" t="s">
        <v>319</v>
      </c>
      <c r="DX129" s="28" t="s">
        <v>319</v>
      </c>
      <c r="DY129" s="28" t="s">
        <v>319</v>
      </c>
      <c r="DZ129" s="28" t="s">
        <v>319</v>
      </c>
      <c r="EA129" s="28" t="s">
        <v>319</v>
      </c>
      <c r="EB129" s="28" t="s">
        <v>319</v>
      </c>
      <c r="EC129" s="28" t="s">
        <v>319</v>
      </c>
      <c r="ED129" s="28" t="s">
        <v>319</v>
      </c>
      <c r="EE129" s="28"/>
      <c r="EF129" s="28" t="s">
        <v>319</v>
      </c>
      <c r="EG129" s="28" t="s">
        <v>319</v>
      </c>
      <c r="EH129" s="28" t="s">
        <v>319</v>
      </c>
      <c r="EI129" s="28" t="s">
        <v>319</v>
      </c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7"/>
      <c r="FK129" s="6"/>
      <c r="FL129" s="6"/>
      <c r="FM129" s="94"/>
    </row>
    <row r="130" spans="1:169" s="3" customFormat="1" ht="34.799999999999997" x14ac:dyDescent="0.4">
      <c r="A130" s="93"/>
      <c r="B130" s="93"/>
      <c r="C130" s="26"/>
      <c r="D130" s="27" t="s">
        <v>319</v>
      </c>
      <c r="E130" s="2" t="s">
        <v>482</v>
      </c>
      <c r="F130" s="28" t="s">
        <v>319</v>
      </c>
      <c r="G130" s="28" t="s">
        <v>319</v>
      </c>
      <c r="H130" s="28" t="s">
        <v>319</v>
      </c>
      <c r="I130" s="6" t="s">
        <v>610</v>
      </c>
      <c r="J130" s="28" t="s">
        <v>319</v>
      </c>
      <c r="K130" s="28" t="s">
        <v>319</v>
      </c>
      <c r="L130" s="28" t="s">
        <v>319</v>
      </c>
      <c r="M130" s="28" t="s">
        <v>319</v>
      </c>
      <c r="N130" s="28" t="s">
        <v>319</v>
      </c>
      <c r="O130" s="28" t="s">
        <v>319</v>
      </c>
      <c r="P130" s="28" t="s">
        <v>319</v>
      </c>
      <c r="Q130" s="5" t="s">
        <v>673</v>
      </c>
      <c r="R130" s="5" t="s">
        <v>667</v>
      </c>
      <c r="S130" s="6" t="s">
        <v>669</v>
      </c>
      <c r="T130" s="5" t="s">
        <v>782</v>
      </c>
      <c r="U130" s="5" t="s">
        <v>783</v>
      </c>
      <c r="V130" s="5" t="s">
        <v>784</v>
      </c>
      <c r="W130" s="6" t="s">
        <v>665</v>
      </c>
      <c r="X130" s="105">
        <v>40.86</v>
      </c>
      <c r="Y130" s="105">
        <v>40.799999999999997</v>
      </c>
      <c r="Z130" s="105">
        <v>40.79</v>
      </c>
      <c r="AA130" s="6" t="s">
        <v>963</v>
      </c>
      <c r="AB130" s="6">
        <v>0.5</v>
      </c>
      <c r="AC130" s="6">
        <v>0.33999999999999631</v>
      </c>
      <c r="AD130" s="6">
        <v>0.29999999999999716</v>
      </c>
      <c r="AE130" s="6" t="s">
        <v>956</v>
      </c>
      <c r="AF130" s="6"/>
      <c r="AG130" s="12">
        <v>68.400000000000006</v>
      </c>
      <c r="AH130" s="6"/>
      <c r="AI130" s="6" t="s">
        <v>965</v>
      </c>
      <c r="AJ130" s="108"/>
      <c r="AK130" s="112">
        <v>1.26E-2</v>
      </c>
      <c r="AL130" s="6"/>
      <c r="AM130" s="6"/>
      <c r="AN130" s="6"/>
      <c r="AO130" s="5"/>
      <c r="AP130" s="6"/>
      <c r="AQ130" s="28" t="s">
        <v>319</v>
      </c>
      <c r="AR130" s="28" t="s">
        <v>319</v>
      </c>
      <c r="AS130" s="28" t="s">
        <v>319</v>
      </c>
      <c r="AT130" s="28" t="s">
        <v>319</v>
      </c>
      <c r="AU130" s="28" t="s">
        <v>319</v>
      </c>
      <c r="AV130" s="28" t="s">
        <v>319</v>
      </c>
      <c r="AW130" s="28" t="s">
        <v>319</v>
      </c>
      <c r="AX130" s="28" t="s">
        <v>319</v>
      </c>
      <c r="AY130" s="28" t="s">
        <v>319</v>
      </c>
      <c r="AZ130" s="28" t="s">
        <v>319</v>
      </c>
      <c r="BA130" s="28" t="s">
        <v>319</v>
      </c>
      <c r="BB130" s="6" t="s">
        <v>984</v>
      </c>
      <c r="BC130" s="5" t="s">
        <v>1011</v>
      </c>
      <c r="BD130" s="106">
        <v>150</v>
      </c>
      <c r="BE130" s="6" t="s">
        <v>1010</v>
      </c>
      <c r="BF130" s="6"/>
      <c r="BG130" s="12">
        <v>48</v>
      </c>
      <c r="BH130" s="28" t="s">
        <v>319</v>
      </c>
      <c r="BI130" s="28" t="s">
        <v>319</v>
      </c>
      <c r="BJ130" s="28" t="s">
        <v>319</v>
      </c>
      <c r="BK130" s="28" t="s">
        <v>319</v>
      </c>
      <c r="BL130" s="28" t="s">
        <v>319</v>
      </c>
      <c r="BM130" s="28" t="s">
        <v>319</v>
      </c>
      <c r="BN130" s="28" t="s">
        <v>319</v>
      </c>
      <c r="BO130" s="28" t="s">
        <v>319</v>
      </c>
      <c r="BP130" s="28" t="s">
        <v>319</v>
      </c>
      <c r="BQ130" s="28" t="s">
        <v>319</v>
      </c>
      <c r="BR130" s="5"/>
      <c r="BS130" s="105"/>
      <c r="BT130" s="6"/>
      <c r="BU130" s="12">
        <v>23</v>
      </c>
      <c r="BV130" s="6" t="s">
        <v>1027</v>
      </c>
      <c r="BW130" s="108">
        <v>1.349</v>
      </c>
      <c r="BX130" s="6"/>
      <c r="BY130" s="6"/>
      <c r="BZ130" s="30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9"/>
      <c r="DB130" s="6"/>
      <c r="DC130" s="30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 t="s">
        <v>319</v>
      </c>
      <c r="DO130" s="28" t="s">
        <v>319</v>
      </c>
      <c r="DP130" s="28" t="s">
        <v>319</v>
      </c>
      <c r="DQ130" s="28" t="s">
        <v>319</v>
      </c>
      <c r="DR130" s="28" t="s">
        <v>319</v>
      </c>
      <c r="DS130" s="28" t="s">
        <v>319</v>
      </c>
      <c r="DT130" s="28" t="s">
        <v>319</v>
      </c>
      <c r="DU130" s="28" t="s">
        <v>319</v>
      </c>
      <c r="DV130" s="28" t="s">
        <v>319</v>
      </c>
      <c r="DW130" s="28" t="s">
        <v>319</v>
      </c>
      <c r="DX130" s="28" t="s">
        <v>319</v>
      </c>
      <c r="DY130" s="28" t="s">
        <v>319</v>
      </c>
      <c r="DZ130" s="28" t="s">
        <v>319</v>
      </c>
      <c r="EA130" s="28" t="s">
        <v>319</v>
      </c>
      <c r="EB130" s="28" t="s">
        <v>319</v>
      </c>
      <c r="EC130" s="28" t="s">
        <v>319</v>
      </c>
      <c r="ED130" s="28" t="s">
        <v>319</v>
      </c>
      <c r="EE130" s="28"/>
      <c r="EF130" s="28" t="s">
        <v>319</v>
      </c>
      <c r="EG130" s="28" t="s">
        <v>319</v>
      </c>
      <c r="EH130" s="28" t="s">
        <v>319</v>
      </c>
      <c r="EI130" s="28" t="s">
        <v>319</v>
      </c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7"/>
      <c r="FK130" s="15" t="s">
        <v>1059</v>
      </c>
      <c r="FL130" s="6"/>
      <c r="FM130" s="94"/>
    </row>
    <row r="131" spans="1:169" s="3" customFormat="1" ht="34.799999999999997" x14ac:dyDescent="0.4">
      <c r="A131" s="93"/>
      <c r="B131" s="93"/>
      <c r="C131" s="26"/>
      <c r="D131" s="27" t="s">
        <v>319</v>
      </c>
      <c r="E131" s="2" t="s">
        <v>527</v>
      </c>
      <c r="F131" s="28" t="s">
        <v>319</v>
      </c>
      <c r="G131" s="28" t="s">
        <v>319</v>
      </c>
      <c r="H131" s="28" t="s">
        <v>319</v>
      </c>
      <c r="I131" s="6" t="s">
        <v>609</v>
      </c>
      <c r="J131" s="28" t="s">
        <v>319</v>
      </c>
      <c r="K131" s="28" t="s">
        <v>319</v>
      </c>
      <c r="L131" s="28" t="s">
        <v>319</v>
      </c>
      <c r="M131" s="28" t="s">
        <v>319</v>
      </c>
      <c r="N131" s="28" t="s">
        <v>319</v>
      </c>
      <c r="O131" s="28" t="s">
        <v>319</v>
      </c>
      <c r="P131" s="28" t="s">
        <v>319</v>
      </c>
      <c r="Q131" s="5" t="s">
        <v>785</v>
      </c>
      <c r="R131" s="5" t="s">
        <v>667</v>
      </c>
      <c r="S131" s="6" t="s">
        <v>672</v>
      </c>
      <c r="T131" s="5" t="s">
        <v>782</v>
      </c>
      <c r="U131" s="5" t="s">
        <v>783</v>
      </c>
      <c r="V131" s="5" t="s">
        <v>786</v>
      </c>
      <c r="W131" s="6" t="s">
        <v>665</v>
      </c>
      <c r="X131" s="105">
        <v>40.83</v>
      </c>
      <c r="Y131" s="105">
        <v>40.79</v>
      </c>
      <c r="Z131" s="105">
        <v>40.770000000000003</v>
      </c>
      <c r="AA131" s="6" t="s">
        <v>968</v>
      </c>
      <c r="AB131" s="6">
        <v>0.29999999999999716</v>
      </c>
      <c r="AC131" s="6">
        <v>0.29999999999999716</v>
      </c>
      <c r="AD131" s="6">
        <v>0.30000000000000426</v>
      </c>
      <c r="AE131" s="6" t="s">
        <v>967</v>
      </c>
      <c r="AF131" s="6"/>
      <c r="AG131" s="12">
        <v>68.400000000000006</v>
      </c>
      <c r="AH131" s="6"/>
      <c r="AI131" s="6" t="s">
        <v>965</v>
      </c>
      <c r="AJ131" s="108"/>
      <c r="AK131" s="112">
        <v>1.26E-2</v>
      </c>
      <c r="AL131" s="6"/>
      <c r="AM131" s="6"/>
      <c r="AN131" s="6"/>
      <c r="AO131" s="5"/>
      <c r="AP131" s="6"/>
      <c r="AQ131" s="28" t="s">
        <v>319</v>
      </c>
      <c r="AR131" s="28" t="s">
        <v>319</v>
      </c>
      <c r="AS131" s="28" t="s">
        <v>319</v>
      </c>
      <c r="AT131" s="28" t="s">
        <v>319</v>
      </c>
      <c r="AU131" s="28" t="s">
        <v>319</v>
      </c>
      <c r="AV131" s="28" t="s">
        <v>319</v>
      </c>
      <c r="AW131" s="28" t="s">
        <v>319</v>
      </c>
      <c r="AX131" s="28" t="s">
        <v>319</v>
      </c>
      <c r="AY131" s="28" t="s">
        <v>319</v>
      </c>
      <c r="AZ131" s="28" t="s">
        <v>319</v>
      </c>
      <c r="BA131" s="28" t="s">
        <v>319</v>
      </c>
      <c r="BB131" s="6" t="s">
        <v>984</v>
      </c>
      <c r="BC131" s="5" t="s">
        <v>1011</v>
      </c>
      <c r="BD131" s="106">
        <v>150</v>
      </c>
      <c r="BE131" s="6" t="s">
        <v>1010</v>
      </c>
      <c r="BF131" s="6"/>
      <c r="BG131" s="12">
        <v>48</v>
      </c>
      <c r="BH131" s="28" t="s">
        <v>319</v>
      </c>
      <c r="BI131" s="28" t="s">
        <v>319</v>
      </c>
      <c r="BJ131" s="28" t="s">
        <v>319</v>
      </c>
      <c r="BK131" s="28" t="s">
        <v>319</v>
      </c>
      <c r="BL131" s="28" t="s">
        <v>319</v>
      </c>
      <c r="BM131" s="28" t="s">
        <v>319</v>
      </c>
      <c r="BN131" s="28" t="s">
        <v>319</v>
      </c>
      <c r="BO131" s="28" t="s">
        <v>319</v>
      </c>
      <c r="BP131" s="28" t="s">
        <v>319</v>
      </c>
      <c r="BQ131" s="28" t="s">
        <v>319</v>
      </c>
      <c r="BR131" s="5"/>
      <c r="BS131" s="105"/>
      <c r="BT131" s="6"/>
      <c r="BU131" s="12">
        <v>23</v>
      </c>
      <c r="BV131" s="6" t="s">
        <v>1027</v>
      </c>
      <c r="BW131" s="108">
        <v>1.349</v>
      </c>
      <c r="BX131" s="6"/>
      <c r="BY131" s="6"/>
      <c r="BZ131" s="30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9"/>
      <c r="DB131" s="6"/>
      <c r="DC131" s="30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 t="s">
        <v>319</v>
      </c>
      <c r="DO131" s="28" t="s">
        <v>319</v>
      </c>
      <c r="DP131" s="28" t="s">
        <v>319</v>
      </c>
      <c r="DQ131" s="28" t="s">
        <v>319</v>
      </c>
      <c r="DR131" s="28" t="s">
        <v>319</v>
      </c>
      <c r="DS131" s="28" t="s">
        <v>319</v>
      </c>
      <c r="DT131" s="28" t="s">
        <v>319</v>
      </c>
      <c r="DU131" s="28" t="s">
        <v>319</v>
      </c>
      <c r="DV131" s="28" t="s">
        <v>319</v>
      </c>
      <c r="DW131" s="28" t="s">
        <v>319</v>
      </c>
      <c r="DX131" s="28" t="s">
        <v>319</v>
      </c>
      <c r="DY131" s="28" t="s">
        <v>319</v>
      </c>
      <c r="DZ131" s="28" t="s">
        <v>319</v>
      </c>
      <c r="EA131" s="28" t="s">
        <v>319</v>
      </c>
      <c r="EB131" s="28" t="s">
        <v>319</v>
      </c>
      <c r="EC131" s="28" t="s">
        <v>319</v>
      </c>
      <c r="ED131" s="28" t="s">
        <v>319</v>
      </c>
      <c r="EE131" s="28"/>
      <c r="EF131" s="28" t="s">
        <v>319</v>
      </c>
      <c r="EG131" s="28" t="s">
        <v>319</v>
      </c>
      <c r="EH131" s="28" t="s">
        <v>319</v>
      </c>
      <c r="EI131" s="28" t="s">
        <v>319</v>
      </c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7"/>
      <c r="FK131" s="15" t="s">
        <v>1060</v>
      </c>
      <c r="FL131" s="6"/>
      <c r="FM131" s="94"/>
    </row>
    <row r="132" spans="1:169" s="3" customFormat="1" x14ac:dyDescent="0.4">
      <c r="A132" s="93"/>
      <c r="B132" s="93"/>
      <c r="C132" s="26"/>
      <c r="D132" s="27" t="s">
        <v>319</v>
      </c>
      <c r="E132" s="2" t="s">
        <v>458</v>
      </c>
      <c r="F132" s="28" t="s">
        <v>319</v>
      </c>
      <c r="G132" s="28" t="s">
        <v>319</v>
      </c>
      <c r="H132" s="28" t="s">
        <v>319</v>
      </c>
      <c r="I132" s="6" t="s">
        <v>609</v>
      </c>
      <c r="J132" s="28" t="s">
        <v>319</v>
      </c>
      <c r="K132" s="28" t="s">
        <v>319</v>
      </c>
      <c r="L132" s="28" t="s">
        <v>319</v>
      </c>
      <c r="M132" s="28" t="s">
        <v>319</v>
      </c>
      <c r="N132" s="28" t="s">
        <v>319</v>
      </c>
      <c r="O132" s="28" t="s">
        <v>319</v>
      </c>
      <c r="P132" s="28" t="s">
        <v>319</v>
      </c>
      <c r="Q132" s="5" t="s">
        <v>676</v>
      </c>
      <c r="R132" s="5" t="s">
        <v>663</v>
      </c>
      <c r="S132" s="6" t="s">
        <v>678</v>
      </c>
      <c r="T132" s="106">
        <v>6629</v>
      </c>
      <c r="U132" s="106">
        <v>11048</v>
      </c>
      <c r="V132" s="106">
        <v>12153</v>
      </c>
      <c r="W132" s="6" t="s">
        <v>665</v>
      </c>
      <c r="X132" s="109">
        <v>2.7</v>
      </c>
      <c r="Y132" s="105">
        <v>3.4</v>
      </c>
      <c r="Z132" s="109">
        <v>3.4</v>
      </c>
      <c r="AA132" s="6" t="s">
        <v>963</v>
      </c>
      <c r="AB132" s="6" t="s">
        <v>1311</v>
      </c>
      <c r="AC132" s="6" t="s">
        <v>1310</v>
      </c>
      <c r="AD132" s="6" t="s">
        <v>1312</v>
      </c>
      <c r="AE132" s="6" t="s">
        <v>975</v>
      </c>
      <c r="AF132" s="6"/>
      <c r="AG132" s="12">
        <v>136.19999999999999</v>
      </c>
      <c r="AH132" s="6"/>
      <c r="AI132" s="6" t="s">
        <v>965</v>
      </c>
      <c r="AJ132" s="112"/>
      <c r="AK132" s="108">
        <v>0.20200000000000001</v>
      </c>
      <c r="AL132" s="6"/>
      <c r="AM132" s="6" t="s">
        <v>958</v>
      </c>
      <c r="AN132" s="6"/>
      <c r="AO132" s="105">
        <v>3.3</v>
      </c>
      <c r="AP132" s="6"/>
      <c r="AQ132" s="28" t="s">
        <v>319</v>
      </c>
      <c r="AR132" s="28" t="s">
        <v>319</v>
      </c>
      <c r="AS132" s="28" t="s">
        <v>319</v>
      </c>
      <c r="AT132" s="28" t="s">
        <v>319</v>
      </c>
      <c r="AU132" s="28" t="s">
        <v>319</v>
      </c>
      <c r="AV132" s="28" t="s">
        <v>319</v>
      </c>
      <c r="AW132" s="28" t="s">
        <v>319</v>
      </c>
      <c r="AX132" s="28" t="s">
        <v>319</v>
      </c>
      <c r="AY132" s="28" t="s">
        <v>319</v>
      </c>
      <c r="AZ132" s="28" t="s">
        <v>319</v>
      </c>
      <c r="BA132" s="28" t="s">
        <v>319</v>
      </c>
      <c r="BB132" s="6" t="s">
        <v>984</v>
      </c>
      <c r="BC132" s="5" t="s">
        <v>1011</v>
      </c>
      <c r="BD132" s="106">
        <v>170</v>
      </c>
      <c r="BE132" s="6" t="s">
        <v>1010</v>
      </c>
      <c r="BF132" s="181" t="s">
        <v>1448</v>
      </c>
      <c r="BG132" s="12">
        <v>6</v>
      </c>
      <c r="BH132" s="28" t="s">
        <v>319</v>
      </c>
      <c r="BI132" s="28" t="s">
        <v>319</v>
      </c>
      <c r="BJ132" s="28" t="s">
        <v>319</v>
      </c>
      <c r="BK132" s="28" t="s">
        <v>319</v>
      </c>
      <c r="BL132" s="28" t="s">
        <v>319</v>
      </c>
      <c r="BM132" s="28" t="s">
        <v>319</v>
      </c>
      <c r="BN132" s="28" t="s">
        <v>319</v>
      </c>
      <c r="BO132" s="28" t="s">
        <v>319</v>
      </c>
      <c r="BP132" s="28" t="s">
        <v>319</v>
      </c>
      <c r="BQ132" s="28" t="s">
        <v>319</v>
      </c>
      <c r="BR132" s="12">
        <v>225.5</v>
      </c>
      <c r="BS132" s="12">
        <v>929.2</v>
      </c>
      <c r="BT132" s="6"/>
      <c r="BU132" s="5"/>
      <c r="BV132" s="6"/>
      <c r="BW132" s="5"/>
      <c r="BX132" s="6" t="s">
        <v>1054</v>
      </c>
      <c r="BY132" s="6"/>
      <c r="BZ132" s="30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9"/>
      <c r="DB132" s="6"/>
      <c r="DC132" s="30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 t="s">
        <v>319</v>
      </c>
      <c r="DO132" s="28" t="s">
        <v>319</v>
      </c>
      <c r="DP132" s="28" t="s">
        <v>319</v>
      </c>
      <c r="DQ132" s="28" t="s">
        <v>319</v>
      </c>
      <c r="DR132" s="28" t="s">
        <v>319</v>
      </c>
      <c r="DS132" s="28" t="s">
        <v>319</v>
      </c>
      <c r="DT132" s="28" t="s">
        <v>319</v>
      </c>
      <c r="DU132" s="28" t="s">
        <v>319</v>
      </c>
      <c r="DV132" s="28" t="s">
        <v>319</v>
      </c>
      <c r="DW132" s="28" t="s">
        <v>319</v>
      </c>
      <c r="DX132" s="28" t="s">
        <v>319</v>
      </c>
      <c r="DY132" s="28" t="s">
        <v>319</v>
      </c>
      <c r="DZ132" s="28" t="s">
        <v>319</v>
      </c>
      <c r="EA132" s="28" t="s">
        <v>319</v>
      </c>
      <c r="EB132" s="28" t="s">
        <v>319</v>
      </c>
      <c r="EC132" s="28" t="s">
        <v>319</v>
      </c>
      <c r="ED132" s="28" t="s">
        <v>319</v>
      </c>
      <c r="EE132" s="28"/>
      <c r="EF132" s="28" t="s">
        <v>319</v>
      </c>
      <c r="EG132" s="28" t="s">
        <v>319</v>
      </c>
      <c r="EH132" s="28" t="s">
        <v>319</v>
      </c>
      <c r="EI132" s="28" t="s">
        <v>319</v>
      </c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7"/>
      <c r="FK132" s="6"/>
      <c r="FL132" s="6"/>
      <c r="FM132" s="97"/>
    </row>
    <row r="133" spans="1:169" s="3" customFormat="1" ht="34.799999999999997" x14ac:dyDescent="0.4">
      <c r="A133" s="93"/>
      <c r="B133" s="93"/>
      <c r="C133" s="26"/>
      <c r="D133" s="27" t="s">
        <v>319</v>
      </c>
      <c r="E133" s="2" t="s">
        <v>539</v>
      </c>
      <c r="F133" s="28" t="s">
        <v>319</v>
      </c>
      <c r="G133" s="28" t="s">
        <v>319</v>
      </c>
      <c r="H133" s="28" t="s">
        <v>319</v>
      </c>
      <c r="I133" s="6" t="s">
        <v>609</v>
      </c>
      <c r="J133" s="28" t="s">
        <v>319</v>
      </c>
      <c r="K133" s="28" t="s">
        <v>319</v>
      </c>
      <c r="L133" s="28" t="s">
        <v>319</v>
      </c>
      <c r="M133" s="28" t="s">
        <v>319</v>
      </c>
      <c r="N133" s="28" t="s">
        <v>319</v>
      </c>
      <c r="O133" s="28" t="s">
        <v>319</v>
      </c>
      <c r="P133" s="28" t="s">
        <v>319</v>
      </c>
      <c r="Q133" s="5" t="s">
        <v>673</v>
      </c>
      <c r="R133" s="5" t="s">
        <v>667</v>
      </c>
      <c r="S133" s="6" t="s">
        <v>678</v>
      </c>
      <c r="T133" s="106">
        <v>12840</v>
      </c>
      <c r="U133" s="106">
        <v>16050</v>
      </c>
      <c r="V133" s="106">
        <v>40000</v>
      </c>
      <c r="W133" s="6" t="s">
        <v>665</v>
      </c>
      <c r="X133" s="105"/>
      <c r="Y133" s="105">
        <v>40.43</v>
      </c>
      <c r="Z133" s="105"/>
      <c r="AA133" s="6" t="s">
        <v>963</v>
      </c>
      <c r="AB133" s="6"/>
      <c r="AC133" s="6" t="s">
        <v>996</v>
      </c>
      <c r="AD133" s="6"/>
      <c r="AE133" s="6" t="s">
        <v>956</v>
      </c>
      <c r="AF133" s="6"/>
      <c r="AG133" s="12">
        <v>95</v>
      </c>
      <c r="AH133" s="6"/>
      <c r="AI133" s="6" t="s">
        <v>965</v>
      </c>
      <c r="AJ133" s="112"/>
      <c r="AK133" s="112">
        <v>1.26E-2</v>
      </c>
      <c r="AL133" s="6"/>
      <c r="AM133" s="6"/>
      <c r="AN133" s="6"/>
      <c r="AO133" s="105"/>
      <c r="AP133" s="6"/>
      <c r="AQ133" s="28" t="s">
        <v>319</v>
      </c>
      <c r="AR133" s="28" t="s">
        <v>319</v>
      </c>
      <c r="AS133" s="28" t="s">
        <v>319</v>
      </c>
      <c r="AT133" s="28" t="s">
        <v>319</v>
      </c>
      <c r="AU133" s="28" t="s">
        <v>319</v>
      </c>
      <c r="AV133" s="28" t="s">
        <v>319</v>
      </c>
      <c r="AW133" s="28" t="s">
        <v>319</v>
      </c>
      <c r="AX133" s="28" t="s">
        <v>319</v>
      </c>
      <c r="AY133" s="28" t="s">
        <v>319</v>
      </c>
      <c r="AZ133" s="28" t="s">
        <v>319</v>
      </c>
      <c r="BA133" s="28" t="s">
        <v>319</v>
      </c>
      <c r="BB133" s="6" t="s">
        <v>984</v>
      </c>
      <c r="BC133" s="5" t="s">
        <v>1011</v>
      </c>
      <c r="BD133" s="106">
        <v>320</v>
      </c>
      <c r="BE133" s="6" t="s">
        <v>1010</v>
      </c>
      <c r="BF133" s="6"/>
      <c r="BG133" s="12">
        <v>48</v>
      </c>
      <c r="BH133" s="28" t="s">
        <v>319</v>
      </c>
      <c r="BI133" s="28" t="s">
        <v>319</v>
      </c>
      <c r="BJ133" s="28" t="s">
        <v>319</v>
      </c>
      <c r="BK133" s="28" t="s">
        <v>319</v>
      </c>
      <c r="BL133" s="28" t="s">
        <v>319</v>
      </c>
      <c r="BM133" s="28" t="s">
        <v>319</v>
      </c>
      <c r="BN133" s="28" t="s">
        <v>319</v>
      </c>
      <c r="BO133" s="28" t="s">
        <v>319</v>
      </c>
      <c r="BP133" s="28" t="s">
        <v>319</v>
      </c>
      <c r="BQ133" s="28" t="s">
        <v>319</v>
      </c>
      <c r="BR133" s="12"/>
      <c r="BS133" s="12"/>
      <c r="BT133" s="6"/>
      <c r="BU133" s="12">
        <v>23.1</v>
      </c>
      <c r="BV133" s="6" t="s">
        <v>1028</v>
      </c>
      <c r="BW133" s="108">
        <v>1.325</v>
      </c>
      <c r="BX133" s="6"/>
      <c r="BY133" s="6"/>
      <c r="BZ133" s="30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9"/>
      <c r="DB133" s="6"/>
      <c r="DC133" s="30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 t="s">
        <v>319</v>
      </c>
      <c r="DO133" s="28" t="s">
        <v>319</v>
      </c>
      <c r="DP133" s="28" t="s">
        <v>319</v>
      </c>
      <c r="DQ133" s="28" t="s">
        <v>319</v>
      </c>
      <c r="DR133" s="28" t="s">
        <v>319</v>
      </c>
      <c r="DS133" s="28" t="s">
        <v>319</v>
      </c>
      <c r="DT133" s="28" t="s">
        <v>319</v>
      </c>
      <c r="DU133" s="28" t="s">
        <v>319</v>
      </c>
      <c r="DV133" s="28" t="s">
        <v>319</v>
      </c>
      <c r="DW133" s="28" t="s">
        <v>319</v>
      </c>
      <c r="DX133" s="28" t="s">
        <v>319</v>
      </c>
      <c r="DY133" s="28" t="s">
        <v>319</v>
      </c>
      <c r="DZ133" s="28" t="s">
        <v>319</v>
      </c>
      <c r="EA133" s="28" t="s">
        <v>319</v>
      </c>
      <c r="EB133" s="28" t="s">
        <v>319</v>
      </c>
      <c r="EC133" s="28" t="s">
        <v>319</v>
      </c>
      <c r="ED133" s="28" t="s">
        <v>319</v>
      </c>
      <c r="EE133" s="28"/>
      <c r="EF133" s="28" t="s">
        <v>319</v>
      </c>
      <c r="EG133" s="28" t="s">
        <v>319</v>
      </c>
      <c r="EH133" s="28" t="s">
        <v>319</v>
      </c>
      <c r="EI133" s="28" t="s">
        <v>319</v>
      </c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7"/>
      <c r="FK133" s="15" t="s">
        <v>1060</v>
      </c>
      <c r="FL133" s="6"/>
      <c r="FM133" s="94"/>
    </row>
    <row r="134" spans="1:169" s="3" customFormat="1" ht="34.799999999999997" x14ac:dyDescent="0.4">
      <c r="A134" s="93"/>
      <c r="B134" s="93"/>
      <c r="C134" s="26"/>
      <c r="D134" s="27" t="s">
        <v>319</v>
      </c>
      <c r="E134" s="2" t="s">
        <v>539</v>
      </c>
      <c r="F134" s="28" t="s">
        <v>319</v>
      </c>
      <c r="G134" s="28" t="s">
        <v>319</v>
      </c>
      <c r="H134" s="28" t="s">
        <v>319</v>
      </c>
      <c r="I134" s="6" t="s">
        <v>609</v>
      </c>
      <c r="J134" s="28" t="s">
        <v>319</v>
      </c>
      <c r="K134" s="28" t="s">
        <v>319</v>
      </c>
      <c r="L134" s="28" t="s">
        <v>319</v>
      </c>
      <c r="M134" s="28" t="s">
        <v>319</v>
      </c>
      <c r="N134" s="28" t="s">
        <v>319</v>
      </c>
      <c r="O134" s="28" t="s">
        <v>319</v>
      </c>
      <c r="P134" s="28" t="s">
        <v>319</v>
      </c>
      <c r="Q134" s="5" t="s">
        <v>673</v>
      </c>
      <c r="R134" s="5" t="s">
        <v>667</v>
      </c>
      <c r="S134" s="6" t="s">
        <v>664</v>
      </c>
      <c r="T134" s="106">
        <v>12840</v>
      </c>
      <c r="U134" s="106">
        <v>16050</v>
      </c>
      <c r="V134" s="106">
        <v>40000</v>
      </c>
      <c r="W134" s="6" t="s">
        <v>665</v>
      </c>
      <c r="X134" s="105"/>
      <c r="Y134" s="105">
        <v>40.43</v>
      </c>
      <c r="Z134" s="105"/>
      <c r="AA134" s="6" t="s">
        <v>955</v>
      </c>
      <c r="AB134" s="6"/>
      <c r="AC134" s="6" t="s">
        <v>1365</v>
      </c>
      <c r="AD134" s="6"/>
      <c r="AE134" s="6" t="s">
        <v>956</v>
      </c>
      <c r="AF134" s="6"/>
      <c r="AG134" s="12">
        <v>95</v>
      </c>
      <c r="AH134" s="6"/>
      <c r="AI134" s="6" t="s">
        <v>957</v>
      </c>
      <c r="AJ134" s="112"/>
      <c r="AK134" s="112">
        <v>1.26E-2</v>
      </c>
      <c r="AL134" s="6"/>
      <c r="AM134" s="6"/>
      <c r="AN134" s="6"/>
      <c r="AO134" s="105"/>
      <c r="AP134" s="6"/>
      <c r="AQ134" s="28" t="s">
        <v>319</v>
      </c>
      <c r="AR134" s="28" t="s">
        <v>319</v>
      </c>
      <c r="AS134" s="28" t="s">
        <v>319</v>
      </c>
      <c r="AT134" s="28" t="s">
        <v>319</v>
      </c>
      <c r="AU134" s="28" t="s">
        <v>319</v>
      </c>
      <c r="AV134" s="28" t="s">
        <v>319</v>
      </c>
      <c r="AW134" s="28" t="s">
        <v>319</v>
      </c>
      <c r="AX134" s="28" t="s">
        <v>319</v>
      </c>
      <c r="AY134" s="28" t="s">
        <v>319</v>
      </c>
      <c r="AZ134" s="28" t="s">
        <v>319</v>
      </c>
      <c r="BA134" s="28" t="s">
        <v>319</v>
      </c>
      <c r="BB134" s="6" t="s">
        <v>984</v>
      </c>
      <c r="BC134" s="5" t="s">
        <v>680</v>
      </c>
      <c r="BD134" s="106">
        <v>320</v>
      </c>
      <c r="BE134" s="6" t="s">
        <v>1008</v>
      </c>
      <c r="BF134" s="6"/>
      <c r="BG134" s="12">
        <v>48</v>
      </c>
      <c r="BH134" s="28" t="s">
        <v>319</v>
      </c>
      <c r="BI134" s="28" t="s">
        <v>319</v>
      </c>
      <c r="BJ134" s="28" t="s">
        <v>319</v>
      </c>
      <c r="BK134" s="28" t="s">
        <v>319</v>
      </c>
      <c r="BL134" s="28" t="s">
        <v>319</v>
      </c>
      <c r="BM134" s="28" t="s">
        <v>319</v>
      </c>
      <c r="BN134" s="28" t="s">
        <v>319</v>
      </c>
      <c r="BO134" s="28" t="s">
        <v>319</v>
      </c>
      <c r="BP134" s="28" t="s">
        <v>319</v>
      </c>
      <c r="BQ134" s="28" t="s">
        <v>319</v>
      </c>
      <c r="BR134" s="12"/>
      <c r="BS134" s="12"/>
      <c r="BT134" s="6"/>
      <c r="BU134" s="12">
        <v>23.1</v>
      </c>
      <c r="BV134" s="6" t="s">
        <v>1028</v>
      </c>
      <c r="BW134" s="108">
        <v>1.325</v>
      </c>
      <c r="BX134" s="6"/>
      <c r="BY134" s="6"/>
      <c r="BZ134" s="30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9"/>
      <c r="DB134" s="6"/>
      <c r="DC134" s="30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 t="s">
        <v>319</v>
      </c>
      <c r="DO134" s="28" t="s">
        <v>319</v>
      </c>
      <c r="DP134" s="28" t="s">
        <v>319</v>
      </c>
      <c r="DQ134" s="28" t="s">
        <v>319</v>
      </c>
      <c r="DR134" s="28" t="s">
        <v>319</v>
      </c>
      <c r="DS134" s="28" t="s">
        <v>319</v>
      </c>
      <c r="DT134" s="28" t="s">
        <v>319</v>
      </c>
      <c r="DU134" s="28" t="s">
        <v>319</v>
      </c>
      <c r="DV134" s="28" t="s">
        <v>319</v>
      </c>
      <c r="DW134" s="28" t="s">
        <v>319</v>
      </c>
      <c r="DX134" s="28" t="s">
        <v>319</v>
      </c>
      <c r="DY134" s="28" t="s">
        <v>319</v>
      </c>
      <c r="DZ134" s="28" t="s">
        <v>319</v>
      </c>
      <c r="EA134" s="28" t="s">
        <v>319</v>
      </c>
      <c r="EB134" s="28" t="s">
        <v>319</v>
      </c>
      <c r="EC134" s="28" t="s">
        <v>319</v>
      </c>
      <c r="ED134" s="28" t="s">
        <v>319</v>
      </c>
      <c r="EE134" s="28"/>
      <c r="EF134" s="28" t="s">
        <v>319</v>
      </c>
      <c r="EG134" s="28" t="s">
        <v>319</v>
      </c>
      <c r="EH134" s="28" t="s">
        <v>319</v>
      </c>
      <c r="EI134" s="28" t="s">
        <v>319</v>
      </c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7"/>
      <c r="FK134" s="15" t="s">
        <v>1060</v>
      </c>
      <c r="FL134" s="6"/>
      <c r="FM134" s="94"/>
    </row>
    <row r="135" spans="1:169" s="3" customFormat="1" ht="34.799999999999997" x14ac:dyDescent="0.4">
      <c r="A135" s="93"/>
      <c r="B135" s="93"/>
      <c r="C135" s="26"/>
      <c r="D135" s="27" t="s">
        <v>319</v>
      </c>
      <c r="E135" s="2" t="s">
        <v>539</v>
      </c>
      <c r="F135" s="28" t="s">
        <v>319</v>
      </c>
      <c r="G135" s="28" t="s">
        <v>319</v>
      </c>
      <c r="H135" s="28" t="s">
        <v>319</v>
      </c>
      <c r="I135" s="6" t="s">
        <v>609</v>
      </c>
      <c r="J135" s="28" t="s">
        <v>319</v>
      </c>
      <c r="K135" s="28" t="s">
        <v>319</v>
      </c>
      <c r="L135" s="28" t="s">
        <v>319</v>
      </c>
      <c r="M135" s="28" t="s">
        <v>319</v>
      </c>
      <c r="N135" s="28" t="s">
        <v>319</v>
      </c>
      <c r="O135" s="28" t="s">
        <v>319</v>
      </c>
      <c r="P135" s="28" t="s">
        <v>319</v>
      </c>
      <c r="Q135" s="5" t="s">
        <v>673</v>
      </c>
      <c r="R135" s="5" t="s">
        <v>667</v>
      </c>
      <c r="S135" s="6" t="s">
        <v>664</v>
      </c>
      <c r="T135" s="106">
        <v>12840</v>
      </c>
      <c r="U135" s="106">
        <v>16050</v>
      </c>
      <c r="V135" s="106">
        <v>40000</v>
      </c>
      <c r="W135" s="6" t="s">
        <v>665</v>
      </c>
      <c r="X135" s="105"/>
      <c r="Y135" s="105">
        <v>40.43</v>
      </c>
      <c r="Z135" s="105"/>
      <c r="AA135" s="6" t="s">
        <v>955</v>
      </c>
      <c r="AB135" s="6"/>
      <c r="AC135" s="6" t="s">
        <v>1366</v>
      </c>
      <c r="AD135" s="6"/>
      <c r="AE135" s="6" t="s">
        <v>956</v>
      </c>
      <c r="AF135" s="6"/>
      <c r="AG135" s="12">
        <v>95</v>
      </c>
      <c r="AH135" s="6"/>
      <c r="AI135" s="6" t="s">
        <v>957</v>
      </c>
      <c r="AJ135" s="112"/>
      <c r="AK135" s="112">
        <v>1.26E-2</v>
      </c>
      <c r="AL135" s="6"/>
      <c r="AM135" s="6"/>
      <c r="AN135" s="6"/>
      <c r="AO135" s="105"/>
      <c r="AP135" s="6"/>
      <c r="AQ135" s="28" t="s">
        <v>319</v>
      </c>
      <c r="AR135" s="28" t="s">
        <v>319</v>
      </c>
      <c r="AS135" s="28" t="s">
        <v>319</v>
      </c>
      <c r="AT135" s="28" t="s">
        <v>319</v>
      </c>
      <c r="AU135" s="28" t="s">
        <v>319</v>
      </c>
      <c r="AV135" s="28" t="s">
        <v>319</v>
      </c>
      <c r="AW135" s="28" t="s">
        <v>319</v>
      </c>
      <c r="AX135" s="28" t="s">
        <v>319</v>
      </c>
      <c r="AY135" s="28" t="s">
        <v>319</v>
      </c>
      <c r="AZ135" s="28" t="s">
        <v>319</v>
      </c>
      <c r="BA135" s="28" t="s">
        <v>319</v>
      </c>
      <c r="BB135" s="6" t="s">
        <v>984</v>
      </c>
      <c r="BC135" s="5" t="s">
        <v>680</v>
      </c>
      <c r="BD135" s="106">
        <v>320</v>
      </c>
      <c r="BE135" s="6" t="s">
        <v>1008</v>
      </c>
      <c r="BF135" s="6"/>
      <c r="BG135" s="12">
        <v>48</v>
      </c>
      <c r="BH135" s="28" t="s">
        <v>319</v>
      </c>
      <c r="BI135" s="28" t="s">
        <v>319</v>
      </c>
      <c r="BJ135" s="28" t="s">
        <v>319</v>
      </c>
      <c r="BK135" s="28" t="s">
        <v>319</v>
      </c>
      <c r="BL135" s="28" t="s">
        <v>319</v>
      </c>
      <c r="BM135" s="28" t="s">
        <v>319</v>
      </c>
      <c r="BN135" s="28" t="s">
        <v>319</v>
      </c>
      <c r="BO135" s="28" t="s">
        <v>319</v>
      </c>
      <c r="BP135" s="28" t="s">
        <v>319</v>
      </c>
      <c r="BQ135" s="28" t="s">
        <v>319</v>
      </c>
      <c r="BR135" s="12"/>
      <c r="BS135" s="12"/>
      <c r="BT135" s="6"/>
      <c r="BU135" s="12">
        <v>23.1</v>
      </c>
      <c r="BV135" s="6" t="s">
        <v>1028</v>
      </c>
      <c r="BW135" s="108">
        <v>1.325</v>
      </c>
      <c r="BX135" s="6"/>
      <c r="BY135" s="6"/>
      <c r="BZ135" s="30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9"/>
      <c r="DB135" s="6"/>
      <c r="DC135" s="30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 t="s">
        <v>319</v>
      </c>
      <c r="DO135" s="28" t="s">
        <v>319</v>
      </c>
      <c r="DP135" s="28" t="s">
        <v>319</v>
      </c>
      <c r="DQ135" s="28" t="s">
        <v>319</v>
      </c>
      <c r="DR135" s="28" t="s">
        <v>319</v>
      </c>
      <c r="DS135" s="28" t="s">
        <v>319</v>
      </c>
      <c r="DT135" s="28" t="s">
        <v>319</v>
      </c>
      <c r="DU135" s="28" t="s">
        <v>319</v>
      </c>
      <c r="DV135" s="28" t="s">
        <v>319</v>
      </c>
      <c r="DW135" s="28" t="s">
        <v>319</v>
      </c>
      <c r="DX135" s="28" t="s">
        <v>319</v>
      </c>
      <c r="DY135" s="28" t="s">
        <v>319</v>
      </c>
      <c r="DZ135" s="28" t="s">
        <v>319</v>
      </c>
      <c r="EA135" s="28" t="s">
        <v>319</v>
      </c>
      <c r="EB135" s="28" t="s">
        <v>319</v>
      </c>
      <c r="EC135" s="28" t="s">
        <v>319</v>
      </c>
      <c r="ED135" s="28" t="s">
        <v>319</v>
      </c>
      <c r="EE135" s="28"/>
      <c r="EF135" s="28" t="s">
        <v>319</v>
      </c>
      <c r="EG135" s="28" t="s">
        <v>319</v>
      </c>
      <c r="EH135" s="28" t="s">
        <v>319</v>
      </c>
      <c r="EI135" s="28" t="s">
        <v>319</v>
      </c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7"/>
      <c r="FK135" s="15" t="s">
        <v>1060</v>
      </c>
      <c r="FL135" s="6"/>
      <c r="FM135" s="94"/>
    </row>
    <row r="136" spans="1:169" s="3" customFormat="1" ht="34.799999999999997" x14ac:dyDescent="0.4">
      <c r="A136" s="93"/>
      <c r="B136" s="93"/>
      <c r="C136" s="26"/>
      <c r="D136" s="27" t="s">
        <v>319</v>
      </c>
      <c r="E136" s="2" t="s">
        <v>539</v>
      </c>
      <c r="F136" s="28" t="s">
        <v>319</v>
      </c>
      <c r="G136" s="28" t="s">
        <v>319</v>
      </c>
      <c r="H136" s="28" t="s">
        <v>319</v>
      </c>
      <c r="I136" s="6" t="s">
        <v>609</v>
      </c>
      <c r="J136" s="28" t="s">
        <v>319</v>
      </c>
      <c r="K136" s="28" t="s">
        <v>319</v>
      </c>
      <c r="L136" s="28" t="s">
        <v>319</v>
      </c>
      <c r="M136" s="28" t="s">
        <v>319</v>
      </c>
      <c r="N136" s="28" t="s">
        <v>319</v>
      </c>
      <c r="O136" s="28" t="s">
        <v>319</v>
      </c>
      <c r="P136" s="28" t="s">
        <v>319</v>
      </c>
      <c r="Q136" s="5" t="s">
        <v>673</v>
      </c>
      <c r="R136" s="5" t="s">
        <v>667</v>
      </c>
      <c r="S136" s="6" t="s">
        <v>664</v>
      </c>
      <c r="T136" s="106">
        <v>12840</v>
      </c>
      <c r="U136" s="106">
        <v>16050</v>
      </c>
      <c r="V136" s="106">
        <v>40000</v>
      </c>
      <c r="W136" s="6" t="s">
        <v>665</v>
      </c>
      <c r="X136" s="105"/>
      <c r="Y136" s="105">
        <v>40.43</v>
      </c>
      <c r="Z136" s="105"/>
      <c r="AA136" s="6" t="s">
        <v>955</v>
      </c>
      <c r="AB136" s="6"/>
      <c r="AC136" s="6" t="s">
        <v>1367</v>
      </c>
      <c r="AD136" s="6"/>
      <c r="AE136" s="6" t="s">
        <v>956</v>
      </c>
      <c r="AF136" s="6"/>
      <c r="AG136" s="12">
        <v>95</v>
      </c>
      <c r="AH136" s="6"/>
      <c r="AI136" s="6" t="s">
        <v>957</v>
      </c>
      <c r="AJ136" s="112"/>
      <c r="AK136" s="112">
        <v>1.26E-2</v>
      </c>
      <c r="AL136" s="6"/>
      <c r="AM136" s="6"/>
      <c r="AN136" s="6"/>
      <c r="AO136" s="105"/>
      <c r="AP136" s="6"/>
      <c r="AQ136" s="28" t="s">
        <v>319</v>
      </c>
      <c r="AR136" s="28" t="s">
        <v>319</v>
      </c>
      <c r="AS136" s="28" t="s">
        <v>319</v>
      </c>
      <c r="AT136" s="28" t="s">
        <v>319</v>
      </c>
      <c r="AU136" s="28" t="s">
        <v>319</v>
      </c>
      <c r="AV136" s="28" t="s">
        <v>319</v>
      </c>
      <c r="AW136" s="28" t="s">
        <v>319</v>
      </c>
      <c r="AX136" s="28" t="s">
        <v>319</v>
      </c>
      <c r="AY136" s="28" t="s">
        <v>319</v>
      </c>
      <c r="AZ136" s="28" t="s">
        <v>319</v>
      </c>
      <c r="BA136" s="28" t="s">
        <v>319</v>
      </c>
      <c r="BB136" s="6" t="s">
        <v>984</v>
      </c>
      <c r="BC136" s="5" t="s">
        <v>680</v>
      </c>
      <c r="BD136" s="106">
        <v>320</v>
      </c>
      <c r="BE136" s="6" t="s">
        <v>1008</v>
      </c>
      <c r="BF136" s="6"/>
      <c r="BG136" s="12">
        <v>48</v>
      </c>
      <c r="BH136" s="28" t="s">
        <v>319</v>
      </c>
      <c r="BI136" s="28" t="s">
        <v>319</v>
      </c>
      <c r="BJ136" s="28" t="s">
        <v>319</v>
      </c>
      <c r="BK136" s="28" t="s">
        <v>319</v>
      </c>
      <c r="BL136" s="28" t="s">
        <v>319</v>
      </c>
      <c r="BM136" s="28" t="s">
        <v>319</v>
      </c>
      <c r="BN136" s="28" t="s">
        <v>319</v>
      </c>
      <c r="BO136" s="28" t="s">
        <v>319</v>
      </c>
      <c r="BP136" s="28" t="s">
        <v>319</v>
      </c>
      <c r="BQ136" s="28" t="s">
        <v>319</v>
      </c>
      <c r="BR136" s="12"/>
      <c r="BS136" s="12"/>
      <c r="BT136" s="6"/>
      <c r="BU136" s="12">
        <v>23.1</v>
      </c>
      <c r="BV136" s="6" t="s">
        <v>1028</v>
      </c>
      <c r="BW136" s="108">
        <v>1.325</v>
      </c>
      <c r="BX136" s="6"/>
      <c r="BY136" s="6"/>
      <c r="BZ136" s="30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9"/>
      <c r="DB136" s="6"/>
      <c r="DC136" s="30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 t="s">
        <v>319</v>
      </c>
      <c r="DO136" s="28" t="s">
        <v>319</v>
      </c>
      <c r="DP136" s="28" t="s">
        <v>319</v>
      </c>
      <c r="DQ136" s="28" t="s">
        <v>319</v>
      </c>
      <c r="DR136" s="28" t="s">
        <v>319</v>
      </c>
      <c r="DS136" s="28" t="s">
        <v>319</v>
      </c>
      <c r="DT136" s="28" t="s">
        <v>319</v>
      </c>
      <c r="DU136" s="28" t="s">
        <v>319</v>
      </c>
      <c r="DV136" s="28" t="s">
        <v>319</v>
      </c>
      <c r="DW136" s="28" t="s">
        <v>319</v>
      </c>
      <c r="DX136" s="28" t="s">
        <v>319</v>
      </c>
      <c r="DY136" s="28" t="s">
        <v>319</v>
      </c>
      <c r="DZ136" s="28" t="s">
        <v>319</v>
      </c>
      <c r="EA136" s="28" t="s">
        <v>319</v>
      </c>
      <c r="EB136" s="28" t="s">
        <v>319</v>
      </c>
      <c r="EC136" s="28" t="s">
        <v>319</v>
      </c>
      <c r="ED136" s="28" t="s">
        <v>319</v>
      </c>
      <c r="EE136" s="28"/>
      <c r="EF136" s="28" t="s">
        <v>319</v>
      </c>
      <c r="EG136" s="28" t="s">
        <v>319</v>
      </c>
      <c r="EH136" s="28" t="s">
        <v>319</v>
      </c>
      <c r="EI136" s="28" t="s">
        <v>319</v>
      </c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7"/>
      <c r="FK136" s="15" t="s">
        <v>1060</v>
      </c>
      <c r="FL136" s="6"/>
      <c r="FM136" s="94"/>
    </row>
    <row r="137" spans="1:169" s="3" customFormat="1" ht="34.799999999999997" x14ac:dyDescent="0.4">
      <c r="A137" s="93"/>
      <c r="B137" s="93"/>
      <c r="C137" s="26"/>
      <c r="D137" s="27" t="s">
        <v>319</v>
      </c>
      <c r="E137" s="2" t="s">
        <v>483</v>
      </c>
      <c r="F137" s="28" t="s">
        <v>319</v>
      </c>
      <c r="G137" s="28" t="s">
        <v>319</v>
      </c>
      <c r="H137" s="28" t="s">
        <v>319</v>
      </c>
      <c r="I137" s="6" t="s">
        <v>611</v>
      </c>
      <c r="J137" s="28" t="s">
        <v>319</v>
      </c>
      <c r="K137" s="28" t="s">
        <v>319</v>
      </c>
      <c r="L137" s="28" t="s">
        <v>319</v>
      </c>
      <c r="M137" s="28" t="s">
        <v>319</v>
      </c>
      <c r="N137" s="28" t="s">
        <v>319</v>
      </c>
      <c r="O137" s="28" t="s">
        <v>319</v>
      </c>
      <c r="P137" s="28" t="s">
        <v>319</v>
      </c>
      <c r="Q137" s="5" t="s">
        <v>673</v>
      </c>
      <c r="R137" s="5" t="s">
        <v>667</v>
      </c>
      <c r="S137" s="6" t="s">
        <v>678</v>
      </c>
      <c r="T137" s="5" t="s">
        <v>782</v>
      </c>
      <c r="U137" s="5" t="s">
        <v>783</v>
      </c>
      <c r="V137" s="5" t="s">
        <v>786</v>
      </c>
      <c r="W137" s="6" t="s">
        <v>665</v>
      </c>
      <c r="X137" s="105">
        <v>39.549999999999997</v>
      </c>
      <c r="Y137" s="105">
        <v>39.61</v>
      </c>
      <c r="Z137" s="105">
        <v>39.630000000000003</v>
      </c>
      <c r="AA137" s="6" t="s">
        <v>968</v>
      </c>
      <c r="AB137" s="6">
        <v>0.43999999999999773</v>
      </c>
      <c r="AC137" s="6">
        <v>0.43999999999999773</v>
      </c>
      <c r="AD137" s="6">
        <v>0.44000000000000483</v>
      </c>
      <c r="AE137" s="6" t="s">
        <v>956</v>
      </c>
      <c r="AF137" s="6"/>
      <c r="AG137" s="12">
        <v>120</v>
      </c>
      <c r="AH137" s="6"/>
      <c r="AI137" s="6" t="s">
        <v>965</v>
      </c>
      <c r="AJ137" s="108"/>
      <c r="AK137" s="112">
        <v>1.2800000000000001E-2</v>
      </c>
      <c r="AL137" s="6"/>
      <c r="AM137" s="6"/>
      <c r="AN137" s="6"/>
      <c r="AO137" s="5"/>
      <c r="AP137" s="6"/>
      <c r="AQ137" s="28" t="s">
        <v>319</v>
      </c>
      <c r="AR137" s="28" t="s">
        <v>319</v>
      </c>
      <c r="AS137" s="28" t="s">
        <v>319</v>
      </c>
      <c r="AT137" s="28" t="s">
        <v>319</v>
      </c>
      <c r="AU137" s="28" t="s">
        <v>319</v>
      </c>
      <c r="AV137" s="28" t="s">
        <v>319</v>
      </c>
      <c r="AW137" s="28" t="s">
        <v>319</v>
      </c>
      <c r="AX137" s="28" t="s">
        <v>319</v>
      </c>
      <c r="AY137" s="28" t="s">
        <v>319</v>
      </c>
      <c r="AZ137" s="28" t="s">
        <v>319</v>
      </c>
      <c r="BA137" s="28" t="s">
        <v>319</v>
      </c>
      <c r="BB137" s="6" t="s">
        <v>984</v>
      </c>
      <c r="BC137" s="5" t="s">
        <v>1011</v>
      </c>
      <c r="BD137" s="106">
        <v>320</v>
      </c>
      <c r="BE137" s="6" t="s">
        <v>1010</v>
      </c>
      <c r="BF137" s="6"/>
      <c r="BG137" s="12">
        <v>48</v>
      </c>
      <c r="BH137" s="28" t="s">
        <v>319</v>
      </c>
      <c r="BI137" s="28" t="s">
        <v>319</v>
      </c>
      <c r="BJ137" s="28" t="s">
        <v>319</v>
      </c>
      <c r="BK137" s="28" t="s">
        <v>319</v>
      </c>
      <c r="BL137" s="28" t="s">
        <v>319</v>
      </c>
      <c r="BM137" s="28" t="s">
        <v>319</v>
      </c>
      <c r="BN137" s="28" t="s">
        <v>319</v>
      </c>
      <c r="BO137" s="28" t="s">
        <v>319</v>
      </c>
      <c r="BP137" s="28" t="s">
        <v>319</v>
      </c>
      <c r="BQ137" s="28" t="s">
        <v>319</v>
      </c>
      <c r="BR137" s="5"/>
      <c r="BS137" s="105"/>
      <c r="BT137" s="6"/>
      <c r="BU137" s="12">
        <v>23.1</v>
      </c>
      <c r="BV137" s="6" t="s">
        <v>1028</v>
      </c>
      <c r="BW137" s="108">
        <v>1.325</v>
      </c>
      <c r="BX137" s="6"/>
      <c r="BY137" s="6"/>
      <c r="BZ137" s="30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9"/>
      <c r="DB137" s="6"/>
      <c r="DC137" s="30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 t="s">
        <v>319</v>
      </c>
      <c r="DO137" s="28" t="s">
        <v>319</v>
      </c>
      <c r="DP137" s="28" t="s">
        <v>319</v>
      </c>
      <c r="DQ137" s="28" t="s">
        <v>319</v>
      </c>
      <c r="DR137" s="28" t="s">
        <v>319</v>
      </c>
      <c r="DS137" s="28" t="s">
        <v>319</v>
      </c>
      <c r="DT137" s="28" t="s">
        <v>319</v>
      </c>
      <c r="DU137" s="28" t="s">
        <v>319</v>
      </c>
      <c r="DV137" s="28" t="s">
        <v>319</v>
      </c>
      <c r="DW137" s="28" t="s">
        <v>319</v>
      </c>
      <c r="DX137" s="28" t="s">
        <v>319</v>
      </c>
      <c r="DY137" s="28" t="s">
        <v>319</v>
      </c>
      <c r="DZ137" s="28" t="s">
        <v>319</v>
      </c>
      <c r="EA137" s="28" t="s">
        <v>319</v>
      </c>
      <c r="EB137" s="28" t="s">
        <v>319</v>
      </c>
      <c r="EC137" s="28" t="s">
        <v>319</v>
      </c>
      <c r="ED137" s="28" t="s">
        <v>319</v>
      </c>
      <c r="EE137" s="28"/>
      <c r="EF137" s="28" t="s">
        <v>319</v>
      </c>
      <c r="EG137" s="28" t="s">
        <v>319</v>
      </c>
      <c r="EH137" s="28" t="s">
        <v>319</v>
      </c>
      <c r="EI137" s="28" t="s">
        <v>319</v>
      </c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7"/>
      <c r="FK137" s="15" t="s">
        <v>1060</v>
      </c>
      <c r="FL137" s="6"/>
      <c r="FM137" s="94"/>
    </row>
    <row r="138" spans="1:169" s="3" customFormat="1" ht="34.799999999999997" x14ac:dyDescent="0.4">
      <c r="A138" s="93"/>
      <c r="B138" s="93"/>
      <c r="C138" s="26"/>
      <c r="D138" s="27" t="s">
        <v>319</v>
      </c>
      <c r="E138" s="2" t="s">
        <v>528</v>
      </c>
      <c r="F138" s="28" t="s">
        <v>319</v>
      </c>
      <c r="G138" s="28" t="s">
        <v>319</v>
      </c>
      <c r="H138" s="28" t="s">
        <v>319</v>
      </c>
      <c r="I138" s="6" t="s">
        <v>612</v>
      </c>
      <c r="J138" s="28" t="s">
        <v>319</v>
      </c>
      <c r="K138" s="28" t="s">
        <v>319</v>
      </c>
      <c r="L138" s="28" t="s">
        <v>319</v>
      </c>
      <c r="M138" s="28" t="s">
        <v>319</v>
      </c>
      <c r="N138" s="28" t="s">
        <v>319</v>
      </c>
      <c r="O138" s="28" t="s">
        <v>319</v>
      </c>
      <c r="P138" s="28" t="s">
        <v>319</v>
      </c>
      <c r="Q138" s="5" t="s">
        <v>673</v>
      </c>
      <c r="R138" s="5" t="s">
        <v>667</v>
      </c>
      <c r="S138" s="6" t="s">
        <v>678</v>
      </c>
      <c r="T138" s="5" t="s">
        <v>782</v>
      </c>
      <c r="U138" s="5" t="s">
        <v>783</v>
      </c>
      <c r="V138" s="5" t="s">
        <v>786</v>
      </c>
      <c r="W138" s="6" t="s">
        <v>665</v>
      </c>
      <c r="X138" s="105">
        <v>39.549999999999997</v>
      </c>
      <c r="Y138" s="105">
        <v>39.61</v>
      </c>
      <c r="Z138" s="105">
        <v>39.630000000000003</v>
      </c>
      <c r="AA138" s="6" t="s">
        <v>972</v>
      </c>
      <c r="AB138" s="6">
        <v>0.29999999999999716</v>
      </c>
      <c r="AC138" s="6">
        <v>0.29999999999999716</v>
      </c>
      <c r="AD138" s="6">
        <v>0.30000000000000426</v>
      </c>
      <c r="AE138" s="6" t="s">
        <v>956</v>
      </c>
      <c r="AF138" s="6"/>
      <c r="AG138" s="12">
        <v>120</v>
      </c>
      <c r="AH138" s="6"/>
      <c r="AI138" s="6" t="s">
        <v>965</v>
      </c>
      <c r="AJ138" s="108"/>
      <c r="AK138" s="112">
        <v>1.2800000000000001E-2</v>
      </c>
      <c r="AL138" s="6"/>
      <c r="AM138" s="6"/>
      <c r="AN138" s="6"/>
      <c r="AO138" s="5"/>
      <c r="AP138" s="6"/>
      <c r="AQ138" s="28" t="s">
        <v>319</v>
      </c>
      <c r="AR138" s="28" t="s">
        <v>319</v>
      </c>
      <c r="AS138" s="28" t="s">
        <v>319</v>
      </c>
      <c r="AT138" s="28" t="s">
        <v>319</v>
      </c>
      <c r="AU138" s="28" t="s">
        <v>319</v>
      </c>
      <c r="AV138" s="28" t="s">
        <v>319</v>
      </c>
      <c r="AW138" s="28" t="s">
        <v>319</v>
      </c>
      <c r="AX138" s="28" t="s">
        <v>319</v>
      </c>
      <c r="AY138" s="28" t="s">
        <v>319</v>
      </c>
      <c r="AZ138" s="28" t="s">
        <v>319</v>
      </c>
      <c r="BA138" s="28" t="s">
        <v>319</v>
      </c>
      <c r="BB138" s="6" t="s">
        <v>984</v>
      </c>
      <c r="BC138" s="5" t="s">
        <v>1011</v>
      </c>
      <c r="BD138" s="106">
        <v>320</v>
      </c>
      <c r="BE138" s="6" t="s">
        <v>1010</v>
      </c>
      <c r="BF138" s="6"/>
      <c r="BG138" s="12">
        <v>48</v>
      </c>
      <c r="BH138" s="28" t="s">
        <v>319</v>
      </c>
      <c r="BI138" s="28" t="s">
        <v>319</v>
      </c>
      <c r="BJ138" s="28" t="s">
        <v>319</v>
      </c>
      <c r="BK138" s="28" t="s">
        <v>319</v>
      </c>
      <c r="BL138" s="28" t="s">
        <v>319</v>
      </c>
      <c r="BM138" s="28" t="s">
        <v>319</v>
      </c>
      <c r="BN138" s="28" t="s">
        <v>319</v>
      </c>
      <c r="BO138" s="28" t="s">
        <v>319</v>
      </c>
      <c r="BP138" s="28" t="s">
        <v>319</v>
      </c>
      <c r="BQ138" s="28" t="s">
        <v>319</v>
      </c>
      <c r="BR138" s="5"/>
      <c r="BS138" s="105"/>
      <c r="BT138" s="6"/>
      <c r="BU138" s="12">
        <v>23.1</v>
      </c>
      <c r="BV138" s="6" t="s">
        <v>1028</v>
      </c>
      <c r="BW138" s="108">
        <v>1.325</v>
      </c>
      <c r="BX138" s="6"/>
      <c r="BY138" s="6"/>
      <c r="BZ138" s="30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9"/>
      <c r="DB138" s="6" t="s">
        <v>1052</v>
      </c>
      <c r="DC138" s="30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 t="s">
        <v>319</v>
      </c>
      <c r="DO138" s="28" t="s">
        <v>319</v>
      </c>
      <c r="DP138" s="28" t="s">
        <v>319</v>
      </c>
      <c r="DQ138" s="28" t="s">
        <v>319</v>
      </c>
      <c r="DR138" s="28" t="s">
        <v>319</v>
      </c>
      <c r="DS138" s="28" t="s">
        <v>319</v>
      </c>
      <c r="DT138" s="28" t="s">
        <v>319</v>
      </c>
      <c r="DU138" s="28" t="s">
        <v>319</v>
      </c>
      <c r="DV138" s="28" t="s">
        <v>319</v>
      </c>
      <c r="DW138" s="28" t="s">
        <v>319</v>
      </c>
      <c r="DX138" s="28" t="s">
        <v>319</v>
      </c>
      <c r="DY138" s="28" t="s">
        <v>319</v>
      </c>
      <c r="DZ138" s="28" t="s">
        <v>319</v>
      </c>
      <c r="EA138" s="28" t="s">
        <v>319</v>
      </c>
      <c r="EB138" s="28" t="s">
        <v>319</v>
      </c>
      <c r="EC138" s="28" t="s">
        <v>319</v>
      </c>
      <c r="ED138" s="28" t="s">
        <v>319</v>
      </c>
      <c r="EE138" s="28"/>
      <c r="EF138" s="28" t="s">
        <v>319</v>
      </c>
      <c r="EG138" s="28" t="s">
        <v>319</v>
      </c>
      <c r="EH138" s="28" t="s">
        <v>319</v>
      </c>
      <c r="EI138" s="28" t="s">
        <v>319</v>
      </c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7"/>
      <c r="FK138" s="15" t="s">
        <v>1060</v>
      </c>
      <c r="FL138" s="6"/>
      <c r="FM138" s="94"/>
    </row>
    <row r="139" spans="1:169" s="3" customFormat="1" ht="34.799999999999997" x14ac:dyDescent="0.4">
      <c r="A139" s="93"/>
      <c r="B139" s="93"/>
      <c r="C139" s="26"/>
      <c r="D139" s="27" t="s">
        <v>319</v>
      </c>
      <c r="E139" s="2" t="s">
        <v>484</v>
      </c>
      <c r="F139" s="28" t="s">
        <v>319</v>
      </c>
      <c r="G139" s="28" t="s">
        <v>319</v>
      </c>
      <c r="H139" s="28" t="s">
        <v>319</v>
      </c>
      <c r="I139" s="6" t="s">
        <v>613</v>
      </c>
      <c r="J139" s="28" t="s">
        <v>319</v>
      </c>
      <c r="K139" s="28" t="s">
        <v>319</v>
      </c>
      <c r="L139" s="28" t="s">
        <v>319</v>
      </c>
      <c r="M139" s="28" t="s">
        <v>319</v>
      </c>
      <c r="N139" s="28" t="s">
        <v>319</v>
      </c>
      <c r="O139" s="28" t="s">
        <v>319</v>
      </c>
      <c r="P139" s="28" t="s">
        <v>319</v>
      </c>
      <c r="Q139" s="5" t="s">
        <v>673</v>
      </c>
      <c r="R139" s="5" t="s">
        <v>667</v>
      </c>
      <c r="S139" s="6" t="s">
        <v>678</v>
      </c>
      <c r="T139" s="5" t="s">
        <v>782</v>
      </c>
      <c r="U139" s="5" t="s">
        <v>783</v>
      </c>
      <c r="V139" s="5" t="s">
        <v>786</v>
      </c>
      <c r="W139" s="6" t="s">
        <v>665</v>
      </c>
      <c r="X139" s="105">
        <v>38.549999999999997</v>
      </c>
      <c r="Y139" s="105">
        <v>38.6</v>
      </c>
      <c r="Z139" s="105">
        <v>38.61</v>
      </c>
      <c r="AA139" s="6" t="s">
        <v>963</v>
      </c>
      <c r="AB139" s="6">
        <v>0.44999999999999574</v>
      </c>
      <c r="AC139" s="6">
        <v>0.46000000000000085</v>
      </c>
      <c r="AD139" s="6">
        <v>0.45000000000000284</v>
      </c>
      <c r="AE139" s="6" t="s">
        <v>956</v>
      </c>
      <c r="AF139" s="6"/>
      <c r="AG139" s="12">
        <v>124.6</v>
      </c>
      <c r="AH139" s="6"/>
      <c r="AI139" s="6" t="s">
        <v>965</v>
      </c>
      <c r="AJ139" s="108"/>
      <c r="AK139" s="112">
        <v>1.2500000000000001E-2</v>
      </c>
      <c r="AL139" s="6"/>
      <c r="AM139" s="6"/>
      <c r="AN139" s="6"/>
      <c r="AO139" s="5"/>
      <c r="AP139" s="6"/>
      <c r="AQ139" s="28" t="s">
        <v>319</v>
      </c>
      <c r="AR139" s="28" t="s">
        <v>319</v>
      </c>
      <c r="AS139" s="28" t="s">
        <v>319</v>
      </c>
      <c r="AT139" s="28" t="s">
        <v>319</v>
      </c>
      <c r="AU139" s="28" t="s">
        <v>319</v>
      </c>
      <c r="AV139" s="28" t="s">
        <v>319</v>
      </c>
      <c r="AW139" s="28" t="s">
        <v>319</v>
      </c>
      <c r="AX139" s="28" t="s">
        <v>319</v>
      </c>
      <c r="AY139" s="28" t="s">
        <v>319</v>
      </c>
      <c r="AZ139" s="28" t="s">
        <v>319</v>
      </c>
      <c r="BA139" s="28" t="s">
        <v>319</v>
      </c>
      <c r="BB139" s="6" t="s">
        <v>984</v>
      </c>
      <c r="BC139" s="5" t="s">
        <v>1011</v>
      </c>
      <c r="BD139" s="106">
        <v>320</v>
      </c>
      <c r="BE139" s="6" t="s">
        <v>1010</v>
      </c>
      <c r="BF139" s="6"/>
      <c r="BG139" s="12">
        <v>48</v>
      </c>
      <c r="BH139" s="28" t="s">
        <v>319</v>
      </c>
      <c r="BI139" s="28" t="s">
        <v>319</v>
      </c>
      <c r="BJ139" s="28" t="s">
        <v>319</v>
      </c>
      <c r="BK139" s="28" t="s">
        <v>319</v>
      </c>
      <c r="BL139" s="28" t="s">
        <v>319</v>
      </c>
      <c r="BM139" s="28" t="s">
        <v>319</v>
      </c>
      <c r="BN139" s="28" t="s">
        <v>319</v>
      </c>
      <c r="BO139" s="28" t="s">
        <v>319</v>
      </c>
      <c r="BP139" s="28" t="s">
        <v>319</v>
      </c>
      <c r="BQ139" s="28" t="s">
        <v>319</v>
      </c>
      <c r="BR139" s="5"/>
      <c r="BS139" s="105"/>
      <c r="BT139" s="6"/>
      <c r="BU139" s="12">
        <v>23.2</v>
      </c>
      <c r="BV139" s="6" t="s">
        <v>1029</v>
      </c>
      <c r="BW139" s="108">
        <v>1.3480000000000001</v>
      </c>
      <c r="BX139" s="6"/>
      <c r="BY139" s="6"/>
      <c r="BZ139" s="30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9"/>
      <c r="DB139" s="6"/>
      <c r="DC139" s="30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 t="s">
        <v>319</v>
      </c>
      <c r="DO139" s="28" t="s">
        <v>319</v>
      </c>
      <c r="DP139" s="28" t="s">
        <v>319</v>
      </c>
      <c r="DQ139" s="28" t="s">
        <v>319</v>
      </c>
      <c r="DR139" s="28" t="s">
        <v>319</v>
      </c>
      <c r="DS139" s="28" t="s">
        <v>319</v>
      </c>
      <c r="DT139" s="28" t="s">
        <v>319</v>
      </c>
      <c r="DU139" s="28" t="s">
        <v>319</v>
      </c>
      <c r="DV139" s="28" t="s">
        <v>319</v>
      </c>
      <c r="DW139" s="28" t="s">
        <v>319</v>
      </c>
      <c r="DX139" s="28" t="s">
        <v>319</v>
      </c>
      <c r="DY139" s="28" t="s">
        <v>319</v>
      </c>
      <c r="DZ139" s="28" t="s">
        <v>319</v>
      </c>
      <c r="EA139" s="28" t="s">
        <v>319</v>
      </c>
      <c r="EB139" s="28" t="s">
        <v>319</v>
      </c>
      <c r="EC139" s="28" t="s">
        <v>319</v>
      </c>
      <c r="ED139" s="28" t="s">
        <v>319</v>
      </c>
      <c r="EE139" s="28"/>
      <c r="EF139" s="28" t="s">
        <v>319</v>
      </c>
      <c r="EG139" s="28" t="s">
        <v>319</v>
      </c>
      <c r="EH139" s="28" t="s">
        <v>319</v>
      </c>
      <c r="EI139" s="28" t="s">
        <v>319</v>
      </c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7"/>
      <c r="FK139" s="15" t="s">
        <v>1060</v>
      </c>
      <c r="FL139" s="6"/>
      <c r="FM139" s="94"/>
    </row>
    <row r="140" spans="1:169" s="3" customFormat="1" ht="34.799999999999997" x14ac:dyDescent="0.4">
      <c r="A140" s="93"/>
      <c r="B140" s="93"/>
      <c r="C140" s="26"/>
      <c r="D140" s="27" t="s">
        <v>319</v>
      </c>
      <c r="E140" s="2" t="s">
        <v>529</v>
      </c>
      <c r="F140" s="28" t="s">
        <v>319</v>
      </c>
      <c r="G140" s="28" t="s">
        <v>319</v>
      </c>
      <c r="H140" s="28" t="s">
        <v>319</v>
      </c>
      <c r="I140" s="6" t="s">
        <v>613</v>
      </c>
      <c r="J140" s="28" t="s">
        <v>319</v>
      </c>
      <c r="K140" s="28" t="s">
        <v>319</v>
      </c>
      <c r="L140" s="28" t="s">
        <v>319</v>
      </c>
      <c r="M140" s="28" t="s">
        <v>319</v>
      </c>
      <c r="N140" s="28" t="s">
        <v>319</v>
      </c>
      <c r="O140" s="28" t="s">
        <v>319</v>
      </c>
      <c r="P140" s="28" t="s">
        <v>319</v>
      </c>
      <c r="Q140" s="5" t="s">
        <v>673</v>
      </c>
      <c r="R140" s="5" t="s">
        <v>667</v>
      </c>
      <c r="S140" s="6" t="s">
        <v>672</v>
      </c>
      <c r="T140" s="5" t="s">
        <v>782</v>
      </c>
      <c r="U140" s="5" t="s">
        <v>783</v>
      </c>
      <c r="V140" s="5" t="s">
        <v>786</v>
      </c>
      <c r="W140" s="6" t="s">
        <v>665</v>
      </c>
      <c r="X140" s="105">
        <v>38.549999999999997</v>
      </c>
      <c r="Y140" s="105">
        <v>38.6</v>
      </c>
      <c r="Z140" s="105">
        <v>38.61</v>
      </c>
      <c r="AA140" s="6" t="s">
        <v>963</v>
      </c>
      <c r="AB140" s="6">
        <v>0.29999999999999716</v>
      </c>
      <c r="AC140" s="6">
        <v>0.30000000000000426</v>
      </c>
      <c r="AD140" s="6">
        <v>0.29999999999999716</v>
      </c>
      <c r="AE140" s="6" t="s">
        <v>956</v>
      </c>
      <c r="AF140" s="6"/>
      <c r="AG140" s="12">
        <v>124.6</v>
      </c>
      <c r="AH140" s="6"/>
      <c r="AI140" s="6" t="s">
        <v>965</v>
      </c>
      <c r="AJ140" s="108"/>
      <c r="AK140" s="112">
        <v>1.2500000000000001E-2</v>
      </c>
      <c r="AL140" s="6"/>
      <c r="AM140" s="6"/>
      <c r="AN140" s="6"/>
      <c r="AO140" s="5"/>
      <c r="AP140" s="6"/>
      <c r="AQ140" s="28" t="s">
        <v>319</v>
      </c>
      <c r="AR140" s="28" t="s">
        <v>319</v>
      </c>
      <c r="AS140" s="28" t="s">
        <v>319</v>
      </c>
      <c r="AT140" s="28" t="s">
        <v>319</v>
      </c>
      <c r="AU140" s="28" t="s">
        <v>319</v>
      </c>
      <c r="AV140" s="28" t="s">
        <v>319</v>
      </c>
      <c r="AW140" s="28" t="s">
        <v>319</v>
      </c>
      <c r="AX140" s="28" t="s">
        <v>319</v>
      </c>
      <c r="AY140" s="28" t="s">
        <v>319</v>
      </c>
      <c r="AZ140" s="28" t="s">
        <v>319</v>
      </c>
      <c r="BA140" s="28" t="s">
        <v>319</v>
      </c>
      <c r="BB140" s="6" t="s">
        <v>984</v>
      </c>
      <c r="BC140" s="5" t="s">
        <v>1012</v>
      </c>
      <c r="BD140" s="106">
        <v>320</v>
      </c>
      <c r="BE140" s="6" t="s">
        <v>1010</v>
      </c>
      <c r="BF140" s="6"/>
      <c r="BG140" s="12">
        <v>48</v>
      </c>
      <c r="BH140" s="28" t="s">
        <v>319</v>
      </c>
      <c r="BI140" s="28" t="s">
        <v>319</v>
      </c>
      <c r="BJ140" s="28" t="s">
        <v>319</v>
      </c>
      <c r="BK140" s="28" t="s">
        <v>319</v>
      </c>
      <c r="BL140" s="28" t="s">
        <v>319</v>
      </c>
      <c r="BM140" s="28" t="s">
        <v>319</v>
      </c>
      <c r="BN140" s="28" t="s">
        <v>319</v>
      </c>
      <c r="BO140" s="28" t="s">
        <v>319</v>
      </c>
      <c r="BP140" s="28" t="s">
        <v>319</v>
      </c>
      <c r="BQ140" s="28" t="s">
        <v>319</v>
      </c>
      <c r="BR140" s="5"/>
      <c r="BS140" s="105"/>
      <c r="BT140" s="6"/>
      <c r="BU140" s="12">
        <v>23.2</v>
      </c>
      <c r="BV140" s="6" t="s">
        <v>1030</v>
      </c>
      <c r="BW140" s="108">
        <v>1.3480000000000001</v>
      </c>
      <c r="BX140" s="6"/>
      <c r="BY140" s="6"/>
      <c r="BZ140" s="30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9"/>
      <c r="DB140" s="6" t="s">
        <v>1052</v>
      </c>
      <c r="DC140" s="30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 t="s">
        <v>319</v>
      </c>
      <c r="DO140" s="28" t="s">
        <v>319</v>
      </c>
      <c r="DP140" s="28" t="s">
        <v>319</v>
      </c>
      <c r="DQ140" s="28" t="s">
        <v>319</v>
      </c>
      <c r="DR140" s="28" t="s">
        <v>319</v>
      </c>
      <c r="DS140" s="28" t="s">
        <v>319</v>
      </c>
      <c r="DT140" s="28" t="s">
        <v>319</v>
      </c>
      <c r="DU140" s="28" t="s">
        <v>319</v>
      </c>
      <c r="DV140" s="28" t="s">
        <v>319</v>
      </c>
      <c r="DW140" s="28" t="s">
        <v>319</v>
      </c>
      <c r="DX140" s="28" t="s">
        <v>319</v>
      </c>
      <c r="DY140" s="28" t="s">
        <v>319</v>
      </c>
      <c r="DZ140" s="28" t="s">
        <v>319</v>
      </c>
      <c r="EA140" s="28" t="s">
        <v>319</v>
      </c>
      <c r="EB140" s="28" t="s">
        <v>319</v>
      </c>
      <c r="EC140" s="28" t="s">
        <v>319</v>
      </c>
      <c r="ED140" s="28" t="s">
        <v>319</v>
      </c>
      <c r="EE140" s="28"/>
      <c r="EF140" s="28" t="s">
        <v>319</v>
      </c>
      <c r="EG140" s="28" t="s">
        <v>319</v>
      </c>
      <c r="EH140" s="28" t="s">
        <v>319</v>
      </c>
      <c r="EI140" s="28" t="s">
        <v>319</v>
      </c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7"/>
      <c r="FK140" s="15" t="s">
        <v>1060</v>
      </c>
      <c r="FL140" s="6"/>
      <c r="FM140" s="94"/>
    </row>
    <row r="141" spans="1:169" s="3" customFormat="1" ht="34.799999999999997" x14ac:dyDescent="0.4">
      <c r="A141" s="93"/>
      <c r="B141" s="93"/>
      <c r="C141" s="26"/>
      <c r="D141" s="27"/>
      <c r="E141" s="2" t="s">
        <v>1196</v>
      </c>
      <c r="F141" s="28"/>
      <c r="G141" s="28"/>
      <c r="H141" s="28"/>
      <c r="I141" s="6" t="s">
        <v>1197</v>
      </c>
      <c r="J141" s="28"/>
      <c r="K141" s="28"/>
      <c r="L141" s="28"/>
      <c r="M141" s="28"/>
      <c r="N141" s="28"/>
      <c r="O141" s="28"/>
      <c r="P141" s="28"/>
      <c r="Q141" s="5" t="s">
        <v>673</v>
      </c>
      <c r="R141" s="5" t="s">
        <v>1193</v>
      </c>
      <c r="S141" s="6" t="s">
        <v>1132</v>
      </c>
      <c r="T141" s="5" t="s">
        <v>1171</v>
      </c>
      <c r="U141" s="5">
        <f>2650/120*60</f>
        <v>1325</v>
      </c>
      <c r="V141" s="5" t="s">
        <v>1171</v>
      </c>
      <c r="W141" s="6" t="s">
        <v>665</v>
      </c>
      <c r="X141" s="5" t="s">
        <v>1171</v>
      </c>
      <c r="Y141" s="105">
        <v>0.74</v>
      </c>
      <c r="Z141" s="5" t="s">
        <v>1171</v>
      </c>
      <c r="AA141" s="6" t="s">
        <v>982</v>
      </c>
      <c r="AB141" s="5" t="s">
        <v>1171</v>
      </c>
      <c r="AC141" s="6" t="s">
        <v>1203</v>
      </c>
      <c r="AD141" s="5" t="s">
        <v>1171</v>
      </c>
      <c r="AE141" s="6" t="s">
        <v>984</v>
      </c>
      <c r="AF141" s="6"/>
      <c r="AG141" s="12">
        <v>40</v>
      </c>
      <c r="AH141" s="6"/>
      <c r="AI141" s="6" t="s">
        <v>966</v>
      </c>
      <c r="AJ141" s="108"/>
      <c r="AK141" s="112">
        <v>0.01</v>
      </c>
      <c r="AL141" s="6"/>
      <c r="AM141" s="6" t="s">
        <v>958</v>
      </c>
      <c r="AN141" s="6"/>
      <c r="AO141" s="105" t="s">
        <v>680</v>
      </c>
      <c r="AP141" s="6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6" t="s">
        <v>984</v>
      </c>
      <c r="BC141" s="5" t="s">
        <v>1171</v>
      </c>
      <c r="BD141" s="106" t="s">
        <v>1199</v>
      </c>
      <c r="BE141" s="6" t="s">
        <v>665</v>
      </c>
      <c r="BF141" s="6"/>
      <c r="BG141" s="12" t="s">
        <v>1200</v>
      </c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105" t="s">
        <v>680</v>
      </c>
      <c r="BS141" s="105" t="s">
        <v>680</v>
      </c>
      <c r="BT141" s="6"/>
      <c r="BU141" s="12">
        <v>23.5</v>
      </c>
      <c r="BV141" s="6" t="s">
        <v>1201</v>
      </c>
      <c r="BW141" s="108">
        <v>1.419</v>
      </c>
      <c r="BX141" s="6" t="s">
        <v>1184</v>
      </c>
      <c r="BY141" s="15" t="s">
        <v>1148</v>
      </c>
      <c r="BZ141" s="30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9"/>
      <c r="DB141" s="6"/>
      <c r="DC141" s="30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7"/>
      <c r="FK141" s="15" t="s">
        <v>1202</v>
      </c>
      <c r="FL141" s="6"/>
      <c r="FM141" s="94"/>
    </row>
    <row r="142" spans="1:169" s="3" customFormat="1" ht="34.799999999999997" x14ac:dyDescent="0.4">
      <c r="A142" s="93"/>
      <c r="B142" s="93"/>
      <c r="C142" s="26"/>
      <c r="D142" s="27"/>
      <c r="E142" s="2" t="s">
        <v>1198</v>
      </c>
      <c r="F142" s="28"/>
      <c r="G142" s="28"/>
      <c r="H142" s="28"/>
      <c r="I142" s="6" t="s">
        <v>1197</v>
      </c>
      <c r="J142" s="28"/>
      <c r="K142" s="28"/>
      <c r="L142" s="28"/>
      <c r="M142" s="28"/>
      <c r="N142" s="28"/>
      <c r="O142" s="28"/>
      <c r="P142" s="28"/>
      <c r="Q142" s="5" t="s">
        <v>673</v>
      </c>
      <c r="R142" s="5" t="s">
        <v>1193</v>
      </c>
      <c r="S142" s="6" t="s">
        <v>1132</v>
      </c>
      <c r="T142" s="5" t="s">
        <v>1171</v>
      </c>
      <c r="U142" s="5">
        <f>2650/30*60</f>
        <v>5300</v>
      </c>
      <c r="V142" s="5" t="s">
        <v>1171</v>
      </c>
      <c r="W142" s="6" t="s">
        <v>665</v>
      </c>
      <c r="X142" s="5" t="s">
        <v>1171</v>
      </c>
      <c r="Y142" s="105">
        <v>37.4</v>
      </c>
      <c r="Z142" s="5" t="s">
        <v>1171</v>
      </c>
      <c r="AA142" s="6" t="s">
        <v>982</v>
      </c>
      <c r="AB142" s="5" t="s">
        <v>1171</v>
      </c>
      <c r="AC142" s="6" t="s">
        <v>1203</v>
      </c>
      <c r="AD142" s="6"/>
      <c r="AE142" s="6" t="s">
        <v>984</v>
      </c>
      <c r="AF142" s="6"/>
      <c r="AG142" s="12">
        <v>40</v>
      </c>
      <c r="AH142" s="6"/>
      <c r="AI142" s="6" t="s">
        <v>966</v>
      </c>
      <c r="AJ142" s="108"/>
      <c r="AK142" s="112">
        <v>0.01</v>
      </c>
      <c r="AL142" s="6"/>
      <c r="AM142" s="6" t="s">
        <v>958</v>
      </c>
      <c r="AN142" s="6"/>
      <c r="AO142" s="105" t="s">
        <v>680</v>
      </c>
      <c r="AP142" s="6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6" t="s">
        <v>984</v>
      </c>
      <c r="BC142" s="5"/>
      <c r="BD142" s="106" t="s">
        <v>1199</v>
      </c>
      <c r="BE142" s="6" t="s">
        <v>665</v>
      </c>
      <c r="BF142" s="6"/>
      <c r="BG142" s="12" t="s">
        <v>1200</v>
      </c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105" t="s">
        <v>680</v>
      </c>
      <c r="BS142" s="105" t="s">
        <v>680</v>
      </c>
      <c r="BT142" s="6"/>
      <c r="BU142" s="12">
        <v>23.5</v>
      </c>
      <c r="BV142" s="6" t="s">
        <v>1201</v>
      </c>
      <c r="BW142" s="108">
        <v>1.419</v>
      </c>
      <c r="BX142" s="6" t="s">
        <v>1184</v>
      </c>
      <c r="BY142" s="15" t="s">
        <v>1148</v>
      </c>
      <c r="BZ142" s="30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9"/>
      <c r="DB142" s="6"/>
      <c r="DC142" s="30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7"/>
      <c r="FK142" s="15" t="s">
        <v>1202</v>
      </c>
      <c r="FL142" s="6"/>
      <c r="FM142" s="94"/>
    </row>
    <row r="143" spans="1:169" s="43" customFormat="1" ht="34.799999999999997" x14ac:dyDescent="0.4">
      <c r="A143" s="116"/>
      <c r="B143" s="116"/>
      <c r="C143" s="117"/>
      <c r="D143" s="118" t="s">
        <v>319</v>
      </c>
      <c r="E143" s="119" t="s">
        <v>540</v>
      </c>
      <c r="F143" s="28" t="s">
        <v>319</v>
      </c>
      <c r="G143" s="28" t="s">
        <v>319</v>
      </c>
      <c r="H143" s="28" t="s">
        <v>319</v>
      </c>
      <c r="I143" s="120" t="s">
        <v>614</v>
      </c>
      <c r="J143" s="28" t="s">
        <v>319</v>
      </c>
      <c r="K143" s="28" t="s">
        <v>319</v>
      </c>
      <c r="L143" s="28" t="s">
        <v>319</v>
      </c>
      <c r="M143" s="28" t="s">
        <v>319</v>
      </c>
      <c r="N143" s="28" t="s">
        <v>319</v>
      </c>
      <c r="O143" s="28" t="s">
        <v>319</v>
      </c>
      <c r="P143" s="28" t="s">
        <v>319</v>
      </c>
      <c r="Q143" s="121" t="s">
        <v>673</v>
      </c>
      <c r="R143" s="121" t="s">
        <v>667</v>
      </c>
      <c r="S143" s="120" t="s">
        <v>672</v>
      </c>
      <c r="T143" s="121">
        <f>U143/2</f>
        <v>1887.5</v>
      </c>
      <c r="U143" s="121">
        <v>3775</v>
      </c>
      <c r="V143" s="121">
        <v>4530</v>
      </c>
      <c r="W143" s="120" t="s">
        <v>665</v>
      </c>
      <c r="X143" s="122">
        <v>38</v>
      </c>
      <c r="Y143" s="122">
        <v>37.6</v>
      </c>
      <c r="Z143" s="122">
        <v>37.5</v>
      </c>
      <c r="AA143" s="120" t="s">
        <v>972</v>
      </c>
      <c r="AB143" s="120" t="s">
        <v>997</v>
      </c>
      <c r="AC143" s="120" t="s">
        <v>998</v>
      </c>
      <c r="AD143" s="120" t="s">
        <v>999</v>
      </c>
      <c r="AE143" s="120" t="s">
        <v>975</v>
      </c>
      <c r="AF143" s="120"/>
      <c r="AG143" s="123">
        <v>40</v>
      </c>
      <c r="AH143" s="120"/>
      <c r="AI143" s="120" t="s">
        <v>965</v>
      </c>
      <c r="AJ143" s="124"/>
      <c r="AK143" s="143">
        <v>1.2E-2</v>
      </c>
      <c r="AL143" s="120"/>
      <c r="AM143" s="120"/>
      <c r="AN143" s="120"/>
      <c r="AO143" s="121"/>
      <c r="AP143" s="6"/>
      <c r="AQ143" s="28" t="s">
        <v>319</v>
      </c>
      <c r="AR143" s="28" t="s">
        <v>319</v>
      </c>
      <c r="AS143" s="28" t="s">
        <v>319</v>
      </c>
      <c r="AT143" s="28" t="s">
        <v>319</v>
      </c>
      <c r="AU143" s="28" t="s">
        <v>319</v>
      </c>
      <c r="AV143" s="28" t="s">
        <v>319</v>
      </c>
      <c r="AW143" s="28" t="s">
        <v>319</v>
      </c>
      <c r="AX143" s="28" t="s">
        <v>319</v>
      </c>
      <c r="AY143" s="28" t="s">
        <v>319</v>
      </c>
      <c r="AZ143" s="28" t="s">
        <v>319</v>
      </c>
      <c r="BA143" s="28" t="s">
        <v>319</v>
      </c>
      <c r="BB143" s="120" t="s">
        <v>984</v>
      </c>
      <c r="BC143" s="121" t="s">
        <v>1011</v>
      </c>
      <c r="BD143" s="125">
        <v>320</v>
      </c>
      <c r="BE143" s="120" t="s">
        <v>1010</v>
      </c>
      <c r="BF143" s="120"/>
      <c r="BG143" s="123">
        <v>48</v>
      </c>
      <c r="BH143" s="28" t="s">
        <v>319</v>
      </c>
      <c r="BI143" s="28" t="s">
        <v>319</v>
      </c>
      <c r="BJ143" s="28" t="s">
        <v>319</v>
      </c>
      <c r="BK143" s="28" t="s">
        <v>319</v>
      </c>
      <c r="BL143" s="28" t="s">
        <v>319</v>
      </c>
      <c r="BM143" s="28" t="s">
        <v>319</v>
      </c>
      <c r="BN143" s="28" t="s">
        <v>319</v>
      </c>
      <c r="BO143" s="28" t="s">
        <v>319</v>
      </c>
      <c r="BP143" s="28" t="s">
        <v>319</v>
      </c>
      <c r="BQ143" s="28" t="s">
        <v>319</v>
      </c>
      <c r="BR143" s="121"/>
      <c r="BS143" s="122"/>
      <c r="BT143" s="6"/>
      <c r="BU143" s="121" t="s">
        <v>670</v>
      </c>
      <c r="BV143" s="120" t="s">
        <v>670</v>
      </c>
      <c r="BW143" s="121" t="s">
        <v>670</v>
      </c>
      <c r="BX143" s="120"/>
      <c r="BY143" s="120"/>
      <c r="BZ143" s="30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9"/>
      <c r="DB143" s="120"/>
      <c r="DC143" s="30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 t="s">
        <v>319</v>
      </c>
      <c r="DO143" s="28" t="s">
        <v>319</v>
      </c>
      <c r="DP143" s="28" t="s">
        <v>319</v>
      </c>
      <c r="DQ143" s="28" t="s">
        <v>319</v>
      </c>
      <c r="DR143" s="28" t="s">
        <v>319</v>
      </c>
      <c r="DS143" s="28" t="s">
        <v>319</v>
      </c>
      <c r="DT143" s="28" t="s">
        <v>319</v>
      </c>
      <c r="DU143" s="28" t="s">
        <v>319</v>
      </c>
      <c r="DV143" s="28" t="s">
        <v>319</v>
      </c>
      <c r="DW143" s="28" t="s">
        <v>319</v>
      </c>
      <c r="DX143" s="28" t="s">
        <v>319</v>
      </c>
      <c r="DY143" s="28" t="s">
        <v>319</v>
      </c>
      <c r="DZ143" s="28" t="s">
        <v>319</v>
      </c>
      <c r="EA143" s="28" t="s">
        <v>319</v>
      </c>
      <c r="EB143" s="28" t="s">
        <v>319</v>
      </c>
      <c r="EC143" s="28" t="s">
        <v>319</v>
      </c>
      <c r="ED143" s="28" t="s">
        <v>319</v>
      </c>
      <c r="EE143" s="28"/>
      <c r="EF143" s="28" t="s">
        <v>319</v>
      </c>
      <c r="EG143" s="28" t="s">
        <v>319</v>
      </c>
      <c r="EH143" s="28" t="s">
        <v>319</v>
      </c>
      <c r="EI143" s="28" t="s">
        <v>319</v>
      </c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7"/>
      <c r="FK143" s="126" t="s">
        <v>1060</v>
      </c>
      <c r="FL143" s="120"/>
      <c r="FM143" s="127"/>
    </row>
    <row r="144" spans="1:169" s="3" customFormat="1" x14ac:dyDescent="0.4">
      <c r="A144" s="93"/>
      <c r="B144" s="93"/>
      <c r="C144" s="26"/>
      <c r="D144" s="27" t="s">
        <v>319</v>
      </c>
      <c r="E144" s="2" t="s">
        <v>459</v>
      </c>
      <c r="F144" s="28" t="s">
        <v>319</v>
      </c>
      <c r="G144" s="28" t="s">
        <v>319</v>
      </c>
      <c r="H144" s="28" t="s">
        <v>319</v>
      </c>
      <c r="I144" s="6" t="s">
        <v>615</v>
      </c>
      <c r="J144" s="28" t="s">
        <v>319</v>
      </c>
      <c r="K144" s="28" t="s">
        <v>319</v>
      </c>
      <c r="L144" s="28" t="s">
        <v>319</v>
      </c>
      <c r="M144" s="28" t="s">
        <v>319</v>
      </c>
      <c r="N144" s="28" t="s">
        <v>319</v>
      </c>
      <c r="O144" s="28" t="s">
        <v>319</v>
      </c>
      <c r="P144" s="28" t="s">
        <v>319</v>
      </c>
      <c r="Q144" s="5" t="s">
        <v>721</v>
      </c>
      <c r="R144" s="5" t="s">
        <v>663</v>
      </c>
      <c r="S144" s="6" t="s">
        <v>672</v>
      </c>
      <c r="T144" s="5" t="s">
        <v>787</v>
      </c>
      <c r="U144" s="5" t="s">
        <v>788</v>
      </c>
      <c r="V144" s="106">
        <v>93948</v>
      </c>
      <c r="W144" s="6" t="s">
        <v>665</v>
      </c>
      <c r="X144" s="105">
        <v>15.67</v>
      </c>
      <c r="Y144" s="105">
        <v>15.49</v>
      </c>
      <c r="Z144" s="105">
        <v>15.16</v>
      </c>
      <c r="AA144" s="6" t="s">
        <v>963</v>
      </c>
      <c r="AB144" s="6">
        <v>9.4699999999999989</v>
      </c>
      <c r="AC144" s="6">
        <v>9.07</v>
      </c>
      <c r="AD144" s="6">
        <v>8.93</v>
      </c>
      <c r="AE144" s="6" t="s">
        <v>956</v>
      </c>
      <c r="AF144" s="6"/>
      <c r="AG144" s="12">
        <v>21.2</v>
      </c>
      <c r="AH144" s="6"/>
      <c r="AI144" s="6" t="s">
        <v>973</v>
      </c>
      <c r="AJ144" s="108"/>
      <c r="AK144" s="108">
        <v>8.5999999999999993E-2</v>
      </c>
      <c r="AL144" s="6"/>
      <c r="AM144" s="6" t="s">
        <v>958</v>
      </c>
      <c r="AN144" s="6"/>
      <c r="AO144" s="105">
        <v>10.81</v>
      </c>
      <c r="AP144" s="6"/>
      <c r="AQ144" s="28" t="s">
        <v>319</v>
      </c>
      <c r="AR144" s="28" t="s">
        <v>319</v>
      </c>
      <c r="AS144" s="28" t="s">
        <v>319</v>
      </c>
      <c r="AT144" s="28" t="s">
        <v>319</v>
      </c>
      <c r="AU144" s="28" t="s">
        <v>319</v>
      </c>
      <c r="AV144" s="28" t="s">
        <v>319</v>
      </c>
      <c r="AW144" s="28" t="s">
        <v>319</v>
      </c>
      <c r="AX144" s="28" t="s">
        <v>319</v>
      </c>
      <c r="AY144" s="28" t="s">
        <v>319</v>
      </c>
      <c r="AZ144" s="28" t="s">
        <v>319</v>
      </c>
      <c r="BA144" s="28" t="s">
        <v>319</v>
      </c>
      <c r="BB144" s="6" t="s">
        <v>984</v>
      </c>
      <c r="BC144" s="106">
        <v>-47</v>
      </c>
      <c r="BD144" s="106">
        <v>65</v>
      </c>
      <c r="BE144" s="6" t="s">
        <v>1010</v>
      </c>
      <c r="BF144" s="6"/>
      <c r="BG144" s="12">
        <v>28.5</v>
      </c>
      <c r="BH144" s="28" t="s">
        <v>319</v>
      </c>
      <c r="BI144" s="28" t="s">
        <v>319</v>
      </c>
      <c r="BJ144" s="28" t="s">
        <v>319</v>
      </c>
      <c r="BK144" s="28" t="s">
        <v>319</v>
      </c>
      <c r="BL144" s="28" t="s">
        <v>319</v>
      </c>
      <c r="BM144" s="28" t="s">
        <v>319</v>
      </c>
      <c r="BN144" s="28" t="s">
        <v>319</v>
      </c>
      <c r="BO144" s="28" t="s">
        <v>319</v>
      </c>
      <c r="BP144" s="28" t="s">
        <v>319</v>
      </c>
      <c r="BQ144" s="28" t="s">
        <v>319</v>
      </c>
      <c r="BR144" s="12">
        <v>47.1</v>
      </c>
      <c r="BS144" s="12">
        <v>510.5</v>
      </c>
      <c r="BT144" s="6"/>
      <c r="BU144" s="5"/>
      <c r="BV144" s="6"/>
      <c r="BW144" s="5"/>
      <c r="BX144" s="6" t="s">
        <v>1052</v>
      </c>
      <c r="BY144" s="6"/>
      <c r="BZ144" s="30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9"/>
      <c r="DB144" s="6"/>
      <c r="DC144" s="30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 t="s">
        <v>319</v>
      </c>
      <c r="DO144" s="28" t="s">
        <v>319</v>
      </c>
      <c r="DP144" s="28" t="s">
        <v>319</v>
      </c>
      <c r="DQ144" s="28" t="s">
        <v>319</v>
      </c>
      <c r="DR144" s="28" t="s">
        <v>319</v>
      </c>
      <c r="DS144" s="28" t="s">
        <v>319</v>
      </c>
      <c r="DT144" s="28" t="s">
        <v>319</v>
      </c>
      <c r="DU144" s="28" t="s">
        <v>319</v>
      </c>
      <c r="DV144" s="28" t="s">
        <v>319</v>
      </c>
      <c r="DW144" s="28" t="s">
        <v>319</v>
      </c>
      <c r="DX144" s="28" t="s">
        <v>319</v>
      </c>
      <c r="DY144" s="28" t="s">
        <v>319</v>
      </c>
      <c r="DZ144" s="28" t="s">
        <v>319</v>
      </c>
      <c r="EA144" s="28" t="s">
        <v>319</v>
      </c>
      <c r="EB144" s="28" t="s">
        <v>319</v>
      </c>
      <c r="EC144" s="28" t="s">
        <v>319</v>
      </c>
      <c r="ED144" s="28" t="s">
        <v>319</v>
      </c>
      <c r="EE144" s="28"/>
      <c r="EF144" s="28" t="s">
        <v>319</v>
      </c>
      <c r="EG144" s="28" t="s">
        <v>319</v>
      </c>
      <c r="EH144" s="28" t="s">
        <v>319</v>
      </c>
      <c r="EI144" s="28" t="s">
        <v>319</v>
      </c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7"/>
      <c r="FK144" s="6"/>
      <c r="FL144" s="6"/>
      <c r="FM144" s="97"/>
    </row>
    <row r="145" spans="1:169" s="3" customFormat="1" x14ac:dyDescent="0.4">
      <c r="A145" s="93"/>
      <c r="B145" s="93"/>
      <c r="C145" s="26"/>
      <c r="D145" s="27" t="s">
        <v>319</v>
      </c>
      <c r="E145" s="2" t="s">
        <v>460</v>
      </c>
      <c r="F145" s="28" t="s">
        <v>319</v>
      </c>
      <c r="G145" s="28" t="s">
        <v>319</v>
      </c>
      <c r="H145" s="28" t="s">
        <v>319</v>
      </c>
      <c r="I145" s="6" t="s">
        <v>616</v>
      </c>
      <c r="J145" s="28" t="s">
        <v>319</v>
      </c>
      <c r="K145" s="28" t="s">
        <v>319</v>
      </c>
      <c r="L145" s="28" t="s">
        <v>319</v>
      </c>
      <c r="M145" s="28" t="s">
        <v>319</v>
      </c>
      <c r="N145" s="28" t="s">
        <v>319</v>
      </c>
      <c r="O145" s="28" t="s">
        <v>319</v>
      </c>
      <c r="P145" s="28" t="s">
        <v>319</v>
      </c>
      <c r="Q145" s="5" t="s">
        <v>721</v>
      </c>
      <c r="R145" s="5" t="s">
        <v>663</v>
      </c>
      <c r="S145" s="6" t="s">
        <v>678</v>
      </c>
      <c r="T145" s="5" t="s">
        <v>789</v>
      </c>
      <c r="U145" s="5" t="s">
        <v>790</v>
      </c>
      <c r="V145" s="106">
        <v>130460</v>
      </c>
      <c r="W145" s="6" t="s">
        <v>665</v>
      </c>
      <c r="X145" s="105">
        <v>5.95</v>
      </c>
      <c r="Y145" s="105">
        <v>5.84</v>
      </c>
      <c r="Z145" s="105">
        <v>5.93</v>
      </c>
      <c r="AA145" s="6" t="s">
        <v>963</v>
      </c>
      <c r="AB145" s="6">
        <v>2.5500000000000003</v>
      </c>
      <c r="AC145" s="6">
        <v>2.36</v>
      </c>
      <c r="AD145" s="6">
        <v>2.3699999999999997</v>
      </c>
      <c r="AE145" s="6" t="s">
        <v>956</v>
      </c>
      <c r="AF145" s="6"/>
      <c r="AG145" s="12">
        <v>3.8</v>
      </c>
      <c r="AH145" s="6"/>
      <c r="AI145" s="6" t="s">
        <v>965</v>
      </c>
      <c r="AJ145" s="112"/>
      <c r="AK145" s="108">
        <v>0.10299999999999999</v>
      </c>
      <c r="AL145" s="6"/>
      <c r="AM145" s="6" t="s">
        <v>958</v>
      </c>
      <c r="AN145" s="6"/>
      <c r="AO145" s="105">
        <v>6.65</v>
      </c>
      <c r="AP145" s="6"/>
      <c r="AQ145" s="28" t="s">
        <v>319</v>
      </c>
      <c r="AR145" s="28" t="s">
        <v>319</v>
      </c>
      <c r="AS145" s="28" t="s">
        <v>319</v>
      </c>
      <c r="AT145" s="28" t="s">
        <v>319</v>
      </c>
      <c r="AU145" s="28" t="s">
        <v>319</v>
      </c>
      <c r="AV145" s="28" t="s">
        <v>319</v>
      </c>
      <c r="AW145" s="28" t="s">
        <v>319</v>
      </c>
      <c r="AX145" s="28" t="s">
        <v>319</v>
      </c>
      <c r="AY145" s="28" t="s">
        <v>319</v>
      </c>
      <c r="AZ145" s="28" t="s">
        <v>319</v>
      </c>
      <c r="BA145" s="28" t="s">
        <v>319</v>
      </c>
      <c r="BB145" s="6" t="s">
        <v>984</v>
      </c>
      <c r="BC145" s="106">
        <v>-47</v>
      </c>
      <c r="BD145" s="106">
        <v>65</v>
      </c>
      <c r="BE145" s="6" t="s">
        <v>1010</v>
      </c>
      <c r="BF145" s="6"/>
      <c r="BG145" s="12">
        <v>18</v>
      </c>
      <c r="BH145" s="28" t="s">
        <v>319</v>
      </c>
      <c r="BI145" s="28" t="s">
        <v>319</v>
      </c>
      <c r="BJ145" s="28" t="s">
        <v>319</v>
      </c>
      <c r="BK145" s="28" t="s">
        <v>319</v>
      </c>
      <c r="BL145" s="28" t="s">
        <v>319</v>
      </c>
      <c r="BM145" s="28" t="s">
        <v>319</v>
      </c>
      <c r="BN145" s="28" t="s">
        <v>319</v>
      </c>
      <c r="BO145" s="28" t="s">
        <v>319</v>
      </c>
      <c r="BP145" s="28" t="s">
        <v>319</v>
      </c>
      <c r="BQ145" s="28" t="s">
        <v>319</v>
      </c>
      <c r="BR145" s="12">
        <v>47.1</v>
      </c>
      <c r="BS145" s="12">
        <v>540.1</v>
      </c>
      <c r="BT145" s="6"/>
      <c r="BU145" s="5"/>
      <c r="BV145" s="6"/>
      <c r="BW145" s="5"/>
      <c r="BX145" s="6" t="s">
        <v>1054</v>
      </c>
      <c r="BY145" s="6"/>
      <c r="BZ145" s="30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9"/>
      <c r="DB145" s="6"/>
      <c r="DC145" s="30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 t="s">
        <v>319</v>
      </c>
      <c r="DO145" s="28" t="s">
        <v>319</v>
      </c>
      <c r="DP145" s="28" t="s">
        <v>319</v>
      </c>
      <c r="DQ145" s="28" t="s">
        <v>319</v>
      </c>
      <c r="DR145" s="28" t="s">
        <v>319</v>
      </c>
      <c r="DS145" s="28" t="s">
        <v>319</v>
      </c>
      <c r="DT145" s="28" t="s">
        <v>319</v>
      </c>
      <c r="DU145" s="28" t="s">
        <v>319</v>
      </c>
      <c r="DV145" s="28" t="s">
        <v>319</v>
      </c>
      <c r="DW145" s="28" t="s">
        <v>319</v>
      </c>
      <c r="DX145" s="28" t="s">
        <v>319</v>
      </c>
      <c r="DY145" s="28" t="s">
        <v>319</v>
      </c>
      <c r="DZ145" s="28" t="s">
        <v>319</v>
      </c>
      <c r="EA145" s="28" t="s">
        <v>319</v>
      </c>
      <c r="EB145" s="28" t="s">
        <v>319</v>
      </c>
      <c r="EC145" s="28" t="s">
        <v>319</v>
      </c>
      <c r="ED145" s="28" t="s">
        <v>319</v>
      </c>
      <c r="EE145" s="28"/>
      <c r="EF145" s="28" t="s">
        <v>319</v>
      </c>
      <c r="EG145" s="28" t="s">
        <v>319</v>
      </c>
      <c r="EH145" s="28" t="s">
        <v>319</v>
      </c>
      <c r="EI145" s="28" t="s">
        <v>319</v>
      </c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7"/>
      <c r="FK145" s="6"/>
      <c r="FL145" s="6"/>
      <c r="FM145" s="97"/>
    </row>
    <row r="146" spans="1:169" s="3" customFormat="1" x14ac:dyDescent="0.4">
      <c r="A146" s="93"/>
      <c r="B146" s="93"/>
      <c r="C146" s="26"/>
      <c r="D146" s="27" t="s">
        <v>319</v>
      </c>
      <c r="E146" s="2" t="s">
        <v>461</v>
      </c>
      <c r="F146" s="28" t="s">
        <v>319</v>
      </c>
      <c r="G146" s="28" t="s">
        <v>319</v>
      </c>
      <c r="H146" s="28" t="s">
        <v>319</v>
      </c>
      <c r="I146" s="6" t="s">
        <v>617</v>
      </c>
      <c r="J146" s="28" t="s">
        <v>319</v>
      </c>
      <c r="K146" s="28" t="s">
        <v>319</v>
      </c>
      <c r="L146" s="28" t="s">
        <v>319</v>
      </c>
      <c r="M146" s="28" t="s">
        <v>319</v>
      </c>
      <c r="N146" s="28" t="s">
        <v>319</v>
      </c>
      <c r="O146" s="28" t="s">
        <v>319</v>
      </c>
      <c r="P146" s="28" t="s">
        <v>319</v>
      </c>
      <c r="Q146" s="5" t="s">
        <v>721</v>
      </c>
      <c r="R146" s="5" t="s">
        <v>663</v>
      </c>
      <c r="S146" s="6" t="s">
        <v>672</v>
      </c>
      <c r="T146" s="5" t="s">
        <v>791</v>
      </c>
      <c r="U146" s="5" t="s">
        <v>792</v>
      </c>
      <c r="V146" s="5" t="s">
        <v>793</v>
      </c>
      <c r="W146" s="6" t="s">
        <v>665</v>
      </c>
      <c r="X146" s="105">
        <v>3.47</v>
      </c>
      <c r="Y146" s="105">
        <v>3.29</v>
      </c>
      <c r="Z146" s="105">
        <v>3.24</v>
      </c>
      <c r="AA146" s="6" t="s">
        <v>963</v>
      </c>
      <c r="AB146" s="6">
        <v>2.3600000000000003</v>
      </c>
      <c r="AC146" s="6">
        <v>2.1500000000000004</v>
      </c>
      <c r="AD146" s="6">
        <v>2.08</v>
      </c>
      <c r="AE146" s="6" t="s">
        <v>956</v>
      </c>
      <c r="AF146" s="6"/>
      <c r="AG146" s="12">
        <v>3.1</v>
      </c>
      <c r="AH146" s="6"/>
      <c r="AI146" s="6" t="s">
        <v>965</v>
      </c>
      <c r="AJ146" s="112"/>
      <c r="AK146" s="108">
        <v>0.124</v>
      </c>
      <c r="AL146" s="6"/>
      <c r="AM146" s="6" t="s">
        <v>958</v>
      </c>
      <c r="AN146" s="6"/>
      <c r="AO146" s="105">
        <v>3.73</v>
      </c>
      <c r="AP146" s="6"/>
      <c r="AQ146" s="28" t="s">
        <v>319</v>
      </c>
      <c r="AR146" s="28" t="s">
        <v>319</v>
      </c>
      <c r="AS146" s="28" t="s">
        <v>319</v>
      </c>
      <c r="AT146" s="28" t="s">
        <v>319</v>
      </c>
      <c r="AU146" s="28" t="s">
        <v>319</v>
      </c>
      <c r="AV146" s="28" t="s">
        <v>319</v>
      </c>
      <c r="AW146" s="28" t="s">
        <v>319</v>
      </c>
      <c r="AX146" s="28" t="s">
        <v>319</v>
      </c>
      <c r="AY146" s="28" t="s">
        <v>319</v>
      </c>
      <c r="AZ146" s="28" t="s">
        <v>319</v>
      </c>
      <c r="BA146" s="28" t="s">
        <v>319</v>
      </c>
      <c r="BB146" s="6" t="s">
        <v>984</v>
      </c>
      <c r="BC146" s="106">
        <v>-47</v>
      </c>
      <c r="BD146" s="106">
        <v>65</v>
      </c>
      <c r="BE146" s="6" t="s">
        <v>1010</v>
      </c>
      <c r="BF146" s="6"/>
      <c r="BG146" s="12">
        <v>18</v>
      </c>
      <c r="BH146" s="28" t="s">
        <v>319</v>
      </c>
      <c r="BI146" s="28" t="s">
        <v>319</v>
      </c>
      <c r="BJ146" s="28" t="s">
        <v>319</v>
      </c>
      <c r="BK146" s="28" t="s">
        <v>319</v>
      </c>
      <c r="BL146" s="28" t="s">
        <v>319</v>
      </c>
      <c r="BM146" s="28" t="s">
        <v>319</v>
      </c>
      <c r="BN146" s="28" t="s">
        <v>319</v>
      </c>
      <c r="BO146" s="28" t="s">
        <v>319</v>
      </c>
      <c r="BP146" s="28" t="s">
        <v>319</v>
      </c>
      <c r="BQ146" s="28" t="s">
        <v>319</v>
      </c>
      <c r="BR146" s="12">
        <v>47.1</v>
      </c>
      <c r="BS146" s="12">
        <v>566.20000000000005</v>
      </c>
      <c r="BT146" s="6"/>
      <c r="BU146" s="5"/>
      <c r="BV146" s="6"/>
      <c r="BW146" s="5"/>
      <c r="BX146" s="6" t="s">
        <v>1054</v>
      </c>
      <c r="BY146" s="6"/>
      <c r="BZ146" s="30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9"/>
      <c r="DB146" s="6"/>
      <c r="DC146" s="30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 t="s">
        <v>319</v>
      </c>
      <c r="DO146" s="28" t="s">
        <v>319</v>
      </c>
      <c r="DP146" s="28" t="s">
        <v>319</v>
      </c>
      <c r="DQ146" s="28" t="s">
        <v>319</v>
      </c>
      <c r="DR146" s="28" t="s">
        <v>319</v>
      </c>
      <c r="DS146" s="28" t="s">
        <v>319</v>
      </c>
      <c r="DT146" s="28" t="s">
        <v>319</v>
      </c>
      <c r="DU146" s="28" t="s">
        <v>319</v>
      </c>
      <c r="DV146" s="28" t="s">
        <v>319</v>
      </c>
      <c r="DW146" s="28" t="s">
        <v>319</v>
      </c>
      <c r="DX146" s="28" t="s">
        <v>319</v>
      </c>
      <c r="DY146" s="28" t="s">
        <v>319</v>
      </c>
      <c r="DZ146" s="28" t="s">
        <v>319</v>
      </c>
      <c r="EA146" s="28" t="s">
        <v>319</v>
      </c>
      <c r="EB146" s="28" t="s">
        <v>319</v>
      </c>
      <c r="EC146" s="28" t="s">
        <v>319</v>
      </c>
      <c r="ED146" s="28" t="s">
        <v>319</v>
      </c>
      <c r="EE146" s="28"/>
      <c r="EF146" s="28" t="s">
        <v>319</v>
      </c>
      <c r="EG146" s="28" t="s">
        <v>319</v>
      </c>
      <c r="EH146" s="28" t="s">
        <v>319</v>
      </c>
      <c r="EI146" s="28" t="s">
        <v>319</v>
      </c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7"/>
      <c r="FK146" s="6"/>
      <c r="FL146" s="6"/>
      <c r="FM146" s="97"/>
    </row>
    <row r="147" spans="1:169" s="3" customFormat="1" x14ac:dyDescent="0.4">
      <c r="A147" s="93"/>
      <c r="B147" s="93"/>
      <c r="C147" s="26"/>
      <c r="D147" s="27" t="s">
        <v>319</v>
      </c>
      <c r="E147" s="2" t="s">
        <v>356</v>
      </c>
      <c r="F147" s="28" t="s">
        <v>319</v>
      </c>
      <c r="G147" s="28" t="s">
        <v>319</v>
      </c>
      <c r="H147" s="28" t="s">
        <v>319</v>
      </c>
      <c r="I147" s="6" t="s">
        <v>618</v>
      </c>
      <c r="J147" s="28" t="s">
        <v>319</v>
      </c>
      <c r="K147" s="28" t="s">
        <v>319</v>
      </c>
      <c r="L147" s="28" t="s">
        <v>319</v>
      </c>
      <c r="M147" s="28" t="s">
        <v>319</v>
      </c>
      <c r="N147" s="28" t="s">
        <v>319</v>
      </c>
      <c r="O147" s="28" t="s">
        <v>319</v>
      </c>
      <c r="P147" s="28" t="s">
        <v>319</v>
      </c>
      <c r="Q147" s="5" t="s">
        <v>673</v>
      </c>
      <c r="R147" s="5" t="s">
        <v>663</v>
      </c>
      <c r="S147" s="6" t="s">
        <v>669</v>
      </c>
      <c r="T147" s="5" t="s">
        <v>794</v>
      </c>
      <c r="U147" s="5" t="s">
        <v>795</v>
      </c>
      <c r="V147" s="5" t="s">
        <v>796</v>
      </c>
      <c r="W147" s="6" t="s">
        <v>665</v>
      </c>
      <c r="X147" s="105">
        <v>36.450000000000003</v>
      </c>
      <c r="Y147" s="105">
        <v>36.36</v>
      </c>
      <c r="Z147" s="105">
        <v>36.340000000000003</v>
      </c>
      <c r="AA147" s="6" t="s">
        <v>963</v>
      </c>
      <c r="AB147" s="6">
        <v>2.4200000000000017</v>
      </c>
      <c r="AC147" s="6">
        <v>2.2899999999999991</v>
      </c>
      <c r="AD147" s="6">
        <v>2.2700000000000031</v>
      </c>
      <c r="AE147" s="6" t="s">
        <v>956</v>
      </c>
      <c r="AF147" s="6"/>
      <c r="AG147" s="12">
        <v>-31</v>
      </c>
      <c r="AH147" s="6"/>
      <c r="AI147" s="6" t="s">
        <v>965</v>
      </c>
      <c r="AJ147" s="112"/>
      <c r="AK147" s="108">
        <v>7.0999999999999994E-2</v>
      </c>
      <c r="AL147" s="6"/>
      <c r="AM147" s="6" t="s">
        <v>958</v>
      </c>
      <c r="AN147" s="6"/>
      <c r="AO147" s="105">
        <v>37.29</v>
      </c>
      <c r="AP147" s="6"/>
      <c r="AQ147" s="28" t="s">
        <v>319</v>
      </c>
      <c r="AR147" s="28" t="s">
        <v>319</v>
      </c>
      <c r="AS147" s="28" t="s">
        <v>319</v>
      </c>
      <c r="AT147" s="28" t="s">
        <v>319</v>
      </c>
      <c r="AU147" s="28" t="s">
        <v>319</v>
      </c>
      <c r="AV147" s="28" t="s">
        <v>319</v>
      </c>
      <c r="AW147" s="28" t="s">
        <v>319</v>
      </c>
      <c r="AX147" s="28" t="s">
        <v>319</v>
      </c>
      <c r="AY147" s="28" t="s">
        <v>319</v>
      </c>
      <c r="AZ147" s="28" t="s">
        <v>319</v>
      </c>
      <c r="BA147" s="28" t="s">
        <v>319</v>
      </c>
      <c r="BB147" s="6" t="s">
        <v>984</v>
      </c>
      <c r="BC147" s="106">
        <v>-96</v>
      </c>
      <c r="BD147" s="106">
        <v>65</v>
      </c>
      <c r="BE147" s="6" t="s">
        <v>1010</v>
      </c>
      <c r="BF147" s="6"/>
      <c r="BG147" s="12">
        <v>46</v>
      </c>
      <c r="BH147" s="28" t="s">
        <v>319</v>
      </c>
      <c r="BI147" s="28" t="s">
        <v>319</v>
      </c>
      <c r="BJ147" s="28" t="s">
        <v>319</v>
      </c>
      <c r="BK147" s="28" t="s">
        <v>319</v>
      </c>
      <c r="BL147" s="28" t="s">
        <v>319</v>
      </c>
      <c r="BM147" s="28" t="s">
        <v>319</v>
      </c>
      <c r="BN147" s="28" t="s">
        <v>319</v>
      </c>
      <c r="BO147" s="28" t="s">
        <v>319</v>
      </c>
      <c r="BP147" s="28" t="s">
        <v>319</v>
      </c>
      <c r="BQ147" s="28" t="s">
        <v>319</v>
      </c>
      <c r="BR147" s="12">
        <v>48.8</v>
      </c>
      <c r="BS147" s="12">
        <v>475.8</v>
      </c>
      <c r="BT147" s="6"/>
      <c r="BU147" s="5"/>
      <c r="BV147" s="6"/>
      <c r="BW147" s="5"/>
      <c r="BX147" s="6" t="s">
        <v>1054</v>
      </c>
      <c r="BY147" s="6"/>
      <c r="BZ147" s="30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9"/>
      <c r="DB147" s="6"/>
      <c r="DC147" s="30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 t="s">
        <v>319</v>
      </c>
      <c r="DO147" s="28" t="s">
        <v>319</v>
      </c>
      <c r="DP147" s="28" t="s">
        <v>319</v>
      </c>
      <c r="DQ147" s="28" t="s">
        <v>319</v>
      </c>
      <c r="DR147" s="28" t="s">
        <v>319</v>
      </c>
      <c r="DS147" s="28" t="s">
        <v>319</v>
      </c>
      <c r="DT147" s="28" t="s">
        <v>319</v>
      </c>
      <c r="DU147" s="28" t="s">
        <v>319</v>
      </c>
      <c r="DV147" s="28" t="s">
        <v>319</v>
      </c>
      <c r="DW147" s="28" t="s">
        <v>319</v>
      </c>
      <c r="DX147" s="28" t="s">
        <v>319</v>
      </c>
      <c r="DY147" s="28" t="s">
        <v>319</v>
      </c>
      <c r="DZ147" s="28" t="s">
        <v>319</v>
      </c>
      <c r="EA147" s="28" t="s">
        <v>319</v>
      </c>
      <c r="EB147" s="28" t="s">
        <v>319</v>
      </c>
      <c r="EC147" s="28" t="s">
        <v>319</v>
      </c>
      <c r="ED147" s="28" t="s">
        <v>319</v>
      </c>
      <c r="EE147" s="28"/>
      <c r="EF147" s="28" t="s">
        <v>319</v>
      </c>
      <c r="EG147" s="28" t="s">
        <v>319</v>
      </c>
      <c r="EH147" s="28" t="s">
        <v>319</v>
      </c>
      <c r="EI147" s="28" t="s">
        <v>319</v>
      </c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7"/>
      <c r="FK147" s="6"/>
      <c r="FL147" s="6"/>
      <c r="FM147" s="97"/>
    </row>
    <row r="148" spans="1:169" s="3" customFormat="1" ht="34.799999999999997" x14ac:dyDescent="0.4">
      <c r="A148" s="93"/>
      <c r="B148" s="93"/>
      <c r="C148" s="26"/>
      <c r="D148" s="27" t="s">
        <v>319</v>
      </c>
      <c r="E148" s="2" t="s">
        <v>495</v>
      </c>
      <c r="F148" s="28" t="s">
        <v>319</v>
      </c>
      <c r="G148" s="28" t="s">
        <v>319</v>
      </c>
      <c r="H148" s="28" t="s">
        <v>319</v>
      </c>
      <c r="I148" s="6" t="s">
        <v>618</v>
      </c>
      <c r="J148" s="28" t="s">
        <v>319</v>
      </c>
      <c r="K148" s="28" t="s">
        <v>319</v>
      </c>
      <c r="L148" s="28" t="s">
        <v>319</v>
      </c>
      <c r="M148" s="28" t="s">
        <v>319</v>
      </c>
      <c r="N148" s="28" t="s">
        <v>319</v>
      </c>
      <c r="O148" s="28" t="s">
        <v>319</v>
      </c>
      <c r="P148" s="28" t="s">
        <v>319</v>
      </c>
      <c r="Q148" s="5" t="s">
        <v>673</v>
      </c>
      <c r="R148" s="5" t="s">
        <v>667</v>
      </c>
      <c r="S148" s="6" t="s">
        <v>678</v>
      </c>
      <c r="T148" s="5"/>
      <c r="U148" s="5"/>
      <c r="V148" s="5" t="s">
        <v>797</v>
      </c>
      <c r="W148" s="6" t="s">
        <v>665</v>
      </c>
      <c r="X148" s="5"/>
      <c r="Y148" s="5"/>
      <c r="Z148" s="105">
        <v>36.25</v>
      </c>
      <c r="AA148" s="6" t="s">
        <v>963</v>
      </c>
      <c r="AB148" s="6"/>
      <c r="AC148" s="6"/>
      <c r="AD148" s="6">
        <v>35.75</v>
      </c>
      <c r="AE148" s="6" t="s">
        <v>956</v>
      </c>
      <c r="AF148" s="6"/>
      <c r="AG148" s="12">
        <v>-31</v>
      </c>
      <c r="AH148" s="6"/>
      <c r="AI148" s="6" t="s">
        <v>965</v>
      </c>
      <c r="AJ148" s="112"/>
      <c r="AK148" s="112">
        <v>9.9000000000000008E-3</v>
      </c>
      <c r="AL148" s="6"/>
      <c r="AM148" s="6"/>
      <c r="AN148" s="6"/>
      <c r="AO148" s="5"/>
      <c r="AP148" s="6"/>
      <c r="AQ148" s="28" t="s">
        <v>319</v>
      </c>
      <c r="AR148" s="28" t="s">
        <v>319</v>
      </c>
      <c r="AS148" s="28" t="s">
        <v>319</v>
      </c>
      <c r="AT148" s="28" t="s">
        <v>319</v>
      </c>
      <c r="AU148" s="28" t="s">
        <v>319</v>
      </c>
      <c r="AV148" s="28" t="s">
        <v>319</v>
      </c>
      <c r="AW148" s="28" t="s">
        <v>319</v>
      </c>
      <c r="AX148" s="28" t="s">
        <v>319</v>
      </c>
      <c r="AY148" s="28" t="s">
        <v>319</v>
      </c>
      <c r="AZ148" s="28" t="s">
        <v>319</v>
      </c>
      <c r="BA148" s="28" t="s">
        <v>319</v>
      </c>
      <c r="BB148" s="6" t="s">
        <v>984</v>
      </c>
      <c r="BC148" s="106">
        <v>-96</v>
      </c>
      <c r="BD148" s="106">
        <v>65</v>
      </c>
      <c r="BE148" s="6" t="s">
        <v>1010</v>
      </c>
      <c r="BF148" s="6"/>
      <c r="BG148" s="12">
        <v>46</v>
      </c>
      <c r="BH148" s="28" t="s">
        <v>319</v>
      </c>
      <c r="BI148" s="28" t="s">
        <v>319</v>
      </c>
      <c r="BJ148" s="28" t="s">
        <v>319</v>
      </c>
      <c r="BK148" s="28" t="s">
        <v>319</v>
      </c>
      <c r="BL148" s="28" t="s">
        <v>319</v>
      </c>
      <c r="BM148" s="28" t="s">
        <v>319</v>
      </c>
      <c r="BN148" s="28" t="s">
        <v>319</v>
      </c>
      <c r="BO148" s="28" t="s">
        <v>319</v>
      </c>
      <c r="BP148" s="28" t="s">
        <v>319</v>
      </c>
      <c r="BQ148" s="28" t="s">
        <v>319</v>
      </c>
      <c r="BR148" s="5"/>
      <c r="BS148" s="105"/>
      <c r="BT148" s="6"/>
      <c r="BU148" s="12">
        <v>17.2</v>
      </c>
      <c r="BV148" s="6" t="s">
        <v>1031</v>
      </c>
      <c r="BW148" s="108">
        <v>1.5529999999999999</v>
      </c>
      <c r="BX148" s="6"/>
      <c r="BY148" s="6"/>
      <c r="BZ148" s="30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9"/>
      <c r="DB148" s="6"/>
      <c r="DC148" s="30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 t="s">
        <v>319</v>
      </c>
      <c r="DO148" s="28" t="s">
        <v>319</v>
      </c>
      <c r="DP148" s="28" t="s">
        <v>319</v>
      </c>
      <c r="DQ148" s="28" t="s">
        <v>319</v>
      </c>
      <c r="DR148" s="28" t="s">
        <v>319</v>
      </c>
      <c r="DS148" s="28" t="s">
        <v>319</v>
      </c>
      <c r="DT148" s="28" t="s">
        <v>319</v>
      </c>
      <c r="DU148" s="28" t="s">
        <v>319</v>
      </c>
      <c r="DV148" s="28" t="s">
        <v>319</v>
      </c>
      <c r="DW148" s="28" t="s">
        <v>319</v>
      </c>
      <c r="DX148" s="28" t="s">
        <v>319</v>
      </c>
      <c r="DY148" s="28" t="s">
        <v>319</v>
      </c>
      <c r="DZ148" s="28" t="s">
        <v>319</v>
      </c>
      <c r="EA148" s="28" t="s">
        <v>319</v>
      </c>
      <c r="EB148" s="28" t="s">
        <v>319</v>
      </c>
      <c r="EC148" s="28" t="s">
        <v>319</v>
      </c>
      <c r="ED148" s="28" t="s">
        <v>319</v>
      </c>
      <c r="EE148" s="28"/>
      <c r="EF148" s="28" t="s">
        <v>319</v>
      </c>
      <c r="EG148" s="28" t="s">
        <v>319</v>
      </c>
      <c r="EH148" s="28" t="s">
        <v>319</v>
      </c>
      <c r="EI148" s="28" t="s">
        <v>319</v>
      </c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7"/>
      <c r="FK148" s="15" t="s">
        <v>1060</v>
      </c>
      <c r="FL148" s="6"/>
      <c r="FM148" s="94"/>
    </row>
    <row r="149" spans="1:169" s="3" customFormat="1" ht="34.799999999999997" x14ac:dyDescent="0.4">
      <c r="A149" s="93"/>
      <c r="B149" s="93"/>
      <c r="C149" s="26"/>
      <c r="D149" s="27"/>
      <c r="E149" s="2" t="s">
        <v>1321</v>
      </c>
      <c r="F149" s="28"/>
      <c r="G149" s="28"/>
      <c r="H149" s="28"/>
      <c r="I149" s="6" t="s">
        <v>1322</v>
      </c>
      <c r="J149" s="28"/>
      <c r="K149" s="28"/>
      <c r="L149" s="28"/>
      <c r="M149" s="28"/>
      <c r="N149" s="28"/>
      <c r="O149" s="28"/>
      <c r="P149" s="28"/>
      <c r="Q149" s="5" t="s">
        <v>673</v>
      </c>
      <c r="R149" s="5" t="s">
        <v>667</v>
      </c>
      <c r="S149" s="6" t="s">
        <v>664</v>
      </c>
      <c r="T149" s="110"/>
      <c r="U149" s="211">
        <v>2368.3000000000002</v>
      </c>
      <c r="V149" s="211">
        <f>166727/10</f>
        <v>16672.7</v>
      </c>
      <c r="W149" s="6" t="s">
        <v>665</v>
      </c>
      <c r="X149" s="5"/>
      <c r="Y149" s="5"/>
      <c r="Z149" s="105">
        <v>36.25</v>
      </c>
      <c r="AA149" s="6" t="s">
        <v>955</v>
      </c>
      <c r="AB149" s="6"/>
      <c r="AC149" s="6"/>
      <c r="AD149" s="6" t="s">
        <v>1323</v>
      </c>
      <c r="AE149" s="6" t="s">
        <v>956</v>
      </c>
      <c r="AF149" s="6"/>
      <c r="AG149" s="12">
        <v>-31</v>
      </c>
      <c r="AH149" s="6"/>
      <c r="AI149" s="6" t="s">
        <v>957</v>
      </c>
      <c r="AJ149" s="112"/>
      <c r="AK149" s="112">
        <v>9.9000000000000008E-3</v>
      </c>
      <c r="AL149" s="6"/>
      <c r="AM149" s="6" t="s">
        <v>1324</v>
      </c>
      <c r="AN149" s="6"/>
      <c r="AO149" s="5"/>
      <c r="AP149" s="6" t="s">
        <v>984</v>
      </c>
      <c r="AQ149" s="106">
        <v>-96</v>
      </c>
      <c r="AR149" s="106">
        <v>65</v>
      </c>
      <c r="AS149" s="6" t="s">
        <v>1008</v>
      </c>
      <c r="AT149" s="6"/>
      <c r="AU149" s="12">
        <v>48</v>
      </c>
      <c r="AV149" s="28"/>
      <c r="AW149" s="28"/>
      <c r="AX149" s="28"/>
      <c r="AY149" s="28"/>
      <c r="AZ149" s="28"/>
      <c r="BA149" s="28"/>
      <c r="BB149" s="6" t="s">
        <v>984</v>
      </c>
      <c r="BC149" s="106">
        <v>-96</v>
      </c>
      <c r="BD149" s="106">
        <v>65</v>
      </c>
      <c r="BE149" s="6" t="s">
        <v>1008</v>
      </c>
      <c r="BF149" s="6"/>
      <c r="BG149" s="12">
        <v>46</v>
      </c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5"/>
      <c r="BS149" s="105"/>
      <c r="BT149" s="6"/>
      <c r="BU149" s="12">
        <v>17.2</v>
      </c>
      <c r="BV149" s="6" t="s">
        <v>1031</v>
      </c>
      <c r="BW149" s="108">
        <v>1.5529999999999999</v>
      </c>
      <c r="BX149" s="6"/>
      <c r="BY149" s="6"/>
      <c r="BZ149" s="30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9"/>
      <c r="DB149" s="6"/>
      <c r="DC149" s="30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7"/>
      <c r="FK149" s="15" t="s">
        <v>1060</v>
      </c>
      <c r="FL149" s="6"/>
      <c r="FM149" s="94"/>
    </row>
    <row r="150" spans="1:169" s="43" customFormat="1" x14ac:dyDescent="0.4">
      <c r="C150" s="45"/>
      <c r="D150" s="32"/>
      <c r="E150" s="33" t="s">
        <v>1240</v>
      </c>
      <c r="F150" s="34"/>
      <c r="G150" s="34"/>
      <c r="H150" s="34"/>
      <c r="I150" s="35" t="s">
        <v>1239</v>
      </c>
      <c r="J150" s="34"/>
      <c r="K150" s="34"/>
      <c r="L150" s="34"/>
      <c r="M150" s="34"/>
      <c r="N150" s="34"/>
      <c r="O150" s="34"/>
      <c r="P150" s="34"/>
      <c r="Q150" s="36" t="s">
        <v>1287</v>
      </c>
      <c r="R150" s="36" t="s">
        <v>1286</v>
      </c>
      <c r="S150" s="35" t="s">
        <v>664</v>
      </c>
      <c r="T150" s="36"/>
      <c r="U150" s="36"/>
      <c r="V150" s="168">
        <f>119669*0.4</f>
        <v>47867.600000000006</v>
      </c>
      <c r="W150" s="35" t="s">
        <v>1288</v>
      </c>
      <c r="X150" s="36"/>
      <c r="Y150" s="37">
        <v>8.82</v>
      </c>
      <c r="Z150" s="37"/>
      <c r="AA150" s="35" t="s">
        <v>955</v>
      </c>
      <c r="AB150" s="35"/>
      <c r="AC150" s="166">
        <v>8.5299999999999994</v>
      </c>
      <c r="AD150" s="35"/>
      <c r="AE150" s="35" t="s">
        <v>1291</v>
      </c>
      <c r="AF150" s="35"/>
      <c r="AG150" s="38">
        <v>49</v>
      </c>
      <c r="AH150" s="35"/>
      <c r="AI150" s="35" t="s">
        <v>1292</v>
      </c>
      <c r="AJ150" s="39"/>
      <c r="AK150" s="39">
        <v>0.55640000000000001</v>
      </c>
      <c r="AL150" s="35"/>
      <c r="AM150" s="35" t="s">
        <v>1293</v>
      </c>
      <c r="AN150" s="35"/>
      <c r="AO150" s="37">
        <v>0.12</v>
      </c>
      <c r="AP150" s="35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5" t="s">
        <v>1295</v>
      </c>
      <c r="BC150" s="167"/>
      <c r="BD150" s="40">
        <v>150</v>
      </c>
      <c r="BE150" s="35" t="s">
        <v>1008</v>
      </c>
      <c r="BF150" s="35"/>
      <c r="BG150" s="38">
        <v>14.5</v>
      </c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8">
        <v>225.5</v>
      </c>
      <c r="BS150" s="37">
        <v>988.78</v>
      </c>
      <c r="BT150" s="35"/>
      <c r="BU150" s="38"/>
      <c r="BV150" s="35"/>
      <c r="BW150" s="46"/>
      <c r="BX150" s="35"/>
      <c r="BY150" s="35"/>
      <c r="BZ150" s="42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41"/>
      <c r="DB150" s="35"/>
      <c r="DC150" s="42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2"/>
      <c r="FK150" s="83"/>
      <c r="FL150" s="35"/>
      <c r="FM150" s="84"/>
    </row>
    <row r="151" spans="1:169" s="43" customFormat="1" x14ac:dyDescent="0.4">
      <c r="C151" s="45"/>
      <c r="D151" s="32"/>
      <c r="E151" s="33" t="s">
        <v>1241</v>
      </c>
      <c r="F151" s="34"/>
      <c r="G151" s="34"/>
      <c r="H151" s="34"/>
      <c r="I151" s="35" t="s">
        <v>1239</v>
      </c>
      <c r="J151" s="34"/>
      <c r="K151" s="34"/>
      <c r="L151" s="34"/>
      <c r="M151" s="34"/>
      <c r="N151" s="34"/>
      <c r="O151" s="34"/>
      <c r="P151" s="34"/>
      <c r="Q151" s="36" t="s">
        <v>1287</v>
      </c>
      <c r="R151" s="36" t="s">
        <v>1286</v>
      </c>
      <c r="S151" s="35" t="s">
        <v>664</v>
      </c>
      <c r="T151" s="36"/>
      <c r="U151" s="168">
        <f>59.1*989</f>
        <v>58449.9</v>
      </c>
      <c r="V151" s="168">
        <f>121*989</f>
        <v>119669</v>
      </c>
      <c r="W151" s="35" t="s">
        <v>1288</v>
      </c>
      <c r="X151" s="36"/>
      <c r="Y151" s="37">
        <v>8.3800000000000008</v>
      </c>
      <c r="Z151" s="37">
        <v>6.98</v>
      </c>
      <c r="AA151" s="35" t="s">
        <v>955</v>
      </c>
      <c r="AB151" s="35"/>
      <c r="AC151" s="35" t="s">
        <v>1296</v>
      </c>
      <c r="AD151" s="35"/>
      <c r="AE151" s="35" t="s">
        <v>1291</v>
      </c>
      <c r="AF151" s="35"/>
      <c r="AG151" s="38">
        <v>49</v>
      </c>
      <c r="AH151" s="35"/>
      <c r="AI151" s="35" t="s">
        <v>1292</v>
      </c>
      <c r="AJ151" s="39"/>
      <c r="AK151" s="39">
        <v>0.55640000000000001</v>
      </c>
      <c r="AL151" s="35"/>
      <c r="AM151" s="35" t="s">
        <v>1293</v>
      </c>
      <c r="AN151" s="35"/>
      <c r="AO151" s="37">
        <v>0.12</v>
      </c>
      <c r="AP151" s="35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5" t="s">
        <v>1295</v>
      </c>
      <c r="BC151" s="167"/>
      <c r="BD151" s="40">
        <v>150</v>
      </c>
      <c r="BE151" s="35" t="s">
        <v>1008</v>
      </c>
      <c r="BF151" s="35"/>
      <c r="BG151" s="38">
        <v>14.5</v>
      </c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8">
        <v>225.5</v>
      </c>
      <c r="BS151" s="37">
        <v>988.78</v>
      </c>
      <c r="BT151" s="35"/>
      <c r="BU151" s="38"/>
      <c r="BV151" s="35"/>
      <c r="BW151" s="46"/>
      <c r="BX151" s="35"/>
      <c r="BY151" s="35"/>
      <c r="BZ151" s="42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41"/>
      <c r="DB151" s="35"/>
      <c r="DC151" s="42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2"/>
      <c r="FK151" s="83"/>
      <c r="FL151" s="35"/>
      <c r="FM151" s="84"/>
    </row>
    <row r="152" spans="1:169" s="22" customFormat="1" x14ac:dyDescent="0.4">
      <c r="C152" s="44"/>
      <c r="D152" s="17"/>
      <c r="E152" s="16" t="s">
        <v>1398</v>
      </c>
      <c r="F152" s="18"/>
      <c r="G152" s="18"/>
      <c r="H152" s="18"/>
      <c r="I152" s="8" t="s">
        <v>1239</v>
      </c>
      <c r="J152" s="18"/>
      <c r="K152" s="18"/>
      <c r="L152" s="18"/>
      <c r="M152" s="18"/>
      <c r="N152" s="18"/>
      <c r="O152" s="18"/>
      <c r="P152" s="18"/>
      <c r="Q152" s="7" t="s">
        <v>1287</v>
      </c>
      <c r="R152" s="7" t="s">
        <v>674</v>
      </c>
      <c r="S152" s="8" t="s">
        <v>664</v>
      </c>
      <c r="T152" s="7"/>
      <c r="U152" s="7"/>
      <c r="V152" s="226">
        <f>47*989</f>
        <v>46483</v>
      </c>
      <c r="W152" s="8" t="s">
        <v>1008</v>
      </c>
      <c r="X152" s="7"/>
      <c r="Y152" s="218"/>
      <c r="Z152" s="222">
        <v>8.3699999999999992</v>
      </c>
      <c r="AA152" s="8" t="s">
        <v>955</v>
      </c>
      <c r="AB152" s="8"/>
      <c r="AC152" s="231"/>
      <c r="AD152" s="219" t="s">
        <v>1486</v>
      </c>
      <c r="AE152" s="8" t="s">
        <v>956</v>
      </c>
      <c r="AF152" s="8"/>
      <c r="AG152" s="11">
        <v>49</v>
      </c>
      <c r="AH152" s="8"/>
      <c r="AI152" s="8" t="s">
        <v>957</v>
      </c>
      <c r="AJ152" s="23"/>
      <c r="AK152" s="23">
        <v>0.55640000000000001</v>
      </c>
      <c r="AL152" s="8"/>
      <c r="AM152" s="8" t="s">
        <v>1213</v>
      </c>
      <c r="AN152" s="8"/>
      <c r="AO152" s="14">
        <v>0.12</v>
      </c>
      <c r="AP152" s="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8" t="s">
        <v>956</v>
      </c>
      <c r="BC152" s="24"/>
      <c r="BD152" s="9">
        <v>150</v>
      </c>
      <c r="BE152" s="8" t="s">
        <v>1008</v>
      </c>
      <c r="BF152" s="8"/>
      <c r="BG152" s="11">
        <v>14.5</v>
      </c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1">
        <v>225.5</v>
      </c>
      <c r="BS152" s="14">
        <v>988.78</v>
      </c>
      <c r="BT152" s="8"/>
      <c r="BU152" s="11"/>
      <c r="BV152" s="8"/>
      <c r="BW152" s="10"/>
      <c r="BX152" s="8"/>
      <c r="BY152" s="8"/>
      <c r="BZ152" s="20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9"/>
      <c r="DB152" s="8"/>
      <c r="DC152" s="20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7"/>
      <c r="FK152" s="21"/>
      <c r="FL152" s="8"/>
      <c r="FM152" s="82"/>
    </row>
    <row r="153" spans="1:169" s="22" customFormat="1" x14ac:dyDescent="0.4">
      <c r="C153" s="44"/>
      <c r="D153" s="17"/>
      <c r="E153" s="16" t="s">
        <v>1399</v>
      </c>
      <c r="F153" s="18"/>
      <c r="G153" s="18"/>
      <c r="H153" s="18"/>
      <c r="I153" s="8" t="s">
        <v>1239</v>
      </c>
      <c r="J153" s="18"/>
      <c r="K153" s="18"/>
      <c r="L153" s="18"/>
      <c r="M153" s="18"/>
      <c r="N153" s="18"/>
      <c r="O153" s="18"/>
      <c r="P153" s="18"/>
      <c r="Q153" s="7" t="s">
        <v>1287</v>
      </c>
      <c r="R153" s="7" t="s">
        <v>674</v>
      </c>
      <c r="S153" s="8" t="s">
        <v>664</v>
      </c>
      <c r="T153" s="7"/>
      <c r="U153" s="25">
        <f>59.1*989</f>
        <v>58449.9</v>
      </c>
      <c r="V153" s="25">
        <f>121*989</f>
        <v>119669</v>
      </c>
      <c r="W153" s="8" t="s">
        <v>1008</v>
      </c>
      <c r="X153" s="7"/>
      <c r="Y153" s="14">
        <v>8.3800000000000008</v>
      </c>
      <c r="Z153" s="14">
        <v>6.98</v>
      </c>
      <c r="AA153" s="8" t="s">
        <v>955</v>
      </c>
      <c r="AB153" s="8"/>
      <c r="AC153" s="230">
        <v>2.73</v>
      </c>
      <c r="AD153" s="230">
        <f>0.7+0.96</f>
        <v>1.66</v>
      </c>
      <c r="AE153" s="8" t="s">
        <v>956</v>
      </c>
      <c r="AF153" s="8"/>
      <c r="AG153" s="11">
        <v>49</v>
      </c>
      <c r="AH153" s="8"/>
      <c r="AI153" s="8" t="s">
        <v>957</v>
      </c>
      <c r="AJ153" s="23"/>
      <c r="AK153" s="23">
        <v>0.55640000000000001</v>
      </c>
      <c r="AL153" s="8"/>
      <c r="AM153" s="8" t="s">
        <v>1213</v>
      </c>
      <c r="AN153" s="8"/>
      <c r="AO153" s="14">
        <v>0.12</v>
      </c>
      <c r="AP153" s="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8" t="s">
        <v>956</v>
      </c>
      <c r="BC153" s="24"/>
      <c r="BD153" s="9">
        <v>150</v>
      </c>
      <c r="BE153" s="8" t="s">
        <v>1008</v>
      </c>
      <c r="BF153" s="8"/>
      <c r="BG153" s="11">
        <v>14.5</v>
      </c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1">
        <v>225.5</v>
      </c>
      <c r="BS153" s="14">
        <v>988.78</v>
      </c>
      <c r="BT153" s="8"/>
      <c r="BU153" s="11"/>
      <c r="BV153" s="8"/>
      <c r="BW153" s="10"/>
      <c r="BX153" s="8"/>
      <c r="BY153" s="8"/>
      <c r="BZ153" s="20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9"/>
      <c r="DB153" s="8"/>
      <c r="DC153" s="20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7"/>
      <c r="FK153" s="21"/>
      <c r="FL153" s="8"/>
      <c r="FM153" s="82"/>
    </row>
    <row r="154" spans="1:169" s="3" customFormat="1" x14ac:dyDescent="0.4">
      <c r="A154" s="93"/>
      <c r="B154" s="93"/>
      <c r="C154" s="26"/>
      <c r="D154" s="27" t="s">
        <v>319</v>
      </c>
      <c r="E154" s="2" t="s">
        <v>357</v>
      </c>
      <c r="F154" s="28" t="s">
        <v>319</v>
      </c>
      <c r="G154" s="28" t="s">
        <v>319</v>
      </c>
      <c r="H154" s="28" t="s">
        <v>319</v>
      </c>
      <c r="I154" s="6" t="s">
        <v>619</v>
      </c>
      <c r="J154" s="28" t="s">
        <v>319</v>
      </c>
      <c r="K154" s="28" t="s">
        <v>319</v>
      </c>
      <c r="L154" s="28" t="s">
        <v>319</v>
      </c>
      <c r="M154" s="28" t="s">
        <v>319</v>
      </c>
      <c r="N154" s="28" t="s">
        <v>319</v>
      </c>
      <c r="O154" s="28" t="s">
        <v>319</v>
      </c>
      <c r="P154" s="28" t="s">
        <v>319</v>
      </c>
      <c r="Q154" s="5" t="s">
        <v>673</v>
      </c>
      <c r="R154" s="5" t="s">
        <v>663</v>
      </c>
      <c r="S154" s="6" t="s">
        <v>678</v>
      </c>
      <c r="T154" s="5" t="s">
        <v>798</v>
      </c>
      <c r="U154" s="5" t="s">
        <v>799</v>
      </c>
      <c r="V154" s="5" t="s">
        <v>800</v>
      </c>
      <c r="W154" s="6" t="s">
        <v>665</v>
      </c>
      <c r="X154" s="105">
        <v>32.630000000000003</v>
      </c>
      <c r="Y154" s="105">
        <v>32.380000000000003</v>
      </c>
      <c r="Z154" s="105">
        <v>32.31</v>
      </c>
      <c r="AA154" s="6" t="s">
        <v>963</v>
      </c>
      <c r="AB154" s="6">
        <v>28.1</v>
      </c>
      <c r="AC154" s="6">
        <v>27.270000000000003</v>
      </c>
      <c r="AD154" s="6">
        <v>27.020000000000003</v>
      </c>
      <c r="AE154" s="6" t="s">
        <v>985</v>
      </c>
      <c r="AF154" s="6"/>
      <c r="AG154" s="12">
        <v>-8.1999999999999993</v>
      </c>
      <c r="AH154" s="6"/>
      <c r="AI154" s="6" t="s">
        <v>965</v>
      </c>
      <c r="AJ154" s="108"/>
      <c r="AK154" s="108">
        <v>6.3E-2</v>
      </c>
      <c r="AL154" s="6"/>
      <c r="AM154" s="6" t="s">
        <v>958</v>
      </c>
      <c r="AN154" s="6"/>
      <c r="AO154" s="105">
        <v>24.54</v>
      </c>
      <c r="AP154" s="6"/>
      <c r="AQ154" s="28" t="s">
        <v>319</v>
      </c>
      <c r="AR154" s="28" t="s">
        <v>319</v>
      </c>
      <c r="AS154" s="28" t="s">
        <v>319</v>
      </c>
      <c r="AT154" s="28" t="s">
        <v>319</v>
      </c>
      <c r="AU154" s="28" t="s">
        <v>319</v>
      </c>
      <c r="AV154" s="28" t="s">
        <v>319</v>
      </c>
      <c r="AW154" s="28" t="s">
        <v>319</v>
      </c>
      <c r="AX154" s="28" t="s">
        <v>319</v>
      </c>
      <c r="AY154" s="28" t="s">
        <v>319</v>
      </c>
      <c r="AZ154" s="28" t="s">
        <v>319</v>
      </c>
      <c r="BA154" s="28" t="s">
        <v>319</v>
      </c>
      <c r="BB154" s="6" t="s">
        <v>984</v>
      </c>
      <c r="BC154" s="106">
        <v>-118</v>
      </c>
      <c r="BD154" s="106">
        <v>65</v>
      </c>
      <c r="BE154" s="6" t="s">
        <v>1010</v>
      </c>
      <c r="BF154" s="6"/>
      <c r="BG154" s="12">
        <v>37</v>
      </c>
      <c r="BH154" s="28" t="s">
        <v>319</v>
      </c>
      <c r="BI154" s="28" t="s">
        <v>319</v>
      </c>
      <c r="BJ154" s="28" t="s">
        <v>319</v>
      </c>
      <c r="BK154" s="28" t="s">
        <v>319</v>
      </c>
      <c r="BL154" s="28" t="s">
        <v>319</v>
      </c>
      <c r="BM154" s="28" t="s">
        <v>319</v>
      </c>
      <c r="BN154" s="28" t="s">
        <v>319</v>
      </c>
      <c r="BO154" s="28" t="s">
        <v>319</v>
      </c>
      <c r="BP154" s="28" t="s">
        <v>319</v>
      </c>
      <c r="BQ154" s="28" t="s">
        <v>319</v>
      </c>
      <c r="BR154" s="105">
        <v>50.34</v>
      </c>
      <c r="BS154" s="12">
        <v>439.4</v>
      </c>
      <c r="BT154" s="6"/>
      <c r="BU154" s="5"/>
      <c r="BV154" s="6"/>
      <c r="BW154" s="5"/>
      <c r="BX154" s="6" t="s">
        <v>1054</v>
      </c>
      <c r="BY154" s="6"/>
      <c r="BZ154" s="30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9"/>
      <c r="DB154" s="6"/>
      <c r="DC154" s="30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 t="s">
        <v>319</v>
      </c>
      <c r="DO154" s="28" t="s">
        <v>319</v>
      </c>
      <c r="DP154" s="28" t="s">
        <v>319</v>
      </c>
      <c r="DQ154" s="28" t="s">
        <v>319</v>
      </c>
      <c r="DR154" s="28" t="s">
        <v>319</v>
      </c>
      <c r="DS154" s="28" t="s">
        <v>319</v>
      </c>
      <c r="DT154" s="28" t="s">
        <v>319</v>
      </c>
      <c r="DU154" s="28" t="s">
        <v>319</v>
      </c>
      <c r="DV154" s="28" t="s">
        <v>319</v>
      </c>
      <c r="DW154" s="28" t="s">
        <v>319</v>
      </c>
      <c r="DX154" s="28" t="s">
        <v>319</v>
      </c>
      <c r="DY154" s="28" t="s">
        <v>319</v>
      </c>
      <c r="DZ154" s="28" t="s">
        <v>319</v>
      </c>
      <c r="EA154" s="28" t="s">
        <v>319</v>
      </c>
      <c r="EB154" s="28" t="s">
        <v>319</v>
      </c>
      <c r="EC154" s="28" t="s">
        <v>319</v>
      </c>
      <c r="ED154" s="28" t="s">
        <v>319</v>
      </c>
      <c r="EE154" s="28"/>
      <c r="EF154" s="28" t="s">
        <v>319</v>
      </c>
      <c r="EG154" s="28" t="s">
        <v>319</v>
      </c>
      <c r="EH154" s="28" t="s">
        <v>319</v>
      </c>
      <c r="EI154" s="28" t="s">
        <v>319</v>
      </c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7"/>
      <c r="FK154" s="6"/>
      <c r="FL154" s="6"/>
      <c r="FM154" s="97"/>
    </row>
    <row r="155" spans="1:169" s="3" customFormat="1" x14ac:dyDescent="0.4">
      <c r="A155" s="93"/>
      <c r="B155" s="93"/>
      <c r="C155" s="26"/>
      <c r="D155" s="27" t="s">
        <v>319</v>
      </c>
      <c r="E155" s="2" t="s">
        <v>358</v>
      </c>
      <c r="F155" s="28" t="s">
        <v>319</v>
      </c>
      <c r="G155" s="28" t="s">
        <v>319</v>
      </c>
      <c r="H155" s="28" t="s">
        <v>319</v>
      </c>
      <c r="I155" s="6" t="s">
        <v>620</v>
      </c>
      <c r="J155" s="28" t="s">
        <v>319</v>
      </c>
      <c r="K155" s="28" t="s">
        <v>319</v>
      </c>
      <c r="L155" s="28" t="s">
        <v>319</v>
      </c>
      <c r="M155" s="28" t="s">
        <v>319</v>
      </c>
      <c r="N155" s="28" t="s">
        <v>319</v>
      </c>
      <c r="O155" s="28" t="s">
        <v>319</v>
      </c>
      <c r="P155" s="28" t="s">
        <v>319</v>
      </c>
      <c r="Q155" s="5" t="s">
        <v>673</v>
      </c>
      <c r="R155" s="5" t="s">
        <v>663</v>
      </c>
      <c r="S155" s="6" t="s">
        <v>678</v>
      </c>
      <c r="T155" s="5" t="s">
        <v>801</v>
      </c>
      <c r="U155" s="5" t="s">
        <v>802</v>
      </c>
      <c r="V155" s="5" t="s">
        <v>803</v>
      </c>
      <c r="W155" s="6" t="s">
        <v>665</v>
      </c>
      <c r="X155" s="105">
        <v>35.93</v>
      </c>
      <c r="Y155" s="105">
        <v>35.880000000000003</v>
      </c>
      <c r="Z155" s="105">
        <v>35.869999999999997</v>
      </c>
      <c r="AA155" s="6" t="s">
        <v>963</v>
      </c>
      <c r="AB155" s="6">
        <v>1.6700000000000017</v>
      </c>
      <c r="AC155" s="6">
        <v>1.5900000000000034</v>
      </c>
      <c r="AD155" s="6">
        <v>1.5700000000000003</v>
      </c>
      <c r="AE155" s="6" t="s">
        <v>974</v>
      </c>
      <c r="AF155" s="6"/>
      <c r="AG155" s="12">
        <v>-71.900000000000006</v>
      </c>
      <c r="AH155" s="6"/>
      <c r="AI155" s="6" t="s">
        <v>965</v>
      </c>
      <c r="AJ155" s="112"/>
      <c r="AK155" s="108">
        <v>7.5999999999999998E-2</v>
      </c>
      <c r="AL155" s="6"/>
      <c r="AM155" s="6" t="s">
        <v>958</v>
      </c>
      <c r="AN155" s="6"/>
      <c r="AO155" s="105">
        <v>36.840000000000003</v>
      </c>
      <c r="AP155" s="6"/>
      <c r="AQ155" s="28" t="s">
        <v>319</v>
      </c>
      <c r="AR155" s="28" t="s">
        <v>319</v>
      </c>
      <c r="AS155" s="28" t="s">
        <v>319</v>
      </c>
      <c r="AT155" s="28" t="s">
        <v>319</v>
      </c>
      <c r="AU155" s="28" t="s">
        <v>319</v>
      </c>
      <c r="AV155" s="28" t="s">
        <v>319</v>
      </c>
      <c r="AW155" s="28" t="s">
        <v>319</v>
      </c>
      <c r="AX155" s="28" t="s">
        <v>319</v>
      </c>
      <c r="AY155" s="28" t="s">
        <v>319</v>
      </c>
      <c r="AZ155" s="28" t="s">
        <v>319</v>
      </c>
      <c r="BA155" s="28" t="s">
        <v>319</v>
      </c>
      <c r="BB155" s="6" t="s">
        <v>984</v>
      </c>
      <c r="BC155" s="106">
        <v>-118</v>
      </c>
      <c r="BD155" s="106">
        <v>65</v>
      </c>
      <c r="BE155" s="6" t="s">
        <v>1010</v>
      </c>
      <c r="BF155" s="6"/>
      <c r="BG155" s="12">
        <v>46</v>
      </c>
      <c r="BH155" s="28" t="s">
        <v>319</v>
      </c>
      <c r="BI155" s="28" t="s">
        <v>319</v>
      </c>
      <c r="BJ155" s="28" t="s">
        <v>319</v>
      </c>
      <c r="BK155" s="28" t="s">
        <v>319</v>
      </c>
      <c r="BL155" s="28" t="s">
        <v>319</v>
      </c>
      <c r="BM155" s="28" t="s">
        <v>319</v>
      </c>
      <c r="BN155" s="28" t="s">
        <v>319</v>
      </c>
      <c r="BO155" s="28" t="s">
        <v>319</v>
      </c>
      <c r="BP155" s="28" t="s">
        <v>319</v>
      </c>
      <c r="BQ155" s="28" t="s">
        <v>319</v>
      </c>
      <c r="BR155" s="105">
        <v>49.27</v>
      </c>
      <c r="BS155" s="12">
        <v>474.4</v>
      </c>
      <c r="BT155" s="6"/>
      <c r="BU155" s="5"/>
      <c r="BV155" s="6"/>
      <c r="BW155" s="5"/>
      <c r="BX155" s="6" t="s">
        <v>1054</v>
      </c>
      <c r="BY155" s="6"/>
      <c r="BZ155" s="30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9"/>
      <c r="DB155" s="6"/>
      <c r="DC155" s="30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 t="s">
        <v>319</v>
      </c>
      <c r="DO155" s="28" t="s">
        <v>319</v>
      </c>
      <c r="DP155" s="28" t="s">
        <v>319</v>
      </c>
      <c r="DQ155" s="28" t="s">
        <v>319</v>
      </c>
      <c r="DR155" s="28" t="s">
        <v>319</v>
      </c>
      <c r="DS155" s="28" t="s">
        <v>319</v>
      </c>
      <c r="DT155" s="28" t="s">
        <v>319</v>
      </c>
      <c r="DU155" s="28" t="s">
        <v>319</v>
      </c>
      <c r="DV155" s="28" t="s">
        <v>319</v>
      </c>
      <c r="DW155" s="28" t="s">
        <v>319</v>
      </c>
      <c r="DX155" s="28" t="s">
        <v>319</v>
      </c>
      <c r="DY155" s="28" t="s">
        <v>319</v>
      </c>
      <c r="DZ155" s="28" t="s">
        <v>319</v>
      </c>
      <c r="EA155" s="28" t="s">
        <v>319</v>
      </c>
      <c r="EB155" s="28" t="s">
        <v>319</v>
      </c>
      <c r="EC155" s="28" t="s">
        <v>319</v>
      </c>
      <c r="ED155" s="28" t="s">
        <v>319</v>
      </c>
      <c r="EE155" s="28"/>
      <c r="EF155" s="28" t="s">
        <v>319</v>
      </c>
      <c r="EG155" s="28" t="s">
        <v>319</v>
      </c>
      <c r="EH155" s="28" t="s">
        <v>319</v>
      </c>
      <c r="EI155" s="28" t="s">
        <v>319</v>
      </c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7"/>
      <c r="FK155" s="6"/>
      <c r="FL155" s="6"/>
      <c r="FM155" s="97"/>
    </row>
    <row r="156" spans="1:169" s="3" customFormat="1" x14ac:dyDescent="0.4">
      <c r="A156" s="93"/>
      <c r="B156" s="93"/>
      <c r="C156" s="26"/>
      <c r="D156" s="27" t="s">
        <v>319</v>
      </c>
      <c r="E156" s="2" t="s">
        <v>462</v>
      </c>
      <c r="F156" s="28" t="s">
        <v>319</v>
      </c>
      <c r="G156" s="28" t="s">
        <v>319</v>
      </c>
      <c r="H156" s="28" t="s">
        <v>319</v>
      </c>
      <c r="I156" s="6" t="s">
        <v>621</v>
      </c>
      <c r="J156" s="28" t="s">
        <v>319</v>
      </c>
      <c r="K156" s="28" t="s">
        <v>319</v>
      </c>
      <c r="L156" s="28" t="s">
        <v>319</v>
      </c>
      <c r="M156" s="28" t="s">
        <v>319</v>
      </c>
      <c r="N156" s="28" t="s">
        <v>319</v>
      </c>
      <c r="O156" s="28" t="s">
        <v>319</v>
      </c>
      <c r="P156" s="28" t="s">
        <v>319</v>
      </c>
      <c r="Q156" s="5" t="s">
        <v>804</v>
      </c>
      <c r="R156" s="5" t="s">
        <v>663</v>
      </c>
      <c r="S156" s="6" t="s">
        <v>669</v>
      </c>
      <c r="T156" s="5" t="s">
        <v>805</v>
      </c>
      <c r="U156" s="5" t="s">
        <v>806</v>
      </c>
      <c r="V156" s="106">
        <v>67419</v>
      </c>
      <c r="W156" s="6" t="s">
        <v>665</v>
      </c>
      <c r="X156" s="105">
        <v>18.64</v>
      </c>
      <c r="Y156" s="105">
        <v>18.59</v>
      </c>
      <c r="Z156" s="105">
        <v>19.079999999999998</v>
      </c>
      <c r="AA156" s="6" t="s">
        <v>963</v>
      </c>
      <c r="AB156" s="6">
        <v>15.16</v>
      </c>
      <c r="AC156" s="6">
        <v>15</v>
      </c>
      <c r="AD156" s="6">
        <v>15.629999999999999</v>
      </c>
      <c r="AE156" s="6" t="s">
        <v>956</v>
      </c>
      <c r="AF156" s="6"/>
      <c r="AG156" s="12">
        <v>-58.5</v>
      </c>
      <c r="AH156" s="6"/>
      <c r="AI156" s="6" t="s">
        <v>965</v>
      </c>
      <c r="AJ156" s="112"/>
      <c r="AK156" s="108">
        <v>7.9000000000000001E-2</v>
      </c>
      <c r="AL156" s="6"/>
      <c r="AM156" s="6" t="s">
        <v>958</v>
      </c>
      <c r="AN156" s="6"/>
      <c r="AO156" s="105">
        <v>11.97</v>
      </c>
      <c r="AP156" s="6"/>
      <c r="AQ156" s="28" t="s">
        <v>319</v>
      </c>
      <c r="AR156" s="28" t="s">
        <v>319</v>
      </c>
      <c r="AS156" s="28" t="s">
        <v>319</v>
      </c>
      <c r="AT156" s="28" t="s">
        <v>319</v>
      </c>
      <c r="AU156" s="28" t="s">
        <v>319</v>
      </c>
      <c r="AV156" s="28" t="s">
        <v>319</v>
      </c>
      <c r="AW156" s="28" t="s">
        <v>319</v>
      </c>
      <c r="AX156" s="28" t="s">
        <v>319</v>
      </c>
      <c r="AY156" s="28" t="s">
        <v>319</v>
      </c>
      <c r="AZ156" s="28" t="s">
        <v>319</v>
      </c>
      <c r="BA156" s="28" t="s">
        <v>319</v>
      </c>
      <c r="BB156" s="6" t="s">
        <v>984</v>
      </c>
      <c r="BC156" s="106">
        <v>-104</v>
      </c>
      <c r="BD156" s="106">
        <v>65</v>
      </c>
      <c r="BE156" s="6" t="s">
        <v>1010</v>
      </c>
      <c r="BF156" s="6"/>
      <c r="BG156" s="12">
        <v>28</v>
      </c>
      <c r="BH156" s="28" t="s">
        <v>319</v>
      </c>
      <c r="BI156" s="28" t="s">
        <v>319</v>
      </c>
      <c r="BJ156" s="28" t="s">
        <v>319</v>
      </c>
      <c r="BK156" s="28" t="s">
        <v>319</v>
      </c>
      <c r="BL156" s="28" t="s">
        <v>319</v>
      </c>
      <c r="BM156" s="28" t="s">
        <v>319</v>
      </c>
      <c r="BN156" s="28" t="s">
        <v>319</v>
      </c>
      <c r="BO156" s="28" t="s">
        <v>319</v>
      </c>
      <c r="BP156" s="28" t="s">
        <v>319</v>
      </c>
      <c r="BQ156" s="28" t="s">
        <v>319</v>
      </c>
      <c r="BR156" s="105">
        <v>51.31</v>
      </c>
      <c r="BS156" s="12">
        <v>474.6</v>
      </c>
      <c r="BT156" s="6"/>
      <c r="BU156" s="5"/>
      <c r="BV156" s="6"/>
      <c r="BW156" s="5"/>
      <c r="BX156" s="6" t="s">
        <v>1054</v>
      </c>
      <c r="BY156" s="6"/>
      <c r="BZ156" s="30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9"/>
      <c r="DB156" s="6"/>
      <c r="DC156" s="30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 t="s">
        <v>319</v>
      </c>
      <c r="DO156" s="28" t="s">
        <v>319</v>
      </c>
      <c r="DP156" s="28" t="s">
        <v>319</v>
      </c>
      <c r="DQ156" s="28" t="s">
        <v>319</v>
      </c>
      <c r="DR156" s="28" t="s">
        <v>319</v>
      </c>
      <c r="DS156" s="28" t="s">
        <v>319</v>
      </c>
      <c r="DT156" s="28" t="s">
        <v>319</v>
      </c>
      <c r="DU156" s="28" t="s">
        <v>319</v>
      </c>
      <c r="DV156" s="28" t="s">
        <v>319</v>
      </c>
      <c r="DW156" s="28" t="s">
        <v>319</v>
      </c>
      <c r="DX156" s="28" t="s">
        <v>319</v>
      </c>
      <c r="DY156" s="28" t="s">
        <v>319</v>
      </c>
      <c r="DZ156" s="28" t="s">
        <v>319</v>
      </c>
      <c r="EA156" s="28" t="s">
        <v>319</v>
      </c>
      <c r="EB156" s="28" t="s">
        <v>319</v>
      </c>
      <c r="EC156" s="28" t="s">
        <v>319</v>
      </c>
      <c r="ED156" s="28" t="s">
        <v>319</v>
      </c>
      <c r="EE156" s="28"/>
      <c r="EF156" s="28" t="s">
        <v>319</v>
      </c>
      <c r="EG156" s="28" t="s">
        <v>319</v>
      </c>
      <c r="EH156" s="28" t="s">
        <v>319</v>
      </c>
      <c r="EI156" s="28" t="s">
        <v>319</v>
      </c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7"/>
      <c r="FK156" s="6"/>
      <c r="FL156" s="6"/>
      <c r="FM156" s="97"/>
    </row>
    <row r="157" spans="1:169" s="3" customFormat="1" x14ac:dyDescent="0.4">
      <c r="A157" s="93"/>
      <c r="B157" s="93"/>
      <c r="C157" s="26"/>
      <c r="D157" s="27" t="s">
        <v>319</v>
      </c>
      <c r="E157" s="2" t="s">
        <v>359</v>
      </c>
      <c r="F157" s="28" t="s">
        <v>319</v>
      </c>
      <c r="G157" s="28" t="s">
        <v>319</v>
      </c>
      <c r="H157" s="28" t="s">
        <v>319</v>
      </c>
      <c r="I157" s="6" t="s">
        <v>622</v>
      </c>
      <c r="J157" s="28" t="s">
        <v>319</v>
      </c>
      <c r="K157" s="28" t="s">
        <v>319</v>
      </c>
      <c r="L157" s="28" t="s">
        <v>319</v>
      </c>
      <c r="M157" s="28" t="s">
        <v>319</v>
      </c>
      <c r="N157" s="28" t="s">
        <v>319</v>
      </c>
      <c r="O157" s="28" t="s">
        <v>319</v>
      </c>
      <c r="P157" s="28" t="s">
        <v>319</v>
      </c>
      <c r="Q157" s="5" t="s">
        <v>673</v>
      </c>
      <c r="R157" s="5" t="s">
        <v>663</v>
      </c>
      <c r="S157" s="6" t="s">
        <v>672</v>
      </c>
      <c r="T157" s="5" t="s">
        <v>807</v>
      </c>
      <c r="U157" s="5" t="s">
        <v>808</v>
      </c>
      <c r="V157" s="5" t="s">
        <v>809</v>
      </c>
      <c r="W157" s="6" t="s">
        <v>665</v>
      </c>
      <c r="X157" s="105">
        <v>35.729999999999997</v>
      </c>
      <c r="Y157" s="105">
        <v>35.700000000000003</v>
      </c>
      <c r="Z157" s="105">
        <v>35.700000000000003</v>
      </c>
      <c r="AA157" s="6" t="s">
        <v>963</v>
      </c>
      <c r="AB157" s="6">
        <v>2.009999999999998</v>
      </c>
      <c r="AC157" s="6">
        <v>1.9000000000000057</v>
      </c>
      <c r="AD157" s="6">
        <v>1.8800000000000026</v>
      </c>
      <c r="AE157" s="6" t="s">
        <v>967</v>
      </c>
      <c r="AF157" s="6"/>
      <c r="AG157" s="12">
        <v>-97</v>
      </c>
      <c r="AH157" s="6"/>
      <c r="AI157" s="6" t="s">
        <v>965</v>
      </c>
      <c r="AJ157" s="112"/>
      <c r="AK157" s="108">
        <v>7.5999999999999998E-2</v>
      </c>
      <c r="AL157" s="6"/>
      <c r="AM157" s="6" t="s">
        <v>958</v>
      </c>
      <c r="AN157" s="6"/>
      <c r="AO157" s="105">
        <v>36.619999999999997</v>
      </c>
      <c r="AP157" s="6"/>
      <c r="AQ157" s="28" t="s">
        <v>319</v>
      </c>
      <c r="AR157" s="28" t="s">
        <v>319</v>
      </c>
      <c r="AS157" s="28" t="s">
        <v>319</v>
      </c>
      <c r="AT157" s="28" t="s">
        <v>319</v>
      </c>
      <c r="AU157" s="28" t="s">
        <v>319</v>
      </c>
      <c r="AV157" s="28" t="s">
        <v>319</v>
      </c>
      <c r="AW157" s="28" t="s">
        <v>319</v>
      </c>
      <c r="AX157" s="28" t="s">
        <v>319</v>
      </c>
      <c r="AY157" s="28" t="s">
        <v>319</v>
      </c>
      <c r="AZ157" s="28" t="s">
        <v>319</v>
      </c>
      <c r="BA157" s="28" t="s">
        <v>319</v>
      </c>
      <c r="BB157" s="6" t="s">
        <v>984</v>
      </c>
      <c r="BC157" s="106">
        <v>-140</v>
      </c>
      <c r="BD157" s="106">
        <v>65</v>
      </c>
      <c r="BE157" s="6" t="s">
        <v>1010</v>
      </c>
      <c r="BF157" s="6"/>
      <c r="BG157" s="12">
        <v>46</v>
      </c>
      <c r="BH157" s="28" t="s">
        <v>319</v>
      </c>
      <c r="BI157" s="28" t="s">
        <v>319</v>
      </c>
      <c r="BJ157" s="28" t="s">
        <v>319</v>
      </c>
      <c r="BK157" s="28" t="s">
        <v>319</v>
      </c>
      <c r="BL157" s="28" t="s">
        <v>319</v>
      </c>
      <c r="BM157" s="28" t="s">
        <v>319</v>
      </c>
      <c r="BN157" s="28" t="s">
        <v>319</v>
      </c>
      <c r="BO157" s="28" t="s">
        <v>319</v>
      </c>
      <c r="BP157" s="28" t="s">
        <v>319</v>
      </c>
      <c r="BQ157" s="28" t="s">
        <v>319</v>
      </c>
      <c r="BR157" s="105">
        <v>48.65</v>
      </c>
      <c r="BS157" s="12">
        <v>456.8</v>
      </c>
      <c r="BT157" s="6"/>
      <c r="BU157" s="5"/>
      <c r="BV157" s="6"/>
      <c r="BW157" s="5"/>
      <c r="BX157" s="6" t="s">
        <v>1054</v>
      </c>
      <c r="BY157" s="6"/>
      <c r="BZ157" s="30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9"/>
      <c r="DB157" s="6"/>
      <c r="DC157" s="30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 t="s">
        <v>319</v>
      </c>
      <c r="DO157" s="28" t="s">
        <v>319</v>
      </c>
      <c r="DP157" s="28" t="s">
        <v>319</v>
      </c>
      <c r="DQ157" s="28" t="s">
        <v>319</v>
      </c>
      <c r="DR157" s="28" t="s">
        <v>319</v>
      </c>
      <c r="DS157" s="28" t="s">
        <v>319</v>
      </c>
      <c r="DT157" s="28" t="s">
        <v>319</v>
      </c>
      <c r="DU157" s="28" t="s">
        <v>319</v>
      </c>
      <c r="DV157" s="28" t="s">
        <v>319</v>
      </c>
      <c r="DW157" s="28" t="s">
        <v>319</v>
      </c>
      <c r="DX157" s="28" t="s">
        <v>319</v>
      </c>
      <c r="DY157" s="28" t="s">
        <v>319</v>
      </c>
      <c r="DZ157" s="28" t="s">
        <v>319</v>
      </c>
      <c r="EA157" s="28" t="s">
        <v>319</v>
      </c>
      <c r="EB157" s="28" t="s">
        <v>319</v>
      </c>
      <c r="EC157" s="28" t="s">
        <v>319</v>
      </c>
      <c r="ED157" s="28" t="s">
        <v>319</v>
      </c>
      <c r="EE157" s="28"/>
      <c r="EF157" s="28" t="s">
        <v>319</v>
      </c>
      <c r="EG157" s="28" t="s">
        <v>319</v>
      </c>
      <c r="EH157" s="28" t="s">
        <v>319</v>
      </c>
      <c r="EI157" s="28" t="s">
        <v>319</v>
      </c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7"/>
      <c r="FK157" s="6"/>
      <c r="FL157" s="6"/>
      <c r="FM157" s="97"/>
    </row>
    <row r="158" spans="1:169" s="3" customFormat="1" x14ac:dyDescent="0.4">
      <c r="A158" s="93"/>
      <c r="B158" s="93"/>
      <c r="C158" s="26"/>
      <c r="D158" s="27" t="s">
        <v>319</v>
      </c>
      <c r="E158" s="2" t="s">
        <v>463</v>
      </c>
      <c r="F158" s="28" t="s">
        <v>319</v>
      </c>
      <c r="G158" s="28" t="s">
        <v>319</v>
      </c>
      <c r="H158" s="28" t="s">
        <v>319</v>
      </c>
      <c r="I158" s="6" t="s">
        <v>623</v>
      </c>
      <c r="J158" s="28" t="s">
        <v>319</v>
      </c>
      <c r="K158" s="28" t="s">
        <v>319</v>
      </c>
      <c r="L158" s="28" t="s">
        <v>319</v>
      </c>
      <c r="M158" s="28" t="s">
        <v>319</v>
      </c>
      <c r="N158" s="28" t="s">
        <v>319</v>
      </c>
      <c r="O158" s="28" t="s">
        <v>319</v>
      </c>
      <c r="P158" s="28" t="s">
        <v>319</v>
      </c>
      <c r="Q158" s="5" t="s">
        <v>804</v>
      </c>
      <c r="R158" s="5" t="s">
        <v>663</v>
      </c>
      <c r="S158" s="6" t="s">
        <v>678</v>
      </c>
      <c r="T158" s="5" t="s">
        <v>810</v>
      </c>
      <c r="U158" s="5" t="s">
        <v>811</v>
      </c>
      <c r="V158" s="106">
        <v>35490</v>
      </c>
      <c r="W158" s="6" t="s">
        <v>665</v>
      </c>
      <c r="X158" s="105">
        <v>3.39</v>
      </c>
      <c r="Y158" s="105">
        <v>3.32</v>
      </c>
      <c r="Z158" s="105">
        <v>3.27</v>
      </c>
      <c r="AA158" s="6" t="s">
        <v>963</v>
      </c>
      <c r="AB158" s="6">
        <v>2.9000000000000004</v>
      </c>
      <c r="AC158" s="6">
        <v>2.8099999999999996</v>
      </c>
      <c r="AD158" s="6">
        <v>2.75</v>
      </c>
      <c r="AE158" s="6" t="s">
        <v>956</v>
      </c>
      <c r="AF158" s="6"/>
      <c r="AG158" s="12">
        <v>-75.5</v>
      </c>
      <c r="AH158" s="6"/>
      <c r="AI158" s="6" t="s">
        <v>965</v>
      </c>
      <c r="AJ158" s="112"/>
      <c r="AK158" s="108">
        <v>0.112</v>
      </c>
      <c r="AL158" s="6"/>
      <c r="AM158" s="6" t="s">
        <v>958</v>
      </c>
      <c r="AN158" s="6"/>
      <c r="AO158" s="105">
        <v>4.21</v>
      </c>
      <c r="AP158" s="6"/>
      <c r="AQ158" s="28" t="s">
        <v>319</v>
      </c>
      <c r="AR158" s="28" t="s">
        <v>319</v>
      </c>
      <c r="AS158" s="28" t="s">
        <v>319</v>
      </c>
      <c r="AT158" s="28" t="s">
        <v>319</v>
      </c>
      <c r="AU158" s="28" t="s">
        <v>319</v>
      </c>
      <c r="AV158" s="28" t="s">
        <v>319</v>
      </c>
      <c r="AW158" s="28" t="s">
        <v>319</v>
      </c>
      <c r="AX158" s="28" t="s">
        <v>319</v>
      </c>
      <c r="AY158" s="28" t="s">
        <v>319</v>
      </c>
      <c r="AZ158" s="28" t="s">
        <v>319</v>
      </c>
      <c r="BA158" s="28" t="s">
        <v>319</v>
      </c>
      <c r="BB158" s="6" t="s">
        <v>984</v>
      </c>
      <c r="BC158" s="106">
        <v>-104</v>
      </c>
      <c r="BD158" s="106">
        <v>65</v>
      </c>
      <c r="BE158" s="6" t="s">
        <v>1010</v>
      </c>
      <c r="BF158" s="6"/>
      <c r="BG158" s="12">
        <v>12</v>
      </c>
      <c r="BH158" s="28" t="s">
        <v>319</v>
      </c>
      <c r="BI158" s="28" t="s">
        <v>319</v>
      </c>
      <c r="BJ158" s="28" t="s">
        <v>319</v>
      </c>
      <c r="BK158" s="28" t="s">
        <v>319</v>
      </c>
      <c r="BL158" s="28" t="s">
        <v>319</v>
      </c>
      <c r="BM158" s="28" t="s">
        <v>319</v>
      </c>
      <c r="BN158" s="28" t="s">
        <v>319</v>
      </c>
      <c r="BO158" s="28" t="s">
        <v>319</v>
      </c>
      <c r="BP158" s="28" t="s">
        <v>319</v>
      </c>
      <c r="BQ158" s="28" t="s">
        <v>319</v>
      </c>
      <c r="BR158" s="105">
        <v>51.31</v>
      </c>
      <c r="BS158" s="12">
        <v>524.29999999999995</v>
      </c>
      <c r="BT158" s="6"/>
      <c r="BU158" s="5"/>
      <c r="BV158" s="6"/>
      <c r="BW158" s="5"/>
      <c r="BX158" s="6" t="s">
        <v>1054</v>
      </c>
      <c r="BY158" s="6"/>
      <c r="BZ158" s="30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9"/>
      <c r="DB158" s="6"/>
      <c r="DC158" s="30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 t="s">
        <v>319</v>
      </c>
      <c r="DO158" s="28" t="s">
        <v>319</v>
      </c>
      <c r="DP158" s="28" t="s">
        <v>319</v>
      </c>
      <c r="DQ158" s="28" t="s">
        <v>319</v>
      </c>
      <c r="DR158" s="28" t="s">
        <v>319</v>
      </c>
      <c r="DS158" s="28" t="s">
        <v>319</v>
      </c>
      <c r="DT158" s="28" t="s">
        <v>319</v>
      </c>
      <c r="DU158" s="28" t="s">
        <v>319</v>
      </c>
      <c r="DV158" s="28" t="s">
        <v>319</v>
      </c>
      <c r="DW158" s="28" t="s">
        <v>319</v>
      </c>
      <c r="DX158" s="28" t="s">
        <v>319</v>
      </c>
      <c r="DY158" s="28" t="s">
        <v>319</v>
      </c>
      <c r="DZ158" s="28" t="s">
        <v>319</v>
      </c>
      <c r="EA158" s="28" t="s">
        <v>319</v>
      </c>
      <c r="EB158" s="28" t="s">
        <v>319</v>
      </c>
      <c r="EC158" s="28" t="s">
        <v>319</v>
      </c>
      <c r="ED158" s="28" t="s">
        <v>319</v>
      </c>
      <c r="EE158" s="28"/>
      <c r="EF158" s="28" t="s">
        <v>319</v>
      </c>
      <c r="EG158" s="28" t="s">
        <v>319</v>
      </c>
      <c r="EH158" s="28" t="s">
        <v>319</v>
      </c>
      <c r="EI158" s="28" t="s">
        <v>319</v>
      </c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7"/>
      <c r="FK158" s="6"/>
      <c r="FL158" s="6"/>
      <c r="FM158" s="97"/>
    </row>
    <row r="159" spans="1:169" s="3" customFormat="1" x14ac:dyDescent="0.4">
      <c r="A159" s="93"/>
      <c r="B159" s="93"/>
      <c r="C159" s="26"/>
      <c r="D159" s="27" t="s">
        <v>319</v>
      </c>
      <c r="E159" s="2" t="s">
        <v>360</v>
      </c>
      <c r="F159" s="28" t="s">
        <v>319</v>
      </c>
      <c r="G159" s="28" t="s">
        <v>319</v>
      </c>
      <c r="H159" s="28" t="s">
        <v>319</v>
      </c>
      <c r="I159" s="6" t="s">
        <v>624</v>
      </c>
      <c r="J159" s="28" t="s">
        <v>319</v>
      </c>
      <c r="K159" s="28" t="s">
        <v>319</v>
      </c>
      <c r="L159" s="28" t="s">
        <v>319</v>
      </c>
      <c r="M159" s="28" t="s">
        <v>319</v>
      </c>
      <c r="N159" s="28" t="s">
        <v>319</v>
      </c>
      <c r="O159" s="28" t="s">
        <v>319</v>
      </c>
      <c r="P159" s="28" t="s">
        <v>319</v>
      </c>
      <c r="Q159" s="5" t="s">
        <v>721</v>
      </c>
      <c r="R159" s="5" t="s">
        <v>663</v>
      </c>
      <c r="S159" s="6" t="s">
        <v>669</v>
      </c>
      <c r="T159" s="5" t="s">
        <v>812</v>
      </c>
      <c r="U159" s="5" t="s">
        <v>813</v>
      </c>
      <c r="V159" s="106">
        <v>1303720</v>
      </c>
      <c r="W159" s="6" t="s">
        <v>665</v>
      </c>
      <c r="X159" s="105">
        <f>16.75-0.3</f>
        <v>16.45</v>
      </c>
      <c r="Y159" s="105">
        <f>16.72-0.3</f>
        <v>16.419999999999998</v>
      </c>
      <c r="Z159" s="105">
        <f>Z160-0.3</f>
        <v>16.399999999999999</v>
      </c>
      <c r="AA159" s="6" t="s">
        <v>963</v>
      </c>
      <c r="AB159" s="103">
        <f t="shared" ref="AB159:AD160" si="0">X159-16.2</f>
        <v>0.25</v>
      </c>
      <c r="AC159" s="103">
        <f t="shared" si="0"/>
        <v>0.21999999999999886</v>
      </c>
      <c r="AD159" s="103">
        <f t="shared" si="0"/>
        <v>0.19999999999999929</v>
      </c>
      <c r="AE159" s="6" t="s">
        <v>956</v>
      </c>
      <c r="AF159" s="6"/>
      <c r="AG159" s="12">
        <v>21.6</v>
      </c>
      <c r="AH159" s="6"/>
      <c r="AI159" s="6" t="s">
        <v>965</v>
      </c>
      <c r="AJ159" s="108"/>
      <c r="AK159" s="108">
        <v>7.3999999999999996E-2</v>
      </c>
      <c r="AL159" s="6"/>
      <c r="AM159" s="6" t="s">
        <v>958</v>
      </c>
      <c r="AN159" s="6"/>
      <c r="AO159" s="105">
        <v>10.81</v>
      </c>
      <c r="AP159" s="6"/>
      <c r="AQ159" s="28" t="s">
        <v>319</v>
      </c>
      <c r="AR159" s="28" t="s">
        <v>319</v>
      </c>
      <c r="AS159" s="28" t="s">
        <v>319</v>
      </c>
      <c r="AT159" s="28" t="s">
        <v>319</v>
      </c>
      <c r="AU159" s="28" t="s">
        <v>319</v>
      </c>
      <c r="AV159" s="28" t="s">
        <v>319</v>
      </c>
      <c r="AW159" s="28" t="s">
        <v>319</v>
      </c>
      <c r="AX159" s="28" t="s">
        <v>319</v>
      </c>
      <c r="AY159" s="28" t="s">
        <v>319</v>
      </c>
      <c r="AZ159" s="28" t="s">
        <v>319</v>
      </c>
      <c r="BA159" s="28" t="s">
        <v>319</v>
      </c>
      <c r="BB159" s="6" t="s">
        <v>984</v>
      </c>
      <c r="BC159" s="106">
        <v>-47</v>
      </c>
      <c r="BD159" s="106">
        <v>100</v>
      </c>
      <c r="BE159" s="6" t="s">
        <v>1010</v>
      </c>
      <c r="BF159" s="6"/>
      <c r="BG159" s="12">
        <v>28</v>
      </c>
      <c r="BH159" s="28" t="s">
        <v>319</v>
      </c>
      <c r="BI159" s="28" t="s">
        <v>319</v>
      </c>
      <c r="BJ159" s="28" t="s">
        <v>319</v>
      </c>
      <c r="BK159" s="28" t="s">
        <v>319</v>
      </c>
      <c r="BL159" s="28" t="s">
        <v>319</v>
      </c>
      <c r="BM159" s="28" t="s">
        <v>319</v>
      </c>
      <c r="BN159" s="28" t="s">
        <v>319</v>
      </c>
      <c r="BO159" s="28" t="s">
        <v>319</v>
      </c>
      <c r="BP159" s="28" t="s">
        <v>319</v>
      </c>
      <c r="BQ159" s="28" t="s">
        <v>319</v>
      </c>
      <c r="BR159" s="12">
        <v>47.1</v>
      </c>
      <c r="BS159" s="12">
        <v>479.2</v>
      </c>
      <c r="BT159" s="6"/>
      <c r="BU159" s="5"/>
      <c r="BV159" s="6"/>
      <c r="BW159" s="5"/>
      <c r="BX159" s="6"/>
      <c r="BY159" s="6"/>
      <c r="BZ159" s="30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9"/>
      <c r="DB159" s="6"/>
      <c r="DC159" s="30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 t="s">
        <v>319</v>
      </c>
      <c r="DO159" s="28" t="s">
        <v>319</v>
      </c>
      <c r="DP159" s="28" t="s">
        <v>319</v>
      </c>
      <c r="DQ159" s="28" t="s">
        <v>319</v>
      </c>
      <c r="DR159" s="28" t="s">
        <v>319</v>
      </c>
      <c r="DS159" s="28" t="s">
        <v>319</v>
      </c>
      <c r="DT159" s="28" t="s">
        <v>319</v>
      </c>
      <c r="DU159" s="28" t="s">
        <v>319</v>
      </c>
      <c r="DV159" s="28" t="s">
        <v>319</v>
      </c>
      <c r="DW159" s="28" t="s">
        <v>319</v>
      </c>
      <c r="DX159" s="28" t="s">
        <v>319</v>
      </c>
      <c r="DY159" s="28" t="s">
        <v>319</v>
      </c>
      <c r="DZ159" s="28" t="s">
        <v>319</v>
      </c>
      <c r="EA159" s="28" t="s">
        <v>319</v>
      </c>
      <c r="EB159" s="28" t="s">
        <v>319</v>
      </c>
      <c r="EC159" s="28" t="s">
        <v>319</v>
      </c>
      <c r="ED159" s="28" t="s">
        <v>319</v>
      </c>
      <c r="EE159" s="28"/>
      <c r="EF159" s="28" t="s">
        <v>319</v>
      </c>
      <c r="EG159" s="28" t="s">
        <v>319</v>
      </c>
      <c r="EH159" s="28" t="s">
        <v>319</v>
      </c>
      <c r="EI159" s="28" t="s">
        <v>319</v>
      </c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7"/>
      <c r="FK159" s="6"/>
      <c r="FL159" s="6"/>
      <c r="FM159" s="97"/>
    </row>
    <row r="160" spans="1:169" s="3" customFormat="1" x14ac:dyDescent="0.4">
      <c r="A160" s="93"/>
      <c r="B160" s="93"/>
      <c r="C160" s="26"/>
      <c r="D160" s="27" t="s">
        <v>319</v>
      </c>
      <c r="E160" s="2" t="s">
        <v>485</v>
      </c>
      <c r="F160" s="28" t="s">
        <v>319</v>
      </c>
      <c r="G160" s="28" t="s">
        <v>319</v>
      </c>
      <c r="H160" s="28" t="s">
        <v>319</v>
      </c>
      <c r="I160" s="6" t="s">
        <v>625</v>
      </c>
      <c r="J160" s="28" t="s">
        <v>319</v>
      </c>
      <c r="K160" s="28" t="s">
        <v>319</v>
      </c>
      <c r="L160" s="28" t="s">
        <v>319</v>
      </c>
      <c r="M160" s="28" t="s">
        <v>319</v>
      </c>
      <c r="N160" s="28" t="s">
        <v>319</v>
      </c>
      <c r="O160" s="28" t="s">
        <v>319</v>
      </c>
      <c r="P160" s="28" t="s">
        <v>319</v>
      </c>
      <c r="Q160" s="5" t="s">
        <v>721</v>
      </c>
      <c r="R160" s="5" t="s">
        <v>663</v>
      </c>
      <c r="S160" s="6" t="s">
        <v>672</v>
      </c>
      <c r="T160" s="106">
        <v>711120</v>
      </c>
      <c r="U160" s="106">
        <v>1185200</v>
      </c>
      <c r="V160" s="106">
        <v>1303720</v>
      </c>
      <c r="W160" s="6" t="s">
        <v>665</v>
      </c>
      <c r="X160" s="149">
        <v>16.75</v>
      </c>
      <c r="Y160" s="105">
        <v>16.72</v>
      </c>
      <c r="Z160" s="105">
        <v>16.7</v>
      </c>
      <c r="AA160" s="6" t="s">
        <v>963</v>
      </c>
      <c r="AB160" s="103">
        <f t="shared" si="0"/>
        <v>0.55000000000000071</v>
      </c>
      <c r="AC160" s="103">
        <f t="shared" si="0"/>
        <v>0.51999999999999957</v>
      </c>
      <c r="AD160" s="103">
        <f t="shared" si="0"/>
        <v>0.5</v>
      </c>
      <c r="AE160" s="6" t="s">
        <v>978</v>
      </c>
      <c r="AF160" s="6"/>
      <c r="AG160" s="12">
        <v>40</v>
      </c>
      <c r="AH160" s="6"/>
      <c r="AI160" s="6" t="s">
        <v>965</v>
      </c>
      <c r="AJ160" s="108"/>
      <c r="AK160" s="108">
        <v>7.3999999999999996E-2</v>
      </c>
      <c r="AL160" s="6"/>
      <c r="AM160" s="6" t="s">
        <v>958</v>
      </c>
      <c r="AN160" s="6"/>
      <c r="AO160" s="105">
        <v>16.5</v>
      </c>
      <c r="AP160" s="6"/>
      <c r="AQ160" s="28" t="s">
        <v>319</v>
      </c>
      <c r="AR160" s="28" t="s">
        <v>319</v>
      </c>
      <c r="AS160" s="28" t="s">
        <v>319</v>
      </c>
      <c r="AT160" s="28" t="s">
        <v>319</v>
      </c>
      <c r="AU160" s="28" t="s">
        <v>319</v>
      </c>
      <c r="AV160" s="28" t="s">
        <v>319</v>
      </c>
      <c r="AW160" s="28" t="s">
        <v>319</v>
      </c>
      <c r="AX160" s="28" t="s">
        <v>319</v>
      </c>
      <c r="AY160" s="28" t="s">
        <v>319</v>
      </c>
      <c r="AZ160" s="28" t="s">
        <v>319</v>
      </c>
      <c r="BA160" s="28" t="s">
        <v>319</v>
      </c>
      <c r="BB160" s="6" t="s">
        <v>984</v>
      </c>
      <c r="BC160" s="106">
        <v>-47</v>
      </c>
      <c r="BD160" s="106">
        <v>100</v>
      </c>
      <c r="BE160" s="6" t="s">
        <v>1010</v>
      </c>
      <c r="BF160" s="6"/>
      <c r="BG160" s="12">
        <v>28</v>
      </c>
      <c r="BH160" s="28" t="s">
        <v>319</v>
      </c>
      <c r="BI160" s="28" t="s">
        <v>319</v>
      </c>
      <c r="BJ160" s="28" t="s">
        <v>319</v>
      </c>
      <c r="BK160" s="28" t="s">
        <v>319</v>
      </c>
      <c r="BL160" s="28" t="s">
        <v>319</v>
      </c>
      <c r="BM160" s="28" t="s">
        <v>319</v>
      </c>
      <c r="BN160" s="28" t="s">
        <v>319</v>
      </c>
      <c r="BO160" s="28" t="s">
        <v>319</v>
      </c>
      <c r="BP160" s="28" t="s">
        <v>319</v>
      </c>
      <c r="BQ160" s="28" t="s">
        <v>319</v>
      </c>
      <c r="BR160" s="12">
        <v>47.1</v>
      </c>
      <c r="BS160" s="12">
        <v>479.2</v>
      </c>
      <c r="BT160" s="6"/>
      <c r="BU160" s="5"/>
      <c r="BV160" s="6"/>
      <c r="BW160" s="5"/>
      <c r="BX160" s="6" t="s">
        <v>1054</v>
      </c>
      <c r="BY160" s="6"/>
      <c r="BZ160" s="30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9"/>
      <c r="DB160" s="6"/>
      <c r="DC160" s="30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 t="s">
        <v>319</v>
      </c>
      <c r="DO160" s="28" t="s">
        <v>319</v>
      </c>
      <c r="DP160" s="28" t="s">
        <v>319</v>
      </c>
      <c r="DQ160" s="28" t="s">
        <v>319</v>
      </c>
      <c r="DR160" s="28" t="s">
        <v>319</v>
      </c>
      <c r="DS160" s="28" t="s">
        <v>319</v>
      </c>
      <c r="DT160" s="28" t="s">
        <v>319</v>
      </c>
      <c r="DU160" s="28" t="s">
        <v>319</v>
      </c>
      <c r="DV160" s="28" t="s">
        <v>319</v>
      </c>
      <c r="DW160" s="28" t="s">
        <v>319</v>
      </c>
      <c r="DX160" s="28" t="s">
        <v>319</v>
      </c>
      <c r="DY160" s="28" t="s">
        <v>319</v>
      </c>
      <c r="DZ160" s="28" t="s">
        <v>319</v>
      </c>
      <c r="EA160" s="28" t="s">
        <v>319</v>
      </c>
      <c r="EB160" s="28" t="s">
        <v>319</v>
      </c>
      <c r="EC160" s="28" t="s">
        <v>319</v>
      </c>
      <c r="ED160" s="28" t="s">
        <v>319</v>
      </c>
      <c r="EE160" s="28"/>
      <c r="EF160" s="28" t="s">
        <v>319</v>
      </c>
      <c r="EG160" s="28" t="s">
        <v>319</v>
      </c>
      <c r="EH160" s="28" t="s">
        <v>319</v>
      </c>
      <c r="EI160" s="28" t="s">
        <v>319</v>
      </c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7"/>
      <c r="FK160" s="6"/>
      <c r="FL160" s="6"/>
      <c r="FM160" s="97"/>
    </row>
    <row r="161" spans="1:169" s="3" customFormat="1" x14ac:dyDescent="0.4">
      <c r="A161" s="93"/>
      <c r="B161" s="93"/>
      <c r="C161" s="26"/>
      <c r="D161" s="27" t="s">
        <v>319</v>
      </c>
      <c r="E161" s="2" t="s">
        <v>361</v>
      </c>
      <c r="F161" s="28" t="s">
        <v>319</v>
      </c>
      <c r="G161" s="28" t="s">
        <v>319</v>
      </c>
      <c r="H161" s="28" t="s">
        <v>319</v>
      </c>
      <c r="I161" s="6" t="s">
        <v>626</v>
      </c>
      <c r="J161" s="28" t="s">
        <v>319</v>
      </c>
      <c r="K161" s="28" t="s">
        <v>319</v>
      </c>
      <c r="L161" s="28" t="s">
        <v>319</v>
      </c>
      <c r="M161" s="28" t="s">
        <v>319</v>
      </c>
      <c r="N161" s="28" t="s">
        <v>319</v>
      </c>
      <c r="O161" s="28" t="s">
        <v>319</v>
      </c>
      <c r="P161" s="28" t="s">
        <v>319</v>
      </c>
      <c r="Q161" s="5" t="s">
        <v>673</v>
      </c>
      <c r="R161" s="5" t="s">
        <v>663</v>
      </c>
      <c r="S161" s="6" t="s">
        <v>678</v>
      </c>
      <c r="T161" s="5"/>
      <c r="U161" s="5"/>
      <c r="V161" s="223">
        <f>25*291</f>
        <v>7275</v>
      </c>
      <c r="W161" s="6" t="s">
        <v>665</v>
      </c>
      <c r="X161" s="5"/>
      <c r="Y161" s="5"/>
      <c r="Z161" s="105">
        <v>35.85</v>
      </c>
      <c r="AA161" s="6" t="s">
        <v>963</v>
      </c>
      <c r="AB161" s="6"/>
      <c r="AC161" s="6"/>
      <c r="AD161" s="219" t="s">
        <v>1489</v>
      </c>
      <c r="AE161" s="6" t="s">
        <v>975</v>
      </c>
      <c r="AF161" s="6"/>
      <c r="AG161" s="12">
        <v>-96</v>
      </c>
      <c r="AH161" s="6"/>
      <c r="AI161" s="6" t="s">
        <v>965</v>
      </c>
      <c r="AJ161" s="108"/>
      <c r="AK161" s="108">
        <v>3.5000000000000003E-2</v>
      </c>
      <c r="AL161" s="6"/>
      <c r="AM161" s="6" t="s">
        <v>958</v>
      </c>
      <c r="AN161" s="6"/>
      <c r="AO161" s="105">
        <v>33.4</v>
      </c>
      <c r="AP161" s="6"/>
      <c r="AQ161" s="28" t="s">
        <v>319</v>
      </c>
      <c r="AR161" s="28" t="s">
        <v>319</v>
      </c>
      <c r="AS161" s="28" t="s">
        <v>319</v>
      </c>
      <c r="AT161" s="28" t="s">
        <v>319</v>
      </c>
      <c r="AU161" s="28" t="s">
        <v>319</v>
      </c>
      <c r="AV161" s="28" t="s">
        <v>319</v>
      </c>
      <c r="AW161" s="28" t="s">
        <v>319</v>
      </c>
      <c r="AX161" s="28" t="s">
        <v>319</v>
      </c>
      <c r="AY161" s="28" t="s">
        <v>319</v>
      </c>
      <c r="AZ161" s="28" t="s">
        <v>319</v>
      </c>
      <c r="BA161" s="28" t="s">
        <v>319</v>
      </c>
      <c r="BB161" s="6" t="s">
        <v>984</v>
      </c>
      <c r="BC161" s="106">
        <v>-162</v>
      </c>
      <c r="BD161" s="106">
        <v>65</v>
      </c>
      <c r="BE161" s="6" t="s">
        <v>1010</v>
      </c>
      <c r="BF161" s="6"/>
      <c r="BG161" s="12">
        <v>42</v>
      </c>
      <c r="BH161" s="28" t="s">
        <v>319</v>
      </c>
      <c r="BI161" s="28" t="s">
        <v>319</v>
      </c>
      <c r="BJ161" s="28" t="s">
        <v>319</v>
      </c>
      <c r="BK161" s="28" t="s">
        <v>319</v>
      </c>
      <c r="BL161" s="28" t="s">
        <v>319</v>
      </c>
      <c r="BM161" s="28" t="s">
        <v>319</v>
      </c>
      <c r="BN161" s="28" t="s">
        <v>319</v>
      </c>
      <c r="BO161" s="28" t="s">
        <v>319</v>
      </c>
      <c r="BP161" s="28" t="s">
        <v>319</v>
      </c>
      <c r="BQ161" s="28" t="s">
        <v>319</v>
      </c>
      <c r="BR161" s="105">
        <v>46.82</v>
      </c>
      <c r="BS161" s="12">
        <v>290.89999999999998</v>
      </c>
      <c r="BT161" s="6"/>
      <c r="BU161" s="5"/>
      <c r="BV161" s="6"/>
      <c r="BW161" s="5"/>
      <c r="BX161" s="6"/>
      <c r="BY161" s="6"/>
      <c r="BZ161" s="30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9"/>
      <c r="DB161" s="6"/>
      <c r="DC161" s="30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 t="s">
        <v>319</v>
      </c>
      <c r="DO161" s="28" t="s">
        <v>319</v>
      </c>
      <c r="DP161" s="28" t="s">
        <v>319</v>
      </c>
      <c r="DQ161" s="28" t="s">
        <v>319</v>
      </c>
      <c r="DR161" s="28" t="s">
        <v>319</v>
      </c>
      <c r="DS161" s="28" t="s">
        <v>319</v>
      </c>
      <c r="DT161" s="28" t="s">
        <v>319</v>
      </c>
      <c r="DU161" s="28" t="s">
        <v>319</v>
      </c>
      <c r="DV161" s="28" t="s">
        <v>319</v>
      </c>
      <c r="DW161" s="28" t="s">
        <v>319</v>
      </c>
      <c r="DX161" s="28" t="s">
        <v>319</v>
      </c>
      <c r="DY161" s="28" t="s">
        <v>319</v>
      </c>
      <c r="DZ161" s="28" t="s">
        <v>319</v>
      </c>
      <c r="EA161" s="28" t="s">
        <v>319</v>
      </c>
      <c r="EB161" s="28" t="s">
        <v>319</v>
      </c>
      <c r="EC161" s="28" t="s">
        <v>319</v>
      </c>
      <c r="ED161" s="28" t="s">
        <v>319</v>
      </c>
      <c r="EE161" s="28"/>
      <c r="EF161" s="28" t="s">
        <v>319</v>
      </c>
      <c r="EG161" s="28" t="s">
        <v>319</v>
      </c>
      <c r="EH161" s="28" t="s">
        <v>319</v>
      </c>
      <c r="EI161" s="28" t="s">
        <v>319</v>
      </c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7"/>
      <c r="FK161" s="6"/>
      <c r="FL161" s="6"/>
      <c r="FM161" s="97"/>
    </row>
    <row r="162" spans="1:169" s="3" customFormat="1" x14ac:dyDescent="0.4">
      <c r="A162" s="93"/>
      <c r="B162" s="93"/>
      <c r="C162" s="26"/>
      <c r="D162" s="27" t="s">
        <v>319</v>
      </c>
      <c r="E162" s="2" t="s">
        <v>362</v>
      </c>
      <c r="F162" s="28" t="s">
        <v>319</v>
      </c>
      <c r="G162" s="28" t="s">
        <v>319</v>
      </c>
      <c r="H162" s="28" t="s">
        <v>319</v>
      </c>
      <c r="I162" s="6" t="s">
        <v>626</v>
      </c>
      <c r="J162" s="28" t="s">
        <v>319</v>
      </c>
      <c r="K162" s="28" t="s">
        <v>319</v>
      </c>
      <c r="L162" s="28" t="s">
        <v>319</v>
      </c>
      <c r="M162" s="28" t="s">
        <v>319</v>
      </c>
      <c r="N162" s="28" t="s">
        <v>319</v>
      </c>
      <c r="O162" s="28" t="s">
        <v>319</v>
      </c>
      <c r="P162" s="28" t="s">
        <v>319</v>
      </c>
      <c r="Q162" s="5" t="s">
        <v>673</v>
      </c>
      <c r="R162" s="5" t="s">
        <v>663</v>
      </c>
      <c r="S162" s="6" t="s">
        <v>669</v>
      </c>
      <c r="T162" s="5" t="s">
        <v>814</v>
      </c>
      <c r="U162" s="5" t="s">
        <v>815</v>
      </c>
      <c r="V162" s="5" t="s">
        <v>816</v>
      </c>
      <c r="W162" s="6" t="s">
        <v>665</v>
      </c>
      <c r="X162" s="105">
        <v>35.61</v>
      </c>
      <c r="Y162" s="105">
        <v>34.979999999999997</v>
      </c>
      <c r="Z162" s="105">
        <v>34.549999999999997</v>
      </c>
      <c r="AA162" s="6" t="s">
        <v>968</v>
      </c>
      <c r="AB162" s="225">
        <f>1.98+0.4</f>
        <v>2.38</v>
      </c>
      <c r="AC162" s="225">
        <f>1.23+0.4</f>
        <v>1.63</v>
      </c>
      <c r="AD162" s="225">
        <f>0.7+0.4</f>
        <v>1.1000000000000001</v>
      </c>
      <c r="AE162" s="6" t="s">
        <v>967</v>
      </c>
      <c r="AF162" s="6"/>
      <c r="AG162" s="12">
        <v>-96</v>
      </c>
      <c r="AH162" s="6"/>
      <c r="AI162" s="6" t="s">
        <v>965</v>
      </c>
      <c r="AJ162" s="108"/>
      <c r="AK162" s="108">
        <v>3.5000000000000003E-2</v>
      </c>
      <c r="AL162" s="6"/>
      <c r="AM162" s="6" t="s">
        <v>958</v>
      </c>
      <c r="AN162" s="6"/>
      <c r="AO162" s="105">
        <v>33.4</v>
      </c>
      <c r="AP162" s="6"/>
      <c r="AQ162" s="28" t="s">
        <v>319</v>
      </c>
      <c r="AR162" s="28" t="s">
        <v>319</v>
      </c>
      <c r="AS162" s="28" t="s">
        <v>319</v>
      </c>
      <c r="AT162" s="28" t="s">
        <v>319</v>
      </c>
      <c r="AU162" s="28" t="s">
        <v>319</v>
      </c>
      <c r="AV162" s="28" t="s">
        <v>319</v>
      </c>
      <c r="AW162" s="28" t="s">
        <v>319</v>
      </c>
      <c r="AX162" s="28" t="s">
        <v>319</v>
      </c>
      <c r="AY162" s="28" t="s">
        <v>319</v>
      </c>
      <c r="AZ162" s="28" t="s">
        <v>319</v>
      </c>
      <c r="BA162" s="28" t="s">
        <v>319</v>
      </c>
      <c r="BB162" s="6" t="s">
        <v>984</v>
      </c>
      <c r="BC162" s="106">
        <v>-162</v>
      </c>
      <c r="BD162" s="106">
        <v>65</v>
      </c>
      <c r="BE162" s="6" t="s">
        <v>1010</v>
      </c>
      <c r="BF162" s="6"/>
      <c r="BG162" s="12">
        <v>42</v>
      </c>
      <c r="BH162" s="28" t="s">
        <v>319</v>
      </c>
      <c r="BI162" s="28" t="s">
        <v>319</v>
      </c>
      <c r="BJ162" s="28" t="s">
        <v>319</v>
      </c>
      <c r="BK162" s="28" t="s">
        <v>319</v>
      </c>
      <c r="BL162" s="28" t="s">
        <v>319</v>
      </c>
      <c r="BM162" s="28" t="s">
        <v>319</v>
      </c>
      <c r="BN162" s="28" t="s">
        <v>319</v>
      </c>
      <c r="BO162" s="28" t="s">
        <v>319</v>
      </c>
      <c r="BP162" s="28" t="s">
        <v>319</v>
      </c>
      <c r="BQ162" s="28" t="s">
        <v>319</v>
      </c>
      <c r="BR162" s="105">
        <v>46.82</v>
      </c>
      <c r="BS162" s="12">
        <v>290.89999999999998</v>
      </c>
      <c r="BT162" s="6"/>
      <c r="BU162" s="5"/>
      <c r="BV162" s="6"/>
      <c r="BW162" s="5"/>
      <c r="BX162" s="6"/>
      <c r="BY162" s="6"/>
      <c r="BZ162" s="30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9"/>
      <c r="DB162" s="6"/>
      <c r="DC162" s="30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 t="s">
        <v>319</v>
      </c>
      <c r="DO162" s="28" t="s">
        <v>319</v>
      </c>
      <c r="DP162" s="28" t="s">
        <v>319</v>
      </c>
      <c r="DQ162" s="28" t="s">
        <v>319</v>
      </c>
      <c r="DR162" s="28" t="s">
        <v>319</v>
      </c>
      <c r="DS162" s="28" t="s">
        <v>319</v>
      </c>
      <c r="DT162" s="28" t="s">
        <v>319</v>
      </c>
      <c r="DU162" s="28" t="s">
        <v>319</v>
      </c>
      <c r="DV162" s="28" t="s">
        <v>319</v>
      </c>
      <c r="DW162" s="28" t="s">
        <v>319</v>
      </c>
      <c r="DX162" s="28" t="s">
        <v>319</v>
      </c>
      <c r="DY162" s="28" t="s">
        <v>319</v>
      </c>
      <c r="DZ162" s="28" t="s">
        <v>319</v>
      </c>
      <c r="EA162" s="28" t="s">
        <v>319</v>
      </c>
      <c r="EB162" s="28" t="s">
        <v>319</v>
      </c>
      <c r="EC162" s="28" t="s">
        <v>319</v>
      </c>
      <c r="ED162" s="28" t="s">
        <v>319</v>
      </c>
      <c r="EE162" s="28"/>
      <c r="EF162" s="28" t="s">
        <v>319</v>
      </c>
      <c r="EG162" s="28" t="s">
        <v>319</v>
      </c>
      <c r="EH162" s="28" t="s">
        <v>319</v>
      </c>
      <c r="EI162" s="28" t="s">
        <v>319</v>
      </c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7"/>
      <c r="FK162" s="6"/>
      <c r="FL162" s="6"/>
      <c r="FM162" s="97"/>
    </row>
    <row r="163" spans="1:169" s="3" customFormat="1" ht="34.799999999999997" x14ac:dyDescent="0.4">
      <c r="A163" s="93"/>
      <c r="B163" s="93"/>
      <c r="C163" s="26"/>
      <c r="D163" s="27" t="s">
        <v>319</v>
      </c>
      <c r="E163" s="2" t="s">
        <v>464</v>
      </c>
      <c r="F163" s="28" t="s">
        <v>319</v>
      </c>
      <c r="G163" s="28" t="s">
        <v>319</v>
      </c>
      <c r="H163" s="28" t="s">
        <v>319</v>
      </c>
      <c r="I163" s="6" t="s">
        <v>626</v>
      </c>
      <c r="J163" s="28" t="s">
        <v>319</v>
      </c>
      <c r="K163" s="28" t="s">
        <v>319</v>
      </c>
      <c r="L163" s="28" t="s">
        <v>319</v>
      </c>
      <c r="M163" s="28" t="s">
        <v>319</v>
      </c>
      <c r="N163" s="28" t="s">
        <v>319</v>
      </c>
      <c r="O163" s="28" t="s">
        <v>319</v>
      </c>
      <c r="P163" s="28" t="s">
        <v>319</v>
      </c>
      <c r="Q163" s="5" t="s">
        <v>1384</v>
      </c>
      <c r="R163" s="5" t="s">
        <v>663</v>
      </c>
      <c r="S163" s="6" t="s">
        <v>672</v>
      </c>
      <c r="T163" s="5" t="s">
        <v>817</v>
      </c>
      <c r="U163" s="5" t="s">
        <v>818</v>
      </c>
      <c r="V163" s="106">
        <v>19442</v>
      </c>
      <c r="W163" s="6" t="s">
        <v>665</v>
      </c>
      <c r="X163" s="105">
        <v>3.38</v>
      </c>
      <c r="Y163" s="105">
        <v>3.32</v>
      </c>
      <c r="Z163" s="105">
        <v>3.22</v>
      </c>
      <c r="AA163" s="6" t="s">
        <v>963</v>
      </c>
      <c r="AB163" s="6">
        <v>2.7199999999999998</v>
      </c>
      <c r="AC163" s="6">
        <v>2.6599999999999997</v>
      </c>
      <c r="AD163" s="6">
        <v>2.5500000000000003</v>
      </c>
      <c r="AE163" s="6" t="s">
        <v>956</v>
      </c>
      <c r="AF163" s="6"/>
      <c r="AG163" s="12">
        <v>-75.5</v>
      </c>
      <c r="AH163" s="6"/>
      <c r="AI163" s="6" t="s">
        <v>965</v>
      </c>
      <c r="AJ163" s="112"/>
      <c r="AK163" s="108">
        <v>0.112</v>
      </c>
      <c r="AL163" s="6"/>
      <c r="AM163" s="6" t="s">
        <v>958</v>
      </c>
      <c r="AN163" s="6"/>
      <c r="AO163" s="105">
        <v>4.21</v>
      </c>
      <c r="AP163" s="6"/>
      <c r="AQ163" s="28" t="s">
        <v>319</v>
      </c>
      <c r="AR163" s="28" t="s">
        <v>319</v>
      </c>
      <c r="AS163" s="28" t="s">
        <v>319</v>
      </c>
      <c r="AT163" s="28" t="s">
        <v>319</v>
      </c>
      <c r="AU163" s="28" t="s">
        <v>319</v>
      </c>
      <c r="AV163" s="28" t="s">
        <v>319</v>
      </c>
      <c r="AW163" s="28" t="s">
        <v>319</v>
      </c>
      <c r="AX163" s="28" t="s">
        <v>319</v>
      </c>
      <c r="AY163" s="28" t="s">
        <v>319</v>
      </c>
      <c r="AZ163" s="28" t="s">
        <v>319</v>
      </c>
      <c r="BA163" s="28" t="s">
        <v>319</v>
      </c>
      <c r="BB163" s="6" t="s">
        <v>984</v>
      </c>
      <c r="BC163" s="106">
        <v>-104</v>
      </c>
      <c r="BD163" s="106">
        <v>65</v>
      </c>
      <c r="BE163" s="6" t="s">
        <v>1010</v>
      </c>
      <c r="BF163" s="6"/>
      <c r="BG163" s="12">
        <v>12</v>
      </c>
      <c r="BH163" s="28" t="s">
        <v>319</v>
      </c>
      <c r="BI163" s="28" t="s">
        <v>319</v>
      </c>
      <c r="BJ163" s="28" t="s">
        <v>319</v>
      </c>
      <c r="BK163" s="28" t="s">
        <v>319</v>
      </c>
      <c r="BL163" s="28" t="s">
        <v>319</v>
      </c>
      <c r="BM163" s="28" t="s">
        <v>319</v>
      </c>
      <c r="BN163" s="28" t="s">
        <v>319</v>
      </c>
      <c r="BO163" s="28" t="s">
        <v>319</v>
      </c>
      <c r="BP163" s="28" t="s">
        <v>319</v>
      </c>
      <c r="BQ163" s="28" t="s">
        <v>319</v>
      </c>
      <c r="BR163" s="105">
        <v>51.31</v>
      </c>
      <c r="BS163" s="12">
        <v>524.29999999999995</v>
      </c>
      <c r="BT163" s="6"/>
      <c r="BU163" s="5"/>
      <c r="BV163" s="6"/>
      <c r="BW163" s="5"/>
      <c r="BX163" s="6" t="s">
        <v>1054</v>
      </c>
      <c r="BY163" s="6"/>
      <c r="BZ163" s="30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9"/>
      <c r="DB163" s="6"/>
      <c r="DC163" s="30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 t="s">
        <v>319</v>
      </c>
      <c r="DO163" s="28" t="s">
        <v>319</v>
      </c>
      <c r="DP163" s="28" t="s">
        <v>319</v>
      </c>
      <c r="DQ163" s="28" t="s">
        <v>319</v>
      </c>
      <c r="DR163" s="28" t="s">
        <v>319</v>
      </c>
      <c r="DS163" s="28" t="s">
        <v>319</v>
      </c>
      <c r="DT163" s="28" t="s">
        <v>319</v>
      </c>
      <c r="DU163" s="28" t="s">
        <v>319</v>
      </c>
      <c r="DV163" s="28" t="s">
        <v>319</v>
      </c>
      <c r="DW163" s="28" t="s">
        <v>319</v>
      </c>
      <c r="DX163" s="28" t="s">
        <v>319</v>
      </c>
      <c r="DY163" s="28" t="s">
        <v>319</v>
      </c>
      <c r="DZ163" s="28" t="s">
        <v>319</v>
      </c>
      <c r="EA163" s="28" t="s">
        <v>319</v>
      </c>
      <c r="EB163" s="28" t="s">
        <v>319</v>
      </c>
      <c r="EC163" s="28" t="s">
        <v>319</v>
      </c>
      <c r="ED163" s="28" t="s">
        <v>319</v>
      </c>
      <c r="EE163" s="28"/>
      <c r="EF163" s="28" t="s">
        <v>319</v>
      </c>
      <c r="EG163" s="28" t="s">
        <v>319</v>
      </c>
      <c r="EH163" s="28" t="s">
        <v>319</v>
      </c>
      <c r="EI163" s="28" t="s">
        <v>319</v>
      </c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7"/>
      <c r="FK163" s="6"/>
      <c r="FL163" s="6"/>
      <c r="FM163" s="97"/>
    </row>
    <row r="164" spans="1:169" s="3" customFormat="1" x14ac:dyDescent="0.4">
      <c r="A164" s="93"/>
      <c r="B164" s="93"/>
      <c r="C164" s="26"/>
      <c r="D164" s="27" t="s">
        <v>319</v>
      </c>
      <c r="E164" s="2" t="s">
        <v>363</v>
      </c>
      <c r="F164" s="28" t="s">
        <v>319</v>
      </c>
      <c r="G164" s="28" t="s">
        <v>319</v>
      </c>
      <c r="H164" s="28" t="s">
        <v>319</v>
      </c>
      <c r="I164" s="6" t="s">
        <v>627</v>
      </c>
      <c r="J164" s="28" t="s">
        <v>319</v>
      </c>
      <c r="K164" s="28" t="s">
        <v>319</v>
      </c>
      <c r="L164" s="28" t="s">
        <v>319</v>
      </c>
      <c r="M164" s="28" t="s">
        <v>319</v>
      </c>
      <c r="N164" s="28" t="s">
        <v>319</v>
      </c>
      <c r="O164" s="28" t="s">
        <v>319</v>
      </c>
      <c r="P164" s="28" t="s">
        <v>319</v>
      </c>
      <c r="Q164" s="5" t="s">
        <v>673</v>
      </c>
      <c r="R164" s="5" t="s">
        <v>663</v>
      </c>
      <c r="S164" s="6" t="s">
        <v>669</v>
      </c>
      <c r="T164" s="5" t="s">
        <v>819</v>
      </c>
      <c r="U164" s="5" t="s">
        <v>820</v>
      </c>
      <c r="V164" s="5" t="s">
        <v>821</v>
      </c>
      <c r="W164" s="6" t="s">
        <v>665</v>
      </c>
      <c r="X164" s="105">
        <v>32.57</v>
      </c>
      <c r="Y164" s="105">
        <v>32.06</v>
      </c>
      <c r="Z164" s="105">
        <v>31.91</v>
      </c>
      <c r="AA164" s="6" t="s">
        <v>963</v>
      </c>
      <c r="AB164" s="6">
        <v>28.13</v>
      </c>
      <c r="AC164" s="6">
        <v>27.580000000000002</v>
      </c>
      <c r="AD164" s="6">
        <v>27.41</v>
      </c>
      <c r="AE164" s="6" t="s">
        <v>967</v>
      </c>
      <c r="AF164" s="6"/>
      <c r="AG164" s="12">
        <v>-8.1999999999999993</v>
      </c>
      <c r="AH164" s="6"/>
      <c r="AI164" s="6" t="s">
        <v>965</v>
      </c>
      <c r="AJ164" s="108"/>
      <c r="AK164" s="108">
        <v>6.5000000000000002E-2</v>
      </c>
      <c r="AL164" s="6"/>
      <c r="AM164" s="6" t="s">
        <v>958</v>
      </c>
      <c r="AN164" s="6"/>
      <c r="AO164" s="105">
        <v>24.54</v>
      </c>
      <c r="AP164" s="6"/>
      <c r="AQ164" s="28" t="s">
        <v>319</v>
      </c>
      <c r="AR164" s="28" t="s">
        <v>319</v>
      </c>
      <c r="AS164" s="28" t="s">
        <v>319</v>
      </c>
      <c r="AT164" s="28" t="s">
        <v>319</v>
      </c>
      <c r="AU164" s="28" t="s">
        <v>319</v>
      </c>
      <c r="AV164" s="28" t="s">
        <v>319</v>
      </c>
      <c r="AW164" s="28" t="s">
        <v>319</v>
      </c>
      <c r="AX164" s="28" t="s">
        <v>319</v>
      </c>
      <c r="AY164" s="28" t="s">
        <v>319</v>
      </c>
      <c r="AZ164" s="28" t="s">
        <v>319</v>
      </c>
      <c r="BA164" s="28" t="s">
        <v>319</v>
      </c>
      <c r="BB164" s="6" t="s">
        <v>984</v>
      </c>
      <c r="BC164" s="106">
        <v>-118</v>
      </c>
      <c r="BD164" s="106">
        <v>65</v>
      </c>
      <c r="BE164" s="6" t="s">
        <v>1010</v>
      </c>
      <c r="BF164" s="6"/>
      <c r="BG164" s="12">
        <v>37</v>
      </c>
      <c r="BH164" s="28" t="s">
        <v>319</v>
      </c>
      <c r="BI164" s="28" t="s">
        <v>319</v>
      </c>
      <c r="BJ164" s="28" t="s">
        <v>319</v>
      </c>
      <c r="BK164" s="28" t="s">
        <v>319</v>
      </c>
      <c r="BL164" s="28" t="s">
        <v>319</v>
      </c>
      <c r="BM164" s="28" t="s">
        <v>319</v>
      </c>
      <c r="BN164" s="28" t="s">
        <v>319</v>
      </c>
      <c r="BO164" s="28" t="s">
        <v>319</v>
      </c>
      <c r="BP164" s="28" t="s">
        <v>319</v>
      </c>
      <c r="BQ164" s="28" t="s">
        <v>319</v>
      </c>
      <c r="BR164" s="105">
        <v>50.34</v>
      </c>
      <c r="BS164" s="12">
        <v>447.8</v>
      </c>
      <c r="BT164" s="6"/>
      <c r="BU164" s="5"/>
      <c r="BV164" s="6"/>
      <c r="BW164" s="5"/>
      <c r="BX164" s="6" t="s">
        <v>1054</v>
      </c>
      <c r="BY164" s="6"/>
      <c r="BZ164" s="30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9"/>
      <c r="DB164" s="6"/>
      <c r="DC164" s="30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 t="s">
        <v>319</v>
      </c>
      <c r="DO164" s="28" t="s">
        <v>319</v>
      </c>
      <c r="DP164" s="28" t="s">
        <v>319</v>
      </c>
      <c r="DQ164" s="28" t="s">
        <v>319</v>
      </c>
      <c r="DR164" s="28" t="s">
        <v>319</v>
      </c>
      <c r="DS164" s="28" t="s">
        <v>319</v>
      </c>
      <c r="DT164" s="28" t="s">
        <v>319</v>
      </c>
      <c r="DU164" s="28" t="s">
        <v>319</v>
      </c>
      <c r="DV164" s="28" t="s">
        <v>319</v>
      </c>
      <c r="DW164" s="28" t="s">
        <v>319</v>
      </c>
      <c r="DX164" s="28" t="s">
        <v>319</v>
      </c>
      <c r="DY164" s="28" t="s">
        <v>319</v>
      </c>
      <c r="DZ164" s="28" t="s">
        <v>319</v>
      </c>
      <c r="EA164" s="28" t="s">
        <v>319</v>
      </c>
      <c r="EB164" s="28" t="s">
        <v>319</v>
      </c>
      <c r="EC164" s="28" t="s">
        <v>319</v>
      </c>
      <c r="ED164" s="28" t="s">
        <v>319</v>
      </c>
      <c r="EE164" s="28"/>
      <c r="EF164" s="28" t="s">
        <v>319</v>
      </c>
      <c r="EG164" s="28" t="s">
        <v>319</v>
      </c>
      <c r="EH164" s="28" t="s">
        <v>319</v>
      </c>
      <c r="EI164" s="28" t="s">
        <v>319</v>
      </c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7"/>
      <c r="FK164" s="6"/>
      <c r="FL164" s="6"/>
      <c r="FM164" s="97"/>
    </row>
    <row r="165" spans="1:169" s="3" customFormat="1" x14ac:dyDescent="0.4">
      <c r="A165" s="93"/>
      <c r="B165" s="93"/>
      <c r="C165" s="26"/>
      <c r="D165" s="27" t="s">
        <v>319</v>
      </c>
      <c r="E165" s="2" t="s">
        <v>364</v>
      </c>
      <c r="F165" s="28" t="s">
        <v>319</v>
      </c>
      <c r="G165" s="28" t="s">
        <v>319</v>
      </c>
      <c r="H165" s="28" t="s">
        <v>319</v>
      </c>
      <c r="I165" s="6" t="s">
        <v>628</v>
      </c>
      <c r="J165" s="28" t="s">
        <v>319</v>
      </c>
      <c r="K165" s="28" t="s">
        <v>319</v>
      </c>
      <c r="L165" s="28" t="s">
        <v>319</v>
      </c>
      <c r="M165" s="28" t="s">
        <v>319</v>
      </c>
      <c r="N165" s="28" t="s">
        <v>319</v>
      </c>
      <c r="O165" s="28" t="s">
        <v>319</v>
      </c>
      <c r="P165" s="28" t="s">
        <v>319</v>
      </c>
      <c r="Q165" s="5" t="s">
        <v>673</v>
      </c>
      <c r="R165" s="5" t="s">
        <v>663</v>
      </c>
      <c r="S165" s="6" t="s">
        <v>672</v>
      </c>
      <c r="T165" s="5" t="s">
        <v>822</v>
      </c>
      <c r="U165" s="5" t="s">
        <v>823</v>
      </c>
      <c r="V165" s="5" t="s">
        <v>824</v>
      </c>
      <c r="W165" s="6" t="s">
        <v>665</v>
      </c>
      <c r="X165" s="105">
        <v>32.659999999999997</v>
      </c>
      <c r="Y165" s="105">
        <v>32.51</v>
      </c>
      <c r="Z165" s="105">
        <v>32.46</v>
      </c>
      <c r="AA165" s="6" t="s">
        <v>963</v>
      </c>
      <c r="AB165" s="6">
        <v>28.259999999999998</v>
      </c>
      <c r="AC165" s="6">
        <v>27.729999999999997</v>
      </c>
      <c r="AD165" s="6">
        <v>27.55</v>
      </c>
      <c r="AE165" s="6" t="s">
        <v>956</v>
      </c>
      <c r="AF165" s="6"/>
      <c r="AG165" s="12">
        <v>-8.1999999999999993</v>
      </c>
      <c r="AH165" s="6"/>
      <c r="AI165" s="6" t="s">
        <v>965</v>
      </c>
      <c r="AJ165" s="108"/>
      <c r="AK165" s="108">
        <v>6.5000000000000002E-2</v>
      </c>
      <c r="AL165" s="6"/>
      <c r="AM165" s="6" t="s">
        <v>958</v>
      </c>
      <c r="AN165" s="6"/>
      <c r="AO165" s="105">
        <v>24.54</v>
      </c>
      <c r="AP165" s="6"/>
      <c r="AQ165" s="28" t="s">
        <v>319</v>
      </c>
      <c r="AR165" s="28" t="s">
        <v>319</v>
      </c>
      <c r="AS165" s="28" t="s">
        <v>319</v>
      </c>
      <c r="AT165" s="28" t="s">
        <v>319</v>
      </c>
      <c r="AU165" s="28" t="s">
        <v>319</v>
      </c>
      <c r="AV165" s="28" t="s">
        <v>319</v>
      </c>
      <c r="AW165" s="28" t="s">
        <v>319</v>
      </c>
      <c r="AX165" s="28" t="s">
        <v>319</v>
      </c>
      <c r="AY165" s="28" t="s">
        <v>319</v>
      </c>
      <c r="AZ165" s="28" t="s">
        <v>319</v>
      </c>
      <c r="BA165" s="28" t="s">
        <v>319</v>
      </c>
      <c r="BB165" s="6" t="s">
        <v>984</v>
      </c>
      <c r="BC165" s="106">
        <v>-118</v>
      </c>
      <c r="BD165" s="106">
        <v>65</v>
      </c>
      <c r="BE165" s="6" t="s">
        <v>1008</v>
      </c>
      <c r="BF165" s="6"/>
      <c r="BG165" s="12">
        <v>37</v>
      </c>
      <c r="BH165" s="28" t="s">
        <v>319</v>
      </c>
      <c r="BI165" s="28" t="s">
        <v>319</v>
      </c>
      <c r="BJ165" s="28" t="s">
        <v>319</v>
      </c>
      <c r="BK165" s="28" t="s">
        <v>319</v>
      </c>
      <c r="BL165" s="28" t="s">
        <v>319</v>
      </c>
      <c r="BM165" s="28" t="s">
        <v>319</v>
      </c>
      <c r="BN165" s="28" t="s">
        <v>319</v>
      </c>
      <c r="BO165" s="28" t="s">
        <v>319</v>
      </c>
      <c r="BP165" s="28" t="s">
        <v>319</v>
      </c>
      <c r="BQ165" s="28" t="s">
        <v>319</v>
      </c>
      <c r="BR165" s="105">
        <v>50.34</v>
      </c>
      <c r="BS165" s="12">
        <v>447.8</v>
      </c>
      <c r="BT165" s="6"/>
      <c r="BU165" s="5"/>
      <c r="BV165" s="6"/>
      <c r="BW165" s="5"/>
      <c r="BX165" s="6" t="s">
        <v>1054</v>
      </c>
      <c r="BY165" s="6"/>
      <c r="BZ165" s="30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9"/>
      <c r="DB165" s="6"/>
      <c r="DC165" s="30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 t="s">
        <v>319</v>
      </c>
      <c r="DO165" s="28" t="s">
        <v>319</v>
      </c>
      <c r="DP165" s="28" t="s">
        <v>319</v>
      </c>
      <c r="DQ165" s="28" t="s">
        <v>319</v>
      </c>
      <c r="DR165" s="28" t="s">
        <v>319</v>
      </c>
      <c r="DS165" s="28" t="s">
        <v>319</v>
      </c>
      <c r="DT165" s="28" t="s">
        <v>319</v>
      </c>
      <c r="DU165" s="28" t="s">
        <v>319</v>
      </c>
      <c r="DV165" s="28" t="s">
        <v>319</v>
      </c>
      <c r="DW165" s="28" t="s">
        <v>319</v>
      </c>
      <c r="DX165" s="28" t="s">
        <v>319</v>
      </c>
      <c r="DY165" s="28" t="s">
        <v>319</v>
      </c>
      <c r="DZ165" s="28" t="s">
        <v>319</v>
      </c>
      <c r="EA165" s="28" t="s">
        <v>319</v>
      </c>
      <c r="EB165" s="28" t="s">
        <v>319</v>
      </c>
      <c r="EC165" s="28" t="s">
        <v>319</v>
      </c>
      <c r="ED165" s="28" t="s">
        <v>319</v>
      </c>
      <c r="EE165" s="28"/>
      <c r="EF165" s="28" t="s">
        <v>319</v>
      </c>
      <c r="EG165" s="28" t="s">
        <v>319</v>
      </c>
      <c r="EH165" s="28" t="s">
        <v>319</v>
      </c>
      <c r="EI165" s="28" t="s">
        <v>319</v>
      </c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7"/>
      <c r="FK165" s="6"/>
      <c r="FL165" s="6"/>
      <c r="FM165" s="97"/>
    </row>
    <row r="166" spans="1:169" s="3" customFormat="1" x14ac:dyDescent="0.4">
      <c r="A166" s="93"/>
      <c r="B166" s="93"/>
      <c r="C166" s="26"/>
      <c r="D166" s="27" t="s">
        <v>319</v>
      </c>
      <c r="E166" s="2" t="s">
        <v>465</v>
      </c>
      <c r="F166" s="28" t="s">
        <v>319</v>
      </c>
      <c r="G166" s="28" t="s">
        <v>319</v>
      </c>
      <c r="H166" s="28" t="s">
        <v>319</v>
      </c>
      <c r="I166" s="6" t="s">
        <v>629</v>
      </c>
      <c r="J166" s="28" t="s">
        <v>319</v>
      </c>
      <c r="K166" s="28" t="s">
        <v>319</v>
      </c>
      <c r="L166" s="28" t="s">
        <v>319</v>
      </c>
      <c r="M166" s="28" t="s">
        <v>319</v>
      </c>
      <c r="N166" s="28" t="s">
        <v>319</v>
      </c>
      <c r="O166" s="28" t="s">
        <v>319</v>
      </c>
      <c r="P166" s="28" t="s">
        <v>319</v>
      </c>
      <c r="Q166" s="5" t="s">
        <v>721</v>
      </c>
      <c r="R166" s="5" t="s">
        <v>663</v>
      </c>
      <c r="S166" s="6" t="s">
        <v>669</v>
      </c>
      <c r="T166" s="5" t="s">
        <v>825</v>
      </c>
      <c r="U166" s="5" t="s">
        <v>826</v>
      </c>
      <c r="V166" s="106">
        <v>37172</v>
      </c>
      <c r="W166" s="6" t="s">
        <v>665</v>
      </c>
      <c r="X166" s="105">
        <v>5.95</v>
      </c>
      <c r="Y166" s="105">
        <v>5.86</v>
      </c>
      <c r="Z166" s="105">
        <v>5.83</v>
      </c>
      <c r="AA166" s="6" t="s">
        <v>963</v>
      </c>
      <c r="AB166" s="6">
        <v>2.56</v>
      </c>
      <c r="AC166" s="6">
        <v>2.4500000000000002</v>
      </c>
      <c r="AD166" s="6">
        <v>2.39</v>
      </c>
      <c r="AE166" s="6" t="s">
        <v>974</v>
      </c>
      <c r="AF166" s="6"/>
      <c r="AG166" s="12">
        <v>3.8</v>
      </c>
      <c r="AH166" s="6"/>
      <c r="AI166" s="6" t="s">
        <v>965</v>
      </c>
      <c r="AJ166" s="108"/>
      <c r="AK166" s="108">
        <v>0.10299999999999999</v>
      </c>
      <c r="AL166" s="6"/>
      <c r="AM166" s="6" t="s">
        <v>958</v>
      </c>
      <c r="AN166" s="6"/>
      <c r="AO166" s="105">
        <v>6.65</v>
      </c>
      <c r="AP166" s="6"/>
      <c r="AQ166" s="28" t="s">
        <v>319</v>
      </c>
      <c r="AR166" s="28" t="s">
        <v>319</v>
      </c>
      <c r="AS166" s="28" t="s">
        <v>319</v>
      </c>
      <c r="AT166" s="28" t="s">
        <v>319</v>
      </c>
      <c r="AU166" s="28" t="s">
        <v>319</v>
      </c>
      <c r="AV166" s="28" t="s">
        <v>319</v>
      </c>
      <c r="AW166" s="28" t="s">
        <v>319</v>
      </c>
      <c r="AX166" s="28" t="s">
        <v>319</v>
      </c>
      <c r="AY166" s="28" t="s">
        <v>319</v>
      </c>
      <c r="AZ166" s="28" t="s">
        <v>319</v>
      </c>
      <c r="BA166" s="28" t="s">
        <v>319</v>
      </c>
      <c r="BB166" s="6" t="s">
        <v>984</v>
      </c>
      <c r="BC166" s="106">
        <v>-47</v>
      </c>
      <c r="BD166" s="106">
        <v>65</v>
      </c>
      <c r="BE166" s="6" t="s">
        <v>1010</v>
      </c>
      <c r="BF166" s="6"/>
      <c r="BG166" s="12">
        <v>18</v>
      </c>
      <c r="BH166" s="28" t="s">
        <v>319</v>
      </c>
      <c r="BI166" s="28" t="s">
        <v>319</v>
      </c>
      <c r="BJ166" s="28" t="s">
        <v>319</v>
      </c>
      <c r="BK166" s="28" t="s">
        <v>319</v>
      </c>
      <c r="BL166" s="28" t="s">
        <v>319</v>
      </c>
      <c r="BM166" s="28" t="s">
        <v>319</v>
      </c>
      <c r="BN166" s="28" t="s">
        <v>319</v>
      </c>
      <c r="BO166" s="28" t="s">
        <v>319</v>
      </c>
      <c r="BP166" s="28" t="s">
        <v>319</v>
      </c>
      <c r="BQ166" s="28" t="s">
        <v>319</v>
      </c>
      <c r="BR166" s="12">
        <v>47.1</v>
      </c>
      <c r="BS166" s="12">
        <v>540.20000000000005</v>
      </c>
      <c r="BT166" s="6"/>
      <c r="BU166" s="5"/>
      <c r="BV166" s="6"/>
      <c r="BW166" s="5"/>
      <c r="BX166" s="6" t="s">
        <v>1054</v>
      </c>
      <c r="BY166" s="6"/>
      <c r="BZ166" s="30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9"/>
      <c r="DB166" s="6"/>
      <c r="DC166" s="30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 t="s">
        <v>319</v>
      </c>
      <c r="DO166" s="28" t="s">
        <v>319</v>
      </c>
      <c r="DP166" s="28" t="s">
        <v>319</v>
      </c>
      <c r="DQ166" s="28" t="s">
        <v>319</v>
      </c>
      <c r="DR166" s="28" t="s">
        <v>319</v>
      </c>
      <c r="DS166" s="28" t="s">
        <v>319</v>
      </c>
      <c r="DT166" s="28" t="s">
        <v>319</v>
      </c>
      <c r="DU166" s="28" t="s">
        <v>319</v>
      </c>
      <c r="DV166" s="28" t="s">
        <v>319</v>
      </c>
      <c r="DW166" s="28" t="s">
        <v>319</v>
      </c>
      <c r="DX166" s="28" t="s">
        <v>319</v>
      </c>
      <c r="DY166" s="28" t="s">
        <v>319</v>
      </c>
      <c r="DZ166" s="28" t="s">
        <v>319</v>
      </c>
      <c r="EA166" s="28" t="s">
        <v>319</v>
      </c>
      <c r="EB166" s="28" t="s">
        <v>319</v>
      </c>
      <c r="EC166" s="28" t="s">
        <v>319</v>
      </c>
      <c r="ED166" s="28" t="s">
        <v>319</v>
      </c>
      <c r="EE166" s="28"/>
      <c r="EF166" s="28" t="s">
        <v>319</v>
      </c>
      <c r="EG166" s="28" t="s">
        <v>319</v>
      </c>
      <c r="EH166" s="28" t="s">
        <v>319</v>
      </c>
      <c r="EI166" s="28" t="s">
        <v>319</v>
      </c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7"/>
      <c r="FK166" s="6"/>
      <c r="FL166" s="6"/>
      <c r="FM166" s="97"/>
    </row>
    <row r="167" spans="1:169" s="3" customFormat="1" ht="34.799999999999997" x14ac:dyDescent="0.4">
      <c r="A167" s="93"/>
      <c r="B167" s="93"/>
      <c r="C167" s="26"/>
      <c r="D167" s="27" t="s">
        <v>319</v>
      </c>
      <c r="E167" s="2" t="s">
        <v>365</v>
      </c>
      <c r="F167" s="28" t="s">
        <v>319</v>
      </c>
      <c r="G167" s="28" t="s">
        <v>319</v>
      </c>
      <c r="H167" s="28" t="s">
        <v>319</v>
      </c>
      <c r="I167" s="6" t="s">
        <v>630</v>
      </c>
      <c r="J167" s="28" t="s">
        <v>319</v>
      </c>
      <c r="K167" s="28" t="s">
        <v>319</v>
      </c>
      <c r="L167" s="28" t="s">
        <v>319</v>
      </c>
      <c r="M167" s="28" t="s">
        <v>319</v>
      </c>
      <c r="N167" s="28" t="s">
        <v>319</v>
      </c>
      <c r="O167" s="28" t="s">
        <v>319</v>
      </c>
      <c r="P167" s="28" t="s">
        <v>319</v>
      </c>
      <c r="Q167" s="5" t="s">
        <v>827</v>
      </c>
      <c r="R167" s="5" t="s">
        <v>667</v>
      </c>
      <c r="S167" s="6" t="s">
        <v>672</v>
      </c>
      <c r="T167" s="5" t="s">
        <v>828</v>
      </c>
      <c r="U167" s="5" t="s">
        <v>829</v>
      </c>
      <c r="V167" s="229">
        <v>1121</v>
      </c>
      <c r="W167" s="6" t="s">
        <v>665</v>
      </c>
      <c r="X167" s="105">
        <v>35.299999999999997</v>
      </c>
      <c r="Y167" s="105">
        <v>35.17</v>
      </c>
      <c r="Z167" s="105">
        <v>35.130000000000003</v>
      </c>
      <c r="AA167" s="6" t="s">
        <v>963</v>
      </c>
      <c r="AB167" s="6">
        <v>30.619999999999997</v>
      </c>
      <c r="AC167" s="6">
        <v>30.490000000000002</v>
      </c>
      <c r="AD167" s="6">
        <v>30.450000000000003</v>
      </c>
      <c r="AE167" s="6" t="s">
        <v>956</v>
      </c>
      <c r="AF167" s="6"/>
      <c r="AG167" s="12">
        <v>-163</v>
      </c>
      <c r="AH167" s="6"/>
      <c r="AI167" s="6" t="s">
        <v>965</v>
      </c>
      <c r="AJ167" s="108"/>
      <c r="AK167" s="112">
        <v>4.7999999999999996E-3</v>
      </c>
      <c r="AL167" s="6"/>
      <c r="AM167" s="6"/>
      <c r="AN167" s="6"/>
      <c r="AO167" s="5"/>
      <c r="AP167" s="6"/>
      <c r="AQ167" s="28" t="s">
        <v>319</v>
      </c>
      <c r="AR167" s="28" t="s">
        <v>319</v>
      </c>
      <c r="AS167" s="28" t="s">
        <v>319</v>
      </c>
      <c r="AT167" s="28" t="s">
        <v>319</v>
      </c>
      <c r="AU167" s="28" t="s">
        <v>319</v>
      </c>
      <c r="AV167" s="28" t="s">
        <v>319</v>
      </c>
      <c r="AW167" s="28" t="s">
        <v>319</v>
      </c>
      <c r="AX167" s="28" t="s">
        <v>319</v>
      </c>
      <c r="AY167" s="28" t="s">
        <v>319</v>
      </c>
      <c r="AZ167" s="28" t="s">
        <v>319</v>
      </c>
      <c r="BA167" s="28" t="s">
        <v>319</v>
      </c>
      <c r="BB167" s="6" t="s">
        <v>984</v>
      </c>
      <c r="BC167" s="106">
        <v>-168</v>
      </c>
      <c r="BD167" s="106">
        <v>65</v>
      </c>
      <c r="BE167" s="6" t="s">
        <v>1010</v>
      </c>
      <c r="BF167" s="6"/>
      <c r="BG167" s="12">
        <v>46</v>
      </c>
      <c r="BH167" s="28" t="s">
        <v>319</v>
      </c>
      <c r="BI167" s="28" t="s">
        <v>319</v>
      </c>
      <c r="BJ167" s="28" t="s">
        <v>319</v>
      </c>
      <c r="BK167" s="28" t="s">
        <v>319</v>
      </c>
      <c r="BL167" s="28" t="s">
        <v>319</v>
      </c>
      <c r="BM167" s="28" t="s">
        <v>319</v>
      </c>
      <c r="BN167" s="28" t="s">
        <v>319</v>
      </c>
      <c r="BO167" s="28" t="s">
        <v>319</v>
      </c>
      <c r="BP167" s="28" t="s">
        <v>319</v>
      </c>
      <c r="BQ167" s="28" t="s">
        <v>319</v>
      </c>
      <c r="BR167" s="5"/>
      <c r="BS167" s="105"/>
      <c r="BT167" s="6"/>
      <c r="BU167" s="12">
        <v>2.6</v>
      </c>
      <c r="BV167" s="6" t="s">
        <v>1017</v>
      </c>
      <c r="BW167" s="105">
        <v>1.66</v>
      </c>
      <c r="BX167" s="6"/>
      <c r="BY167" s="6"/>
      <c r="BZ167" s="30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9"/>
      <c r="DB167" s="6"/>
      <c r="DC167" s="30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 t="s">
        <v>319</v>
      </c>
      <c r="DO167" s="28" t="s">
        <v>319</v>
      </c>
      <c r="DP167" s="28" t="s">
        <v>319</v>
      </c>
      <c r="DQ167" s="28" t="s">
        <v>319</v>
      </c>
      <c r="DR167" s="28" t="s">
        <v>319</v>
      </c>
      <c r="DS167" s="28" t="s">
        <v>319</v>
      </c>
      <c r="DT167" s="28" t="s">
        <v>319</v>
      </c>
      <c r="DU167" s="28" t="s">
        <v>319</v>
      </c>
      <c r="DV167" s="28" t="s">
        <v>319</v>
      </c>
      <c r="DW167" s="28" t="s">
        <v>319</v>
      </c>
      <c r="DX167" s="28" t="s">
        <v>319</v>
      </c>
      <c r="DY167" s="28" t="s">
        <v>319</v>
      </c>
      <c r="DZ167" s="28" t="s">
        <v>319</v>
      </c>
      <c r="EA167" s="28" t="s">
        <v>319</v>
      </c>
      <c r="EB167" s="28" t="s">
        <v>319</v>
      </c>
      <c r="EC167" s="28" t="s">
        <v>319</v>
      </c>
      <c r="ED167" s="28" t="s">
        <v>319</v>
      </c>
      <c r="EE167" s="28"/>
      <c r="EF167" s="28" t="s">
        <v>319</v>
      </c>
      <c r="EG167" s="28" t="s">
        <v>319</v>
      </c>
      <c r="EH167" s="28" t="s">
        <v>319</v>
      </c>
      <c r="EI167" s="28" t="s">
        <v>319</v>
      </c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7"/>
      <c r="FK167" s="15" t="s">
        <v>1060</v>
      </c>
      <c r="FL167" s="6"/>
      <c r="FM167" s="94"/>
    </row>
    <row r="168" spans="1:169" s="3" customFormat="1" ht="34.799999999999997" x14ac:dyDescent="0.4">
      <c r="A168" s="93"/>
      <c r="B168" s="93"/>
      <c r="C168" s="26"/>
      <c r="D168" s="27" t="s">
        <v>319</v>
      </c>
      <c r="E168" s="2" t="s">
        <v>366</v>
      </c>
      <c r="F168" s="28" t="s">
        <v>319</v>
      </c>
      <c r="G168" s="28" t="s">
        <v>319</v>
      </c>
      <c r="H168" s="28" t="s">
        <v>319</v>
      </c>
      <c r="I168" s="6" t="s">
        <v>630</v>
      </c>
      <c r="J168" s="28" t="s">
        <v>319</v>
      </c>
      <c r="K168" s="28" t="s">
        <v>319</v>
      </c>
      <c r="L168" s="28" t="s">
        <v>319</v>
      </c>
      <c r="M168" s="28" t="s">
        <v>319</v>
      </c>
      <c r="N168" s="28" t="s">
        <v>319</v>
      </c>
      <c r="O168" s="28" t="s">
        <v>319</v>
      </c>
      <c r="P168" s="28" t="s">
        <v>319</v>
      </c>
      <c r="Q168" s="5" t="s">
        <v>673</v>
      </c>
      <c r="R168" s="5" t="s">
        <v>663</v>
      </c>
      <c r="S168" s="6" t="s">
        <v>664</v>
      </c>
      <c r="T168" s="5" t="s">
        <v>830</v>
      </c>
      <c r="U168" s="5" t="s">
        <v>831</v>
      </c>
      <c r="V168" s="5" t="s">
        <v>832</v>
      </c>
      <c r="W168" s="6" t="s">
        <v>665</v>
      </c>
      <c r="X168" s="105">
        <v>35.47</v>
      </c>
      <c r="Y168" s="105">
        <v>35.44</v>
      </c>
      <c r="Z168" s="105">
        <v>35.43</v>
      </c>
      <c r="AA168" s="6" t="s">
        <v>963</v>
      </c>
      <c r="AB168" s="6">
        <v>1.5</v>
      </c>
      <c r="AC168" s="6">
        <v>1.2899999999999991</v>
      </c>
      <c r="AD168" s="6">
        <v>1.2299999999999969</v>
      </c>
      <c r="AE168" s="6" t="s">
        <v>956</v>
      </c>
      <c r="AF168" s="6"/>
      <c r="AG168" s="12">
        <v>-135</v>
      </c>
      <c r="AH168" s="6"/>
      <c r="AI168" s="6" t="s">
        <v>965</v>
      </c>
      <c r="AJ168" s="108"/>
      <c r="AK168" s="108">
        <v>7.4999999999999997E-2</v>
      </c>
      <c r="AL168" s="6"/>
      <c r="AM168" s="6" t="s">
        <v>958</v>
      </c>
      <c r="AN168" s="6"/>
      <c r="AO168" s="105">
        <v>36.4</v>
      </c>
      <c r="AP168" s="6"/>
      <c r="AQ168" s="28" t="s">
        <v>319</v>
      </c>
      <c r="AR168" s="28" t="s">
        <v>319</v>
      </c>
      <c r="AS168" s="28" t="s">
        <v>319</v>
      </c>
      <c r="AT168" s="28" t="s">
        <v>319</v>
      </c>
      <c r="AU168" s="28" t="s">
        <v>319</v>
      </c>
      <c r="AV168" s="28" t="s">
        <v>319</v>
      </c>
      <c r="AW168" s="28" t="s">
        <v>319</v>
      </c>
      <c r="AX168" s="28" t="s">
        <v>319</v>
      </c>
      <c r="AY168" s="28" t="s">
        <v>319</v>
      </c>
      <c r="AZ168" s="28" t="s">
        <v>319</v>
      </c>
      <c r="BA168" s="28" t="s">
        <v>319</v>
      </c>
      <c r="BB168" s="6" t="s">
        <v>984</v>
      </c>
      <c r="BC168" s="106">
        <v>-162</v>
      </c>
      <c r="BD168" s="106">
        <v>65</v>
      </c>
      <c r="BE168" s="6" t="s">
        <v>1010</v>
      </c>
      <c r="BF168" s="6"/>
      <c r="BG168" s="12">
        <v>46</v>
      </c>
      <c r="BH168" s="28" t="s">
        <v>319</v>
      </c>
      <c r="BI168" s="28" t="s">
        <v>319</v>
      </c>
      <c r="BJ168" s="28" t="s">
        <v>319</v>
      </c>
      <c r="BK168" s="28" t="s">
        <v>319</v>
      </c>
      <c r="BL168" s="28" t="s">
        <v>319</v>
      </c>
      <c r="BM168" s="28" t="s">
        <v>319</v>
      </c>
      <c r="BN168" s="28" t="s">
        <v>319</v>
      </c>
      <c r="BO168" s="28" t="s">
        <v>319</v>
      </c>
      <c r="BP168" s="28" t="s">
        <v>319</v>
      </c>
      <c r="BQ168" s="28" t="s">
        <v>319</v>
      </c>
      <c r="BR168" s="105">
        <v>46.63</v>
      </c>
      <c r="BS168" s="12">
        <v>411.5</v>
      </c>
      <c r="BT168" s="6"/>
      <c r="BU168" s="5"/>
      <c r="BV168" s="6"/>
      <c r="BW168" s="5"/>
      <c r="BX168" s="6" t="s">
        <v>1054</v>
      </c>
      <c r="BY168" s="6"/>
      <c r="BZ168" s="30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9"/>
      <c r="DB168" s="6"/>
      <c r="DC168" s="30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 t="s">
        <v>319</v>
      </c>
      <c r="DO168" s="28" t="s">
        <v>319</v>
      </c>
      <c r="DP168" s="28" t="s">
        <v>319</v>
      </c>
      <c r="DQ168" s="28" t="s">
        <v>319</v>
      </c>
      <c r="DR168" s="28" t="s">
        <v>319</v>
      </c>
      <c r="DS168" s="28" t="s">
        <v>319</v>
      </c>
      <c r="DT168" s="28" t="s">
        <v>319</v>
      </c>
      <c r="DU168" s="28" t="s">
        <v>319</v>
      </c>
      <c r="DV168" s="28" t="s">
        <v>319</v>
      </c>
      <c r="DW168" s="28" t="s">
        <v>319</v>
      </c>
      <c r="DX168" s="28" t="s">
        <v>319</v>
      </c>
      <c r="DY168" s="28" t="s">
        <v>319</v>
      </c>
      <c r="DZ168" s="28" t="s">
        <v>319</v>
      </c>
      <c r="EA168" s="28" t="s">
        <v>319</v>
      </c>
      <c r="EB168" s="28" t="s">
        <v>319</v>
      </c>
      <c r="EC168" s="28" t="s">
        <v>319</v>
      </c>
      <c r="ED168" s="28" t="s">
        <v>319</v>
      </c>
      <c r="EE168" s="28"/>
      <c r="EF168" s="28" t="s">
        <v>319</v>
      </c>
      <c r="EG168" s="28" t="s">
        <v>319</v>
      </c>
      <c r="EH168" s="28" t="s">
        <v>319</v>
      </c>
      <c r="EI168" s="28" t="s">
        <v>319</v>
      </c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7"/>
      <c r="FK168" s="15" t="s">
        <v>1060</v>
      </c>
      <c r="FL168" s="6"/>
      <c r="FM168" s="97"/>
    </row>
    <row r="169" spans="1:169" s="3" customFormat="1" x14ac:dyDescent="0.4">
      <c r="A169" s="93"/>
      <c r="B169" s="93"/>
      <c r="C169" s="26"/>
      <c r="D169" s="27" t="s">
        <v>319</v>
      </c>
      <c r="E169" s="2" t="s">
        <v>367</v>
      </c>
      <c r="F169" s="28" t="s">
        <v>319</v>
      </c>
      <c r="G169" s="28" t="s">
        <v>319</v>
      </c>
      <c r="H169" s="28" t="s">
        <v>319</v>
      </c>
      <c r="I169" s="6" t="s">
        <v>631</v>
      </c>
      <c r="J169" s="28" t="s">
        <v>319</v>
      </c>
      <c r="K169" s="28" t="s">
        <v>319</v>
      </c>
      <c r="L169" s="28" t="s">
        <v>319</v>
      </c>
      <c r="M169" s="28" t="s">
        <v>319</v>
      </c>
      <c r="N169" s="28" t="s">
        <v>319</v>
      </c>
      <c r="O169" s="28" t="s">
        <v>319</v>
      </c>
      <c r="P169" s="28" t="s">
        <v>319</v>
      </c>
      <c r="Q169" s="5" t="s">
        <v>673</v>
      </c>
      <c r="R169" s="5" t="s">
        <v>663</v>
      </c>
      <c r="S169" s="6" t="s">
        <v>669</v>
      </c>
      <c r="T169" s="5" t="s">
        <v>833</v>
      </c>
      <c r="U169" s="5" t="s">
        <v>834</v>
      </c>
      <c r="V169" s="5" t="s">
        <v>835</v>
      </c>
      <c r="W169" s="6" t="s">
        <v>665</v>
      </c>
      <c r="X169" s="105">
        <v>35.18</v>
      </c>
      <c r="Y169" s="105">
        <v>35.17</v>
      </c>
      <c r="Z169" s="105">
        <v>35.159999999999997</v>
      </c>
      <c r="AA169" s="6" t="s">
        <v>963</v>
      </c>
      <c r="AB169" s="6">
        <v>30.13</v>
      </c>
      <c r="AC169" s="6">
        <v>30.130000000000003</v>
      </c>
      <c r="AD169" s="6">
        <v>30.109999999999996</v>
      </c>
      <c r="AE169" s="6" t="s">
        <v>956</v>
      </c>
      <c r="AF169" s="6"/>
      <c r="AG169" s="12">
        <v>-163</v>
      </c>
      <c r="AH169" s="6"/>
      <c r="AI169" s="6" t="s">
        <v>965</v>
      </c>
      <c r="AJ169" s="108"/>
      <c r="AK169" s="108">
        <v>0.111</v>
      </c>
      <c r="AL169" s="6"/>
      <c r="AM169" s="6" t="s">
        <v>958</v>
      </c>
      <c r="AN169" s="6"/>
      <c r="AO169" s="105">
        <v>36.14</v>
      </c>
      <c r="AP169" s="6"/>
      <c r="AQ169" s="28" t="s">
        <v>319</v>
      </c>
      <c r="AR169" s="28" t="s">
        <v>319</v>
      </c>
      <c r="AS169" s="28" t="s">
        <v>319</v>
      </c>
      <c r="AT169" s="28" t="s">
        <v>319</v>
      </c>
      <c r="AU169" s="28" t="s">
        <v>319</v>
      </c>
      <c r="AV169" s="28" t="s">
        <v>319</v>
      </c>
      <c r="AW169" s="28" t="s">
        <v>319</v>
      </c>
      <c r="AX169" s="28" t="s">
        <v>319</v>
      </c>
      <c r="AY169" s="28" t="s">
        <v>319</v>
      </c>
      <c r="AZ169" s="28" t="s">
        <v>319</v>
      </c>
      <c r="BA169" s="28" t="s">
        <v>319</v>
      </c>
      <c r="BB169" s="6" t="s">
        <v>984</v>
      </c>
      <c r="BC169" s="106">
        <v>-168</v>
      </c>
      <c r="BD169" s="106">
        <v>65</v>
      </c>
      <c r="BE169" s="6" t="s">
        <v>1008</v>
      </c>
      <c r="BF169" s="6"/>
      <c r="BG169" s="12">
        <v>46</v>
      </c>
      <c r="BH169" s="28" t="s">
        <v>319</v>
      </c>
      <c r="BI169" s="28" t="s">
        <v>319</v>
      </c>
      <c r="BJ169" s="28" t="s">
        <v>319</v>
      </c>
      <c r="BK169" s="28" t="s">
        <v>319</v>
      </c>
      <c r="BL169" s="28" t="s">
        <v>319</v>
      </c>
      <c r="BM169" s="28" t="s">
        <v>319</v>
      </c>
      <c r="BN169" s="28" t="s">
        <v>319</v>
      </c>
      <c r="BO169" s="28" t="s">
        <v>319</v>
      </c>
      <c r="BP169" s="28" t="s">
        <v>319</v>
      </c>
      <c r="BQ169" s="28" t="s">
        <v>319</v>
      </c>
      <c r="BR169" s="105">
        <v>46.15</v>
      </c>
      <c r="BS169" s="12">
        <v>425.7</v>
      </c>
      <c r="BT169" s="6"/>
      <c r="BU169" s="5"/>
      <c r="BV169" s="6"/>
      <c r="BW169" s="5"/>
      <c r="BX169" s="6" t="s">
        <v>1054</v>
      </c>
      <c r="BY169" s="6"/>
      <c r="BZ169" s="30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9"/>
      <c r="DB169" s="6"/>
      <c r="DC169" s="30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 t="s">
        <v>319</v>
      </c>
      <c r="DO169" s="28" t="s">
        <v>319</v>
      </c>
      <c r="DP169" s="28" t="s">
        <v>319</v>
      </c>
      <c r="DQ169" s="28" t="s">
        <v>319</v>
      </c>
      <c r="DR169" s="28" t="s">
        <v>319</v>
      </c>
      <c r="DS169" s="28" t="s">
        <v>319</v>
      </c>
      <c r="DT169" s="28" t="s">
        <v>319</v>
      </c>
      <c r="DU169" s="28" t="s">
        <v>319</v>
      </c>
      <c r="DV169" s="28" t="s">
        <v>319</v>
      </c>
      <c r="DW169" s="28" t="s">
        <v>319</v>
      </c>
      <c r="DX169" s="28" t="s">
        <v>319</v>
      </c>
      <c r="DY169" s="28" t="s">
        <v>319</v>
      </c>
      <c r="DZ169" s="28" t="s">
        <v>319</v>
      </c>
      <c r="EA169" s="28" t="s">
        <v>319</v>
      </c>
      <c r="EB169" s="28" t="s">
        <v>319</v>
      </c>
      <c r="EC169" s="28" t="s">
        <v>319</v>
      </c>
      <c r="ED169" s="28" t="s">
        <v>319</v>
      </c>
      <c r="EE169" s="28"/>
      <c r="EF169" s="28" t="s">
        <v>319</v>
      </c>
      <c r="EG169" s="28" t="s">
        <v>319</v>
      </c>
      <c r="EH169" s="28" t="s">
        <v>319</v>
      </c>
      <c r="EI169" s="28" t="s">
        <v>319</v>
      </c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7"/>
      <c r="FK169" s="6"/>
      <c r="FL169" s="6"/>
      <c r="FM169" s="97"/>
    </row>
    <row r="170" spans="1:169" s="3" customFormat="1" ht="34.799999999999997" x14ac:dyDescent="0.4">
      <c r="A170" s="93"/>
      <c r="B170" s="93"/>
      <c r="C170" s="26"/>
      <c r="D170" s="27" t="s">
        <v>319</v>
      </c>
      <c r="E170" s="2" t="s">
        <v>1385</v>
      </c>
      <c r="F170" s="28" t="s">
        <v>319</v>
      </c>
      <c r="G170" s="28" t="s">
        <v>319</v>
      </c>
      <c r="H170" s="28" t="s">
        <v>319</v>
      </c>
      <c r="I170" s="6" t="s">
        <v>631</v>
      </c>
      <c r="J170" s="28" t="s">
        <v>319</v>
      </c>
      <c r="K170" s="28" t="s">
        <v>319</v>
      </c>
      <c r="L170" s="28" t="s">
        <v>319</v>
      </c>
      <c r="M170" s="28" t="s">
        <v>319</v>
      </c>
      <c r="N170" s="28" t="s">
        <v>319</v>
      </c>
      <c r="O170" s="28" t="s">
        <v>319</v>
      </c>
      <c r="P170" s="28" t="s">
        <v>319</v>
      </c>
      <c r="Q170" s="5" t="s">
        <v>673</v>
      </c>
      <c r="R170" s="5" t="s">
        <v>667</v>
      </c>
      <c r="S170" s="6" t="s">
        <v>678</v>
      </c>
      <c r="T170" s="107" t="s">
        <v>1067</v>
      </c>
      <c r="U170" s="5" t="s">
        <v>836</v>
      </c>
      <c r="V170" s="5" t="s">
        <v>837</v>
      </c>
      <c r="W170" s="6" t="s">
        <v>665</v>
      </c>
      <c r="X170" s="105">
        <v>35.369999999999997</v>
      </c>
      <c r="Y170" s="105">
        <v>35.369999999999997</v>
      </c>
      <c r="Z170" s="105">
        <v>35.369999999999997</v>
      </c>
      <c r="AA170" s="6" t="s">
        <v>968</v>
      </c>
      <c r="AB170" s="6">
        <v>3.0599999999999952</v>
      </c>
      <c r="AC170" s="6">
        <v>3.0499999999999972</v>
      </c>
      <c r="AD170" s="6">
        <v>3.0499999999999972</v>
      </c>
      <c r="AE170" s="6" t="s">
        <v>956</v>
      </c>
      <c r="AF170" s="6"/>
      <c r="AG170" s="12">
        <v>-135</v>
      </c>
      <c r="AH170" s="6"/>
      <c r="AI170" s="6" t="s">
        <v>965</v>
      </c>
      <c r="AJ170" s="108"/>
      <c r="AK170" s="112">
        <v>6.1000000000000004E-3</v>
      </c>
      <c r="AL170" s="6"/>
      <c r="AM170" s="6"/>
      <c r="AN170" s="6"/>
      <c r="AO170" s="5"/>
      <c r="AP170" s="6"/>
      <c r="AQ170" s="28" t="s">
        <v>319</v>
      </c>
      <c r="AR170" s="28" t="s">
        <v>319</v>
      </c>
      <c r="AS170" s="28" t="s">
        <v>319</v>
      </c>
      <c r="AT170" s="28" t="s">
        <v>319</v>
      </c>
      <c r="AU170" s="28" t="s">
        <v>319</v>
      </c>
      <c r="AV170" s="28" t="s">
        <v>319</v>
      </c>
      <c r="AW170" s="28" t="s">
        <v>319</v>
      </c>
      <c r="AX170" s="28" t="s">
        <v>319</v>
      </c>
      <c r="AY170" s="28" t="s">
        <v>319</v>
      </c>
      <c r="AZ170" s="28" t="s">
        <v>319</v>
      </c>
      <c r="BA170" s="28" t="s">
        <v>319</v>
      </c>
      <c r="BB170" s="6" t="s">
        <v>984</v>
      </c>
      <c r="BC170" s="106">
        <v>-162</v>
      </c>
      <c r="BD170" s="106">
        <v>65</v>
      </c>
      <c r="BE170" s="6" t="s">
        <v>1008</v>
      </c>
      <c r="BF170" s="6"/>
      <c r="BG170" s="12">
        <v>46</v>
      </c>
      <c r="BH170" s="28" t="s">
        <v>319</v>
      </c>
      <c r="BI170" s="28" t="s">
        <v>319</v>
      </c>
      <c r="BJ170" s="28" t="s">
        <v>319</v>
      </c>
      <c r="BK170" s="28" t="s">
        <v>319</v>
      </c>
      <c r="BL170" s="28" t="s">
        <v>319</v>
      </c>
      <c r="BM170" s="28" t="s">
        <v>319</v>
      </c>
      <c r="BN170" s="28" t="s">
        <v>319</v>
      </c>
      <c r="BO170" s="28" t="s">
        <v>319</v>
      </c>
      <c r="BP170" s="28" t="s">
        <v>319</v>
      </c>
      <c r="BQ170" s="28" t="s">
        <v>319</v>
      </c>
      <c r="BR170" s="5"/>
      <c r="BS170" s="105"/>
      <c r="BT170" s="6"/>
      <c r="BU170" s="12">
        <v>4.8</v>
      </c>
      <c r="BV170" s="6" t="s">
        <v>1020</v>
      </c>
      <c r="BW170" s="12">
        <v>1.6</v>
      </c>
      <c r="BX170" s="6"/>
      <c r="BY170" s="6"/>
      <c r="BZ170" s="30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9"/>
      <c r="DB170" s="6"/>
      <c r="DC170" s="30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 t="s">
        <v>319</v>
      </c>
      <c r="DO170" s="28" t="s">
        <v>319</v>
      </c>
      <c r="DP170" s="28" t="s">
        <v>319</v>
      </c>
      <c r="DQ170" s="28" t="s">
        <v>319</v>
      </c>
      <c r="DR170" s="28" t="s">
        <v>319</v>
      </c>
      <c r="DS170" s="28" t="s">
        <v>319</v>
      </c>
      <c r="DT170" s="28" t="s">
        <v>319</v>
      </c>
      <c r="DU170" s="28" t="s">
        <v>319</v>
      </c>
      <c r="DV170" s="28" t="s">
        <v>319</v>
      </c>
      <c r="DW170" s="28" t="s">
        <v>319</v>
      </c>
      <c r="DX170" s="28" t="s">
        <v>319</v>
      </c>
      <c r="DY170" s="28" t="s">
        <v>319</v>
      </c>
      <c r="DZ170" s="28" t="s">
        <v>319</v>
      </c>
      <c r="EA170" s="28" t="s">
        <v>319</v>
      </c>
      <c r="EB170" s="28" t="s">
        <v>319</v>
      </c>
      <c r="EC170" s="28" t="s">
        <v>319</v>
      </c>
      <c r="ED170" s="28" t="s">
        <v>319</v>
      </c>
      <c r="EE170" s="28"/>
      <c r="EF170" s="28" t="s">
        <v>319</v>
      </c>
      <c r="EG170" s="28" t="s">
        <v>319</v>
      </c>
      <c r="EH170" s="28" t="s">
        <v>319</v>
      </c>
      <c r="EI170" s="28" t="s">
        <v>319</v>
      </c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7"/>
      <c r="FK170" s="15" t="s">
        <v>1060</v>
      </c>
      <c r="FL170" s="6"/>
      <c r="FM170" s="94"/>
    </row>
    <row r="171" spans="1:169" s="22" customFormat="1" ht="34.799999999999997" x14ac:dyDescent="0.4">
      <c r="A171" s="93"/>
      <c r="B171" s="93"/>
      <c r="C171" s="26"/>
      <c r="D171" s="27" t="s">
        <v>319</v>
      </c>
      <c r="E171" s="2" t="s">
        <v>1066</v>
      </c>
      <c r="F171" s="28"/>
      <c r="G171" s="28"/>
      <c r="H171" s="28"/>
      <c r="I171" s="6" t="s">
        <v>631</v>
      </c>
      <c r="J171" s="28"/>
      <c r="K171" s="28"/>
      <c r="L171" s="28"/>
      <c r="M171" s="28"/>
      <c r="N171" s="28"/>
      <c r="O171" s="28"/>
      <c r="P171" s="28"/>
      <c r="Q171" s="5" t="s">
        <v>673</v>
      </c>
      <c r="R171" s="5" t="s">
        <v>667</v>
      </c>
      <c r="S171" s="6" t="s">
        <v>678</v>
      </c>
      <c r="T171" s="107" t="s">
        <v>1067</v>
      </c>
      <c r="U171" s="107" t="s">
        <v>1067</v>
      </c>
      <c r="V171" s="5">
        <v>500</v>
      </c>
      <c r="W171" s="6" t="s">
        <v>665</v>
      </c>
      <c r="X171" s="105">
        <v>35.369999999999997</v>
      </c>
      <c r="Y171" s="105">
        <v>35.369999999999997</v>
      </c>
      <c r="Z171" s="105">
        <v>35.369999999999997</v>
      </c>
      <c r="AA171" s="6" t="s">
        <v>968</v>
      </c>
      <c r="AB171" s="6">
        <v>3.0599999999999952</v>
      </c>
      <c r="AC171" s="6">
        <v>3.0499999999999972</v>
      </c>
      <c r="AD171" s="6">
        <v>3.0499999999999972</v>
      </c>
      <c r="AE171" s="6" t="s">
        <v>956</v>
      </c>
      <c r="AF171" s="6"/>
      <c r="AG171" s="12">
        <v>-135</v>
      </c>
      <c r="AH171" s="6"/>
      <c r="AI171" s="6" t="s">
        <v>962</v>
      </c>
      <c r="AJ171" s="108"/>
      <c r="AK171" s="112">
        <v>6.1000000000000004E-3</v>
      </c>
      <c r="AL171" s="6"/>
      <c r="AM171" s="6"/>
      <c r="AN171" s="6"/>
      <c r="AO171" s="5"/>
      <c r="AP171" s="6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6" t="s">
        <v>984</v>
      </c>
      <c r="BC171" s="106">
        <v>-162</v>
      </c>
      <c r="BD171" s="106">
        <v>65</v>
      </c>
      <c r="BE171" s="6" t="s">
        <v>1008</v>
      </c>
      <c r="BF171" s="6"/>
      <c r="BG171" s="12">
        <v>46</v>
      </c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5"/>
      <c r="BS171" s="105"/>
      <c r="BT171" s="6"/>
      <c r="BU171" s="12">
        <v>4.8</v>
      </c>
      <c r="BV171" s="6" t="s">
        <v>1020</v>
      </c>
      <c r="BW171" s="12">
        <v>1.6</v>
      </c>
      <c r="BX171" s="6"/>
      <c r="BY171" s="6"/>
      <c r="BZ171" s="30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9"/>
      <c r="DB171" s="6"/>
      <c r="DC171" s="30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7"/>
      <c r="FK171" s="15" t="s">
        <v>1060</v>
      </c>
      <c r="FL171" s="6"/>
      <c r="FM171" s="94"/>
    </row>
    <row r="172" spans="1:169" s="43" customFormat="1" x14ac:dyDescent="0.4">
      <c r="A172" s="116"/>
      <c r="B172" s="116"/>
      <c r="C172" s="117"/>
      <c r="D172" s="118" t="s">
        <v>319</v>
      </c>
      <c r="E172" s="119" t="s">
        <v>496</v>
      </c>
      <c r="F172" s="28" t="s">
        <v>319</v>
      </c>
      <c r="G172" s="28" t="s">
        <v>319</v>
      </c>
      <c r="H172" s="28" t="s">
        <v>319</v>
      </c>
      <c r="I172" s="120" t="s">
        <v>632</v>
      </c>
      <c r="J172" s="28" t="s">
        <v>319</v>
      </c>
      <c r="K172" s="28" t="s">
        <v>319</v>
      </c>
      <c r="L172" s="28" t="s">
        <v>319</v>
      </c>
      <c r="M172" s="28" t="s">
        <v>319</v>
      </c>
      <c r="N172" s="28" t="s">
        <v>319</v>
      </c>
      <c r="O172" s="28" t="s">
        <v>319</v>
      </c>
      <c r="P172" s="28" t="s">
        <v>319</v>
      </c>
      <c r="Q172" s="121" t="s">
        <v>673</v>
      </c>
      <c r="R172" s="121" t="s">
        <v>667</v>
      </c>
      <c r="S172" s="120" t="s">
        <v>672</v>
      </c>
      <c r="T172" s="121" t="s">
        <v>838</v>
      </c>
      <c r="U172" s="121" t="s">
        <v>839</v>
      </c>
      <c r="V172" s="121" t="s">
        <v>840</v>
      </c>
      <c r="W172" s="120" t="s">
        <v>665</v>
      </c>
      <c r="X172" s="122">
        <v>32.130000000000003</v>
      </c>
      <c r="Y172" s="122">
        <v>32.119999999999997</v>
      </c>
      <c r="Z172" s="122">
        <v>32.119999999999997</v>
      </c>
      <c r="AA172" s="120" t="s">
        <v>963</v>
      </c>
      <c r="AB172" s="120">
        <v>27.590000000000003</v>
      </c>
      <c r="AC172" s="120">
        <v>27.58</v>
      </c>
      <c r="AD172" s="120">
        <v>27.569999999999997</v>
      </c>
      <c r="AE172" s="120" t="s">
        <v>956</v>
      </c>
      <c r="AF172" s="120"/>
      <c r="AG172" s="123">
        <v>-96.4</v>
      </c>
      <c r="AH172" s="120"/>
      <c r="AI172" s="120" t="s">
        <v>965</v>
      </c>
      <c r="AJ172" s="124"/>
      <c r="AK172" s="143">
        <v>8.6999999999999994E-3</v>
      </c>
      <c r="AL172" s="120"/>
      <c r="AM172" s="120"/>
      <c r="AN172" s="120"/>
      <c r="AO172" s="121"/>
      <c r="AP172" s="6"/>
      <c r="AQ172" s="28" t="s">
        <v>319</v>
      </c>
      <c r="AR172" s="28" t="s">
        <v>319</v>
      </c>
      <c r="AS172" s="28" t="s">
        <v>319</v>
      </c>
      <c r="AT172" s="28" t="s">
        <v>319</v>
      </c>
      <c r="AU172" s="28" t="s">
        <v>319</v>
      </c>
      <c r="AV172" s="28" t="s">
        <v>319</v>
      </c>
      <c r="AW172" s="28" t="s">
        <v>319</v>
      </c>
      <c r="AX172" s="28" t="s">
        <v>319</v>
      </c>
      <c r="AY172" s="28" t="s">
        <v>319</v>
      </c>
      <c r="AZ172" s="28" t="s">
        <v>319</v>
      </c>
      <c r="BA172" s="28" t="s">
        <v>319</v>
      </c>
      <c r="BB172" s="120" t="s">
        <v>984</v>
      </c>
      <c r="BC172" s="125">
        <v>-162</v>
      </c>
      <c r="BD172" s="125">
        <v>65</v>
      </c>
      <c r="BE172" s="120" t="s">
        <v>1008</v>
      </c>
      <c r="BF172" s="120"/>
      <c r="BG172" s="123">
        <v>36</v>
      </c>
      <c r="BH172" s="28" t="s">
        <v>319</v>
      </c>
      <c r="BI172" s="28" t="s">
        <v>319</v>
      </c>
      <c r="BJ172" s="28" t="s">
        <v>319</v>
      </c>
      <c r="BK172" s="28" t="s">
        <v>319</v>
      </c>
      <c r="BL172" s="28" t="s">
        <v>319</v>
      </c>
      <c r="BM172" s="28" t="s">
        <v>319</v>
      </c>
      <c r="BN172" s="28" t="s">
        <v>319</v>
      </c>
      <c r="BO172" s="28" t="s">
        <v>319</v>
      </c>
      <c r="BP172" s="28" t="s">
        <v>319</v>
      </c>
      <c r="BQ172" s="28" t="s">
        <v>319</v>
      </c>
      <c r="BR172" s="121"/>
      <c r="BS172" s="122"/>
      <c r="BT172" s="6"/>
      <c r="BU172" s="123">
        <v>15.4</v>
      </c>
      <c r="BV172" s="120" t="s">
        <v>1032</v>
      </c>
      <c r="BW172" s="122">
        <v>2.66</v>
      </c>
      <c r="BX172" s="120"/>
      <c r="BY172" s="120"/>
      <c r="BZ172" s="30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9"/>
      <c r="DB172" s="120" t="s">
        <v>1054</v>
      </c>
      <c r="DC172" s="30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 t="s">
        <v>319</v>
      </c>
      <c r="DO172" s="28" t="s">
        <v>319</v>
      </c>
      <c r="DP172" s="28" t="s">
        <v>319</v>
      </c>
      <c r="DQ172" s="28" t="s">
        <v>319</v>
      </c>
      <c r="DR172" s="28" t="s">
        <v>319</v>
      </c>
      <c r="DS172" s="28" t="s">
        <v>319</v>
      </c>
      <c r="DT172" s="28" t="s">
        <v>319</v>
      </c>
      <c r="DU172" s="28" t="s">
        <v>319</v>
      </c>
      <c r="DV172" s="28" t="s">
        <v>319</v>
      </c>
      <c r="DW172" s="28" t="s">
        <v>319</v>
      </c>
      <c r="DX172" s="28" t="s">
        <v>319</v>
      </c>
      <c r="DY172" s="28" t="s">
        <v>319</v>
      </c>
      <c r="DZ172" s="28" t="s">
        <v>319</v>
      </c>
      <c r="EA172" s="28" t="s">
        <v>319</v>
      </c>
      <c r="EB172" s="28" t="s">
        <v>319</v>
      </c>
      <c r="EC172" s="28" t="s">
        <v>319</v>
      </c>
      <c r="ED172" s="28" t="s">
        <v>319</v>
      </c>
      <c r="EE172" s="28"/>
      <c r="EF172" s="28" t="s">
        <v>319</v>
      </c>
      <c r="EG172" s="28" t="s">
        <v>319</v>
      </c>
      <c r="EH172" s="28" t="s">
        <v>319</v>
      </c>
      <c r="EI172" s="28" t="s">
        <v>319</v>
      </c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7"/>
      <c r="FK172" s="120"/>
      <c r="FL172" s="120"/>
      <c r="FM172" s="127"/>
    </row>
    <row r="173" spans="1:169" s="3" customFormat="1" ht="34.799999999999997" x14ac:dyDescent="0.4">
      <c r="A173" s="93"/>
      <c r="B173" s="93"/>
      <c r="C173" s="26"/>
      <c r="D173" s="27" t="s">
        <v>319</v>
      </c>
      <c r="E173" s="2" t="s">
        <v>497</v>
      </c>
      <c r="F173" s="28" t="s">
        <v>319</v>
      </c>
      <c r="G173" s="28" t="s">
        <v>319</v>
      </c>
      <c r="H173" s="28" t="s">
        <v>319</v>
      </c>
      <c r="I173" s="6" t="s">
        <v>632</v>
      </c>
      <c r="J173" s="28" t="s">
        <v>319</v>
      </c>
      <c r="K173" s="28" t="s">
        <v>319</v>
      </c>
      <c r="L173" s="28" t="s">
        <v>319</v>
      </c>
      <c r="M173" s="28" t="s">
        <v>319</v>
      </c>
      <c r="N173" s="28" t="s">
        <v>319</v>
      </c>
      <c r="O173" s="28" t="s">
        <v>319</v>
      </c>
      <c r="P173" s="28" t="s">
        <v>319</v>
      </c>
      <c r="Q173" s="5" t="s">
        <v>673</v>
      </c>
      <c r="R173" s="5" t="s">
        <v>667</v>
      </c>
      <c r="S173" s="6" t="s">
        <v>669</v>
      </c>
      <c r="T173" s="5"/>
      <c r="U173" s="5" t="s">
        <v>841</v>
      </c>
      <c r="V173" s="107" t="s">
        <v>1264</v>
      </c>
      <c r="W173" s="6" t="s">
        <v>665</v>
      </c>
      <c r="X173" s="5"/>
      <c r="Y173" s="105">
        <v>32.18</v>
      </c>
      <c r="Z173" s="5"/>
      <c r="AA173" s="6" t="s">
        <v>959</v>
      </c>
      <c r="AB173" s="6"/>
      <c r="AC173" s="6">
        <v>31.68</v>
      </c>
      <c r="AD173" s="6"/>
      <c r="AE173" s="6" t="s">
        <v>956</v>
      </c>
      <c r="AF173" s="6"/>
      <c r="AG173" s="12">
        <v>-96.4</v>
      </c>
      <c r="AH173" s="6"/>
      <c r="AI173" s="6" t="s">
        <v>965</v>
      </c>
      <c r="AJ173" s="108"/>
      <c r="AK173" s="112">
        <v>8.6999999999999994E-3</v>
      </c>
      <c r="AL173" s="6"/>
      <c r="AM173" s="6"/>
      <c r="AN173" s="6"/>
      <c r="AO173" s="5"/>
      <c r="AP173" s="6"/>
      <c r="AQ173" s="28" t="s">
        <v>319</v>
      </c>
      <c r="AR173" s="28" t="s">
        <v>319</v>
      </c>
      <c r="AS173" s="28" t="s">
        <v>319</v>
      </c>
      <c r="AT173" s="28" t="s">
        <v>319</v>
      </c>
      <c r="AU173" s="28" t="s">
        <v>319</v>
      </c>
      <c r="AV173" s="28" t="s">
        <v>319</v>
      </c>
      <c r="AW173" s="28" t="s">
        <v>319</v>
      </c>
      <c r="AX173" s="28" t="s">
        <v>319</v>
      </c>
      <c r="AY173" s="28" t="s">
        <v>319</v>
      </c>
      <c r="AZ173" s="28" t="s">
        <v>319</v>
      </c>
      <c r="BA173" s="28" t="s">
        <v>319</v>
      </c>
      <c r="BB173" s="6" t="s">
        <v>984</v>
      </c>
      <c r="BC173" s="106">
        <v>-162</v>
      </c>
      <c r="BD173" s="106">
        <v>65</v>
      </c>
      <c r="BE173" s="6" t="s">
        <v>1010</v>
      </c>
      <c r="BF173" s="6"/>
      <c r="BG173" s="12">
        <v>36</v>
      </c>
      <c r="BH173" s="28" t="s">
        <v>319</v>
      </c>
      <c r="BI173" s="28" t="s">
        <v>319</v>
      </c>
      <c r="BJ173" s="28" t="s">
        <v>319</v>
      </c>
      <c r="BK173" s="28" t="s">
        <v>319</v>
      </c>
      <c r="BL173" s="28" t="s">
        <v>319</v>
      </c>
      <c r="BM173" s="28" t="s">
        <v>319</v>
      </c>
      <c r="BN173" s="28" t="s">
        <v>319</v>
      </c>
      <c r="BO173" s="28" t="s">
        <v>319</v>
      </c>
      <c r="BP173" s="28" t="s">
        <v>319</v>
      </c>
      <c r="BQ173" s="28" t="s">
        <v>319</v>
      </c>
      <c r="BR173" s="5"/>
      <c r="BS173" s="105"/>
      <c r="BT173" s="6"/>
      <c r="BU173" s="12">
        <v>15.4</v>
      </c>
      <c r="BV173" s="6" t="s">
        <v>1032</v>
      </c>
      <c r="BW173" s="205">
        <v>1.254</v>
      </c>
      <c r="BX173" s="6"/>
      <c r="BY173" s="6"/>
      <c r="BZ173" s="30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9"/>
      <c r="DB173" s="6"/>
      <c r="DC173" s="30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 t="s">
        <v>319</v>
      </c>
      <c r="DO173" s="28" t="s">
        <v>319</v>
      </c>
      <c r="DP173" s="28" t="s">
        <v>319</v>
      </c>
      <c r="DQ173" s="28" t="s">
        <v>319</v>
      </c>
      <c r="DR173" s="28" t="s">
        <v>319</v>
      </c>
      <c r="DS173" s="28" t="s">
        <v>319</v>
      </c>
      <c r="DT173" s="28" t="s">
        <v>319</v>
      </c>
      <c r="DU173" s="28" t="s">
        <v>319</v>
      </c>
      <c r="DV173" s="28" t="s">
        <v>319</v>
      </c>
      <c r="DW173" s="28" t="s">
        <v>319</v>
      </c>
      <c r="DX173" s="28" t="s">
        <v>319</v>
      </c>
      <c r="DY173" s="28" t="s">
        <v>319</v>
      </c>
      <c r="DZ173" s="28" t="s">
        <v>319</v>
      </c>
      <c r="EA173" s="28" t="s">
        <v>319</v>
      </c>
      <c r="EB173" s="28" t="s">
        <v>319</v>
      </c>
      <c r="EC173" s="28" t="s">
        <v>319</v>
      </c>
      <c r="ED173" s="28" t="s">
        <v>319</v>
      </c>
      <c r="EE173" s="28"/>
      <c r="EF173" s="28" t="s">
        <v>319</v>
      </c>
      <c r="EG173" s="28" t="s">
        <v>319</v>
      </c>
      <c r="EH173" s="28" t="s">
        <v>319</v>
      </c>
      <c r="EI173" s="28" t="s">
        <v>319</v>
      </c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7"/>
      <c r="FK173" s="15" t="s">
        <v>1060</v>
      </c>
      <c r="FL173" s="6"/>
      <c r="FM173" s="94"/>
    </row>
    <row r="174" spans="1:169" s="3" customFormat="1" ht="34.799999999999997" x14ac:dyDescent="0.4">
      <c r="A174" s="93"/>
      <c r="B174" s="93"/>
      <c r="C174" s="26"/>
      <c r="D174" s="27" t="s">
        <v>319</v>
      </c>
      <c r="E174" s="2" t="s">
        <v>368</v>
      </c>
      <c r="F174" s="28" t="s">
        <v>319</v>
      </c>
      <c r="G174" s="28" t="s">
        <v>319</v>
      </c>
      <c r="H174" s="28" t="s">
        <v>319</v>
      </c>
      <c r="I174" s="6" t="s">
        <v>633</v>
      </c>
      <c r="J174" s="28" t="s">
        <v>319</v>
      </c>
      <c r="K174" s="28" t="s">
        <v>319</v>
      </c>
      <c r="L174" s="28" t="s">
        <v>319</v>
      </c>
      <c r="M174" s="28" t="s">
        <v>319</v>
      </c>
      <c r="N174" s="28" t="s">
        <v>319</v>
      </c>
      <c r="O174" s="28" t="s">
        <v>319</v>
      </c>
      <c r="P174" s="28" t="s">
        <v>319</v>
      </c>
      <c r="Q174" s="5" t="s">
        <v>673</v>
      </c>
      <c r="R174" s="5" t="s">
        <v>667</v>
      </c>
      <c r="S174" s="6" t="s">
        <v>678</v>
      </c>
      <c r="T174" s="107" t="s">
        <v>1313</v>
      </c>
      <c r="U174" s="5">
        <v>9221.7000000000007</v>
      </c>
      <c r="V174" s="107" t="s">
        <v>1314</v>
      </c>
      <c r="W174" s="6" t="s">
        <v>665</v>
      </c>
      <c r="X174" s="5"/>
      <c r="Y174" s="5">
        <v>5.83</v>
      </c>
      <c r="Z174" s="5"/>
      <c r="AA174" s="6" t="s">
        <v>963</v>
      </c>
      <c r="AB174" s="5"/>
      <c r="AC174" s="5">
        <v>1.17</v>
      </c>
      <c r="AD174" s="5"/>
      <c r="AE174" s="6" t="s">
        <v>956</v>
      </c>
      <c r="AF174" s="6"/>
      <c r="AG174" s="12">
        <v>57.9</v>
      </c>
      <c r="AH174" s="6"/>
      <c r="AI174" s="6" t="s">
        <v>973</v>
      </c>
      <c r="AJ174" s="108"/>
      <c r="AK174" s="5">
        <v>1.251E-2</v>
      </c>
      <c r="AL174" s="6"/>
      <c r="AM174" s="6"/>
      <c r="AN174" s="6"/>
      <c r="AO174" s="5"/>
      <c r="AP174" s="6"/>
      <c r="AQ174" s="28" t="s">
        <v>319</v>
      </c>
      <c r="AR174" s="28" t="s">
        <v>319</v>
      </c>
      <c r="AS174" s="28" t="s">
        <v>319</v>
      </c>
      <c r="AT174" s="28" t="s">
        <v>319</v>
      </c>
      <c r="AU174" s="28" t="s">
        <v>319</v>
      </c>
      <c r="AV174" s="28" t="s">
        <v>319</v>
      </c>
      <c r="AW174" s="28" t="s">
        <v>319</v>
      </c>
      <c r="AX174" s="28" t="s">
        <v>319</v>
      </c>
      <c r="AY174" s="28" t="s">
        <v>319</v>
      </c>
      <c r="AZ174" s="28" t="s">
        <v>319</v>
      </c>
      <c r="BA174" s="28" t="s">
        <v>319</v>
      </c>
      <c r="BB174" s="6" t="s">
        <v>984</v>
      </c>
      <c r="BC174" s="5">
        <v>75</v>
      </c>
      <c r="BD174" s="115" t="s">
        <v>1313</v>
      </c>
      <c r="BE174" s="6" t="s">
        <v>1008</v>
      </c>
      <c r="BF174" s="6"/>
      <c r="BG174" s="12">
        <v>7.5</v>
      </c>
      <c r="BH174" s="28" t="s">
        <v>319</v>
      </c>
      <c r="BI174" s="28" t="s">
        <v>319</v>
      </c>
      <c r="BJ174" s="28" t="s">
        <v>319</v>
      </c>
      <c r="BK174" s="28" t="s">
        <v>319</v>
      </c>
      <c r="BL174" s="28" t="s">
        <v>319</v>
      </c>
      <c r="BM174" s="28" t="s">
        <v>319</v>
      </c>
      <c r="BN174" s="28" t="s">
        <v>319</v>
      </c>
      <c r="BO174" s="28" t="s">
        <v>319</v>
      </c>
      <c r="BP174" s="28" t="s">
        <v>319</v>
      </c>
      <c r="BQ174" s="28" t="s">
        <v>319</v>
      </c>
      <c r="BR174" s="5"/>
      <c r="BS174" s="5"/>
      <c r="BT174" s="6"/>
      <c r="BU174" s="5">
        <v>14.42</v>
      </c>
      <c r="BV174" s="6" t="s">
        <v>1318</v>
      </c>
      <c r="BW174" s="106" t="s">
        <v>1315</v>
      </c>
      <c r="BX174" s="6"/>
      <c r="BY174" s="6"/>
      <c r="BZ174" s="30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9"/>
      <c r="DB174" s="6"/>
      <c r="DC174" s="30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 t="s">
        <v>319</v>
      </c>
      <c r="DO174" s="28" t="s">
        <v>319</v>
      </c>
      <c r="DP174" s="28" t="s">
        <v>319</v>
      </c>
      <c r="DQ174" s="28" t="s">
        <v>319</v>
      </c>
      <c r="DR174" s="28" t="s">
        <v>319</v>
      </c>
      <c r="DS174" s="28" t="s">
        <v>319</v>
      </c>
      <c r="DT174" s="28" t="s">
        <v>319</v>
      </c>
      <c r="DU174" s="28" t="s">
        <v>319</v>
      </c>
      <c r="DV174" s="28" t="s">
        <v>319</v>
      </c>
      <c r="DW174" s="28" t="s">
        <v>319</v>
      </c>
      <c r="DX174" s="28" t="s">
        <v>319</v>
      </c>
      <c r="DY174" s="28" t="s">
        <v>319</v>
      </c>
      <c r="DZ174" s="28" t="s">
        <v>319</v>
      </c>
      <c r="EA174" s="28" t="s">
        <v>319</v>
      </c>
      <c r="EB174" s="28" t="s">
        <v>319</v>
      </c>
      <c r="EC174" s="28" t="s">
        <v>319</v>
      </c>
      <c r="ED174" s="28" t="s">
        <v>319</v>
      </c>
      <c r="EE174" s="28"/>
      <c r="EF174" s="28" t="s">
        <v>319</v>
      </c>
      <c r="EG174" s="28" t="s">
        <v>319</v>
      </c>
      <c r="EH174" s="28" t="s">
        <v>319</v>
      </c>
      <c r="EI174" s="28" t="s">
        <v>319</v>
      </c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7"/>
      <c r="FK174" s="15" t="s">
        <v>1059</v>
      </c>
      <c r="FL174" s="6"/>
      <c r="FM174" s="94"/>
    </row>
    <row r="175" spans="1:169" s="3" customFormat="1" ht="34.799999999999997" x14ac:dyDescent="0.4">
      <c r="A175" s="93"/>
      <c r="B175" s="93"/>
      <c r="C175" s="26"/>
      <c r="D175" s="27" t="s">
        <v>319</v>
      </c>
      <c r="E175" s="2" t="s">
        <v>368</v>
      </c>
      <c r="F175" s="28" t="s">
        <v>319</v>
      </c>
      <c r="G175" s="28" t="s">
        <v>319</v>
      </c>
      <c r="H175" s="28" t="s">
        <v>319</v>
      </c>
      <c r="I175" s="6" t="s">
        <v>633</v>
      </c>
      <c r="J175" s="28" t="s">
        <v>319</v>
      </c>
      <c r="K175" s="28" t="s">
        <v>319</v>
      </c>
      <c r="L175" s="28" t="s">
        <v>319</v>
      </c>
      <c r="M175" s="28" t="s">
        <v>319</v>
      </c>
      <c r="N175" s="28" t="s">
        <v>319</v>
      </c>
      <c r="O175" s="28" t="s">
        <v>319</v>
      </c>
      <c r="P175" s="28" t="s">
        <v>319</v>
      </c>
      <c r="Q175" s="5" t="s">
        <v>673</v>
      </c>
      <c r="R175" s="5" t="s">
        <v>667</v>
      </c>
      <c r="S175" s="6" t="s">
        <v>664</v>
      </c>
      <c r="T175" s="107" t="s">
        <v>680</v>
      </c>
      <c r="U175" s="5">
        <v>37043</v>
      </c>
      <c r="V175" s="107" t="s">
        <v>680</v>
      </c>
      <c r="W175" s="6" t="s">
        <v>665</v>
      </c>
      <c r="X175" s="5"/>
      <c r="Y175" s="5">
        <v>5.82</v>
      </c>
      <c r="Z175" s="5"/>
      <c r="AA175" s="6" t="s">
        <v>955</v>
      </c>
      <c r="AB175" s="5"/>
      <c r="AC175" s="5">
        <v>1.0900000000000001</v>
      </c>
      <c r="AD175" s="5"/>
      <c r="AE175" s="6" t="s">
        <v>956</v>
      </c>
      <c r="AF175" s="6"/>
      <c r="AG175" s="12">
        <v>51.8</v>
      </c>
      <c r="AH175" s="6"/>
      <c r="AI175" s="6" t="s">
        <v>957</v>
      </c>
      <c r="AJ175" s="108"/>
      <c r="AK175" s="5">
        <v>1.231E-2</v>
      </c>
      <c r="AL175" s="6"/>
      <c r="AM175" s="6"/>
      <c r="AN175" s="6"/>
      <c r="AO175" s="5"/>
      <c r="AP175" s="6"/>
      <c r="AQ175" s="28" t="s">
        <v>319</v>
      </c>
      <c r="AR175" s="28" t="s">
        <v>319</v>
      </c>
      <c r="AS175" s="28" t="s">
        <v>319</v>
      </c>
      <c r="AT175" s="28" t="s">
        <v>319</v>
      </c>
      <c r="AU175" s="28" t="s">
        <v>319</v>
      </c>
      <c r="AV175" s="28" t="s">
        <v>319</v>
      </c>
      <c r="AW175" s="28" t="s">
        <v>319</v>
      </c>
      <c r="AX175" s="28" t="s">
        <v>319</v>
      </c>
      <c r="AY175" s="28" t="s">
        <v>319</v>
      </c>
      <c r="AZ175" s="28" t="s">
        <v>319</v>
      </c>
      <c r="BA175" s="28" t="s">
        <v>319</v>
      </c>
      <c r="BB175" s="6" t="s">
        <v>984</v>
      </c>
      <c r="BC175" s="5">
        <v>75</v>
      </c>
      <c r="BD175" s="115" t="s">
        <v>680</v>
      </c>
      <c r="BE175" s="6" t="s">
        <v>1008</v>
      </c>
      <c r="BF175" s="6"/>
      <c r="BG175" s="12">
        <v>7.5</v>
      </c>
      <c r="BH175" s="28" t="s">
        <v>319</v>
      </c>
      <c r="BI175" s="28" t="s">
        <v>319</v>
      </c>
      <c r="BJ175" s="28" t="s">
        <v>319</v>
      </c>
      <c r="BK175" s="28" t="s">
        <v>319</v>
      </c>
      <c r="BL175" s="28" t="s">
        <v>319</v>
      </c>
      <c r="BM175" s="28" t="s">
        <v>319</v>
      </c>
      <c r="BN175" s="28" t="s">
        <v>319</v>
      </c>
      <c r="BO175" s="28" t="s">
        <v>319</v>
      </c>
      <c r="BP175" s="28" t="s">
        <v>319</v>
      </c>
      <c r="BQ175" s="28" t="s">
        <v>319</v>
      </c>
      <c r="BR175" s="5"/>
      <c r="BS175" s="5"/>
      <c r="BT175" s="6"/>
      <c r="BU175" s="5">
        <v>14.49</v>
      </c>
      <c r="BV175" s="6" t="s">
        <v>1368</v>
      </c>
      <c r="BW175" s="106" t="s">
        <v>1316</v>
      </c>
      <c r="BX175" s="6"/>
      <c r="BY175" s="6"/>
      <c r="BZ175" s="30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9"/>
      <c r="DB175" s="6"/>
      <c r="DC175" s="30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 t="s">
        <v>319</v>
      </c>
      <c r="DO175" s="28" t="s">
        <v>319</v>
      </c>
      <c r="DP175" s="28" t="s">
        <v>319</v>
      </c>
      <c r="DQ175" s="28" t="s">
        <v>319</v>
      </c>
      <c r="DR175" s="28" t="s">
        <v>319</v>
      </c>
      <c r="DS175" s="28" t="s">
        <v>319</v>
      </c>
      <c r="DT175" s="28" t="s">
        <v>319</v>
      </c>
      <c r="DU175" s="28" t="s">
        <v>319</v>
      </c>
      <c r="DV175" s="28" t="s">
        <v>319</v>
      </c>
      <c r="DW175" s="28" t="s">
        <v>319</v>
      </c>
      <c r="DX175" s="28" t="s">
        <v>319</v>
      </c>
      <c r="DY175" s="28" t="s">
        <v>319</v>
      </c>
      <c r="DZ175" s="28" t="s">
        <v>319</v>
      </c>
      <c r="EA175" s="28" t="s">
        <v>319</v>
      </c>
      <c r="EB175" s="28" t="s">
        <v>319</v>
      </c>
      <c r="EC175" s="28" t="s">
        <v>319</v>
      </c>
      <c r="ED175" s="28" t="s">
        <v>319</v>
      </c>
      <c r="EE175" s="28"/>
      <c r="EF175" s="28" t="s">
        <v>319</v>
      </c>
      <c r="EG175" s="28" t="s">
        <v>319</v>
      </c>
      <c r="EH175" s="28" t="s">
        <v>319</v>
      </c>
      <c r="EI175" s="28" t="s">
        <v>319</v>
      </c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7"/>
      <c r="FK175" s="15" t="s">
        <v>1059</v>
      </c>
      <c r="FL175" s="6"/>
      <c r="FM175" s="94"/>
    </row>
    <row r="176" spans="1:169" s="3" customFormat="1" ht="34.799999999999997" x14ac:dyDescent="0.4">
      <c r="A176" s="93"/>
      <c r="B176" s="93"/>
      <c r="C176" s="26"/>
      <c r="D176" s="27" t="s">
        <v>319</v>
      </c>
      <c r="E176" s="2" t="s">
        <v>368</v>
      </c>
      <c r="F176" s="28" t="s">
        <v>319</v>
      </c>
      <c r="G176" s="28" t="s">
        <v>319</v>
      </c>
      <c r="H176" s="28" t="s">
        <v>319</v>
      </c>
      <c r="I176" s="6" t="s">
        <v>633</v>
      </c>
      <c r="J176" s="28" t="s">
        <v>319</v>
      </c>
      <c r="K176" s="28" t="s">
        <v>319</v>
      </c>
      <c r="L176" s="28" t="s">
        <v>319</v>
      </c>
      <c r="M176" s="28" t="s">
        <v>319</v>
      </c>
      <c r="N176" s="28" t="s">
        <v>319</v>
      </c>
      <c r="O176" s="28" t="s">
        <v>319</v>
      </c>
      <c r="P176" s="28" t="s">
        <v>319</v>
      </c>
      <c r="Q176" s="5" t="s">
        <v>673</v>
      </c>
      <c r="R176" s="5" t="s">
        <v>667</v>
      </c>
      <c r="S176" s="6" t="s">
        <v>664</v>
      </c>
      <c r="T176" s="107" t="s">
        <v>680</v>
      </c>
      <c r="U176" s="5">
        <v>45182</v>
      </c>
      <c r="V176" s="107" t="s">
        <v>680</v>
      </c>
      <c r="W176" s="6" t="s">
        <v>665</v>
      </c>
      <c r="X176" s="5"/>
      <c r="Y176" s="111">
        <v>5.8209999999999997</v>
      </c>
      <c r="Z176" s="5"/>
      <c r="AA176" s="6" t="s">
        <v>955</v>
      </c>
      <c r="AB176" s="5"/>
      <c r="AC176" s="5">
        <v>2.5</v>
      </c>
      <c r="AD176" s="5"/>
      <c r="AE176" s="6" t="s">
        <v>956</v>
      </c>
      <c r="AF176" s="6"/>
      <c r="AG176" s="12">
        <v>77.7</v>
      </c>
      <c r="AH176" s="6"/>
      <c r="AI176" s="6" t="s">
        <v>957</v>
      </c>
      <c r="AJ176" s="108"/>
      <c r="AK176" s="5">
        <v>1.3089999999999999E-2</v>
      </c>
      <c r="AL176" s="6"/>
      <c r="AM176" s="6"/>
      <c r="AN176" s="6"/>
      <c r="AO176" s="5"/>
      <c r="AP176" s="6"/>
      <c r="AQ176" s="28" t="s">
        <v>319</v>
      </c>
      <c r="AR176" s="28" t="s">
        <v>319</v>
      </c>
      <c r="AS176" s="28" t="s">
        <v>319</v>
      </c>
      <c r="AT176" s="28" t="s">
        <v>319</v>
      </c>
      <c r="AU176" s="28" t="s">
        <v>319</v>
      </c>
      <c r="AV176" s="28" t="s">
        <v>319</v>
      </c>
      <c r="AW176" s="28" t="s">
        <v>319</v>
      </c>
      <c r="AX176" s="28" t="s">
        <v>319</v>
      </c>
      <c r="AY176" s="28" t="s">
        <v>319</v>
      </c>
      <c r="AZ176" s="28" t="s">
        <v>319</v>
      </c>
      <c r="BA176" s="28" t="s">
        <v>319</v>
      </c>
      <c r="BB176" s="6" t="s">
        <v>984</v>
      </c>
      <c r="BC176" s="5">
        <v>75</v>
      </c>
      <c r="BD176" s="115" t="s">
        <v>680</v>
      </c>
      <c r="BE176" s="6" t="s">
        <v>1008</v>
      </c>
      <c r="BF176" s="6"/>
      <c r="BG176" s="12">
        <v>7.5</v>
      </c>
      <c r="BH176" s="28" t="s">
        <v>319</v>
      </c>
      <c r="BI176" s="28" t="s">
        <v>319</v>
      </c>
      <c r="BJ176" s="28" t="s">
        <v>319</v>
      </c>
      <c r="BK176" s="28" t="s">
        <v>319</v>
      </c>
      <c r="BL176" s="28" t="s">
        <v>319</v>
      </c>
      <c r="BM176" s="28" t="s">
        <v>319</v>
      </c>
      <c r="BN176" s="28" t="s">
        <v>319</v>
      </c>
      <c r="BO176" s="28" t="s">
        <v>319</v>
      </c>
      <c r="BP176" s="28" t="s">
        <v>319</v>
      </c>
      <c r="BQ176" s="28" t="s">
        <v>319</v>
      </c>
      <c r="BR176" s="5"/>
      <c r="BS176" s="5"/>
      <c r="BT176" s="6"/>
      <c r="BU176" s="5">
        <v>14.49</v>
      </c>
      <c r="BV176" s="6" t="s">
        <v>1319</v>
      </c>
      <c r="BW176" s="106" t="s">
        <v>1317</v>
      </c>
      <c r="BX176" s="6"/>
      <c r="BY176" s="6"/>
      <c r="BZ176" s="30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9"/>
      <c r="DB176" s="6"/>
      <c r="DC176" s="30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 t="s">
        <v>319</v>
      </c>
      <c r="DO176" s="28" t="s">
        <v>319</v>
      </c>
      <c r="DP176" s="28" t="s">
        <v>319</v>
      </c>
      <c r="DQ176" s="28" t="s">
        <v>319</v>
      </c>
      <c r="DR176" s="28" t="s">
        <v>319</v>
      </c>
      <c r="DS176" s="28" t="s">
        <v>319</v>
      </c>
      <c r="DT176" s="28" t="s">
        <v>319</v>
      </c>
      <c r="DU176" s="28" t="s">
        <v>319</v>
      </c>
      <c r="DV176" s="28" t="s">
        <v>319</v>
      </c>
      <c r="DW176" s="28" t="s">
        <v>319</v>
      </c>
      <c r="DX176" s="28" t="s">
        <v>319</v>
      </c>
      <c r="DY176" s="28" t="s">
        <v>319</v>
      </c>
      <c r="DZ176" s="28" t="s">
        <v>319</v>
      </c>
      <c r="EA176" s="28" t="s">
        <v>319</v>
      </c>
      <c r="EB176" s="28" t="s">
        <v>319</v>
      </c>
      <c r="EC176" s="28" t="s">
        <v>319</v>
      </c>
      <c r="ED176" s="28" t="s">
        <v>319</v>
      </c>
      <c r="EE176" s="28"/>
      <c r="EF176" s="28" t="s">
        <v>319</v>
      </c>
      <c r="EG176" s="28" t="s">
        <v>319</v>
      </c>
      <c r="EH176" s="28" t="s">
        <v>319</v>
      </c>
      <c r="EI176" s="28" t="s">
        <v>319</v>
      </c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7"/>
      <c r="FK176" s="15" t="s">
        <v>1059</v>
      </c>
      <c r="FL176" s="6"/>
      <c r="FM176" s="94"/>
    </row>
    <row r="177" spans="1:169" s="3" customFormat="1" x14ac:dyDescent="0.4">
      <c r="A177" s="93"/>
      <c r="B177" s="93"/>
      <c r="C177" s="26"/>
      <c r="D177" s="27" t="s">
        <v>319</v>
      </c>
      <c r="E177" s="2" t="s">
        <v>466</v>
      </c>
      <c r="F177" s="28" t="s">
        <v>319</v>
      </c>
      <c r="G177" s="28" t="s">
        <v>319</v>
      </c>
      <c r="H177" s="28" t="s">
        <v>319</v>
      </c>
      <c r="I177" s="6" t="s">
        <v>633</v>
      </c>
      <c r="J177" s="28" t="s">
        <v>319</v>
      </c>
      <c r="K177" s="28" t="s">
        <v>319</v>
      </c>
      <c r="L177" s="28" t="s">
        <v>319</v>
      </c>
      <c r="M177" s="28" t="s">
        <v>319</v>
      </c>
      <c r="N177" s="28" t="s">
        <v>319</v>
      </c>
      <c r="O177" s="28" t="s">
        <v>319</v>
      </c>
      <c r="P177" s="28" t="s">
        <v>319</v>
      </c>
      <c r="Q177" s="5" t="s">
        <v>673</v>
      </c>
      <c r="R177" s="5" t="s">
        <v>663</v>
      </c>
      <c r="S177" s="6" t="s">
        <v>678</v>
      </c>
      <c r="T177" s="5"/>
      <c r="U177" s="5" t="s">
        <v>842</v>
      </c>
      <c r="V177" s="107" t="s">
        <v>1252</v>
      </c>
      <c r="W177" s="6" t="s">
        <v>665</v>
      </c>
      <c r="X177" s="5"/>
      <c r="Y177" s="105">
        <v>4.22</v>
      </c>
      <c r="Z177" s="5"/>
      <c r="AA177" s="6" t="s">
        <v>963</v>
      </c>
      <c r="AB177" s="6"/>
      <c r="AC177" s="6">
        <v>3.7199999999999998</v>
      </c>
      <c r="AD177" s="6"/>
      <c r="AE177" s="6" t="s">
        <v>975</v>
      </c>
      <c r="AF177" s="6"/>
      <c r="AG177" s="12">
        <v>35</v>
      </c>
      <c r="AH177" s="6"/>
      <c r="AI177" s="6" t="s">
        <v>965</v>
      </c>
      <c r="AJ177" s="108"/>
      <c r="AK177" s="108">
        <v>0.11600000000000001</v>
      </c>
      <c r="AL177" s="6"/>
      <c r="AM177" s="6" t="s">
        <v>958</v>
      </c>
      <c r="AN177" s="6"/>
      <c r="AO177" s="105">
        <v>4.95</v>
      </c>
      <c r="AP177" s="6"/>
      <c r="AQ177" s="28" t="s">
        <v>319</v>
      </c>
      <c r="AR177" s="28" t="s">
        <v>319</v>
      </c>
      <c r="AS177" s="28" t="s">
        <v>319</v>
      </c>
      <c r="AT177" s="28" t="s">
        <v>319</v>
      </c>
      <c r="AU177" s="28" t="s">
        <v>319</v>
      </c>
      <c r="AV177" s="28" t="s">
        <v>319</v>
      </c>
      <c r="AW177" s="28" t="s">
        <v>319</v>
      </c>
      <c r="AX177" s="28" t="s">
        <v>319</v>
      </c>
      <c r="AY177" s="28" t="s">
        <v>319</v>
      </c>
      <c r="AZ177" s="28" t="s">
        <v>319</v>
      </c>
      <c r="BA177" s="28" t="s">
        <v>319</v>
      </c>
      <c r="BB177" s="6" t="s">
        <v>984</v>
      </c>
      <c r="BC177" s="106">
        <v>-190</v>
      </c>
      <c r="BD177" s="106">
        <v>190</v>
      </c>
      <c r="BE177" s="6" t="s">
        <v>1010</v>
      </c>
      <c r="BF177" s="181" t="s">
        <v>1448</v>
      </c>
      <c r="BG177" s="12">
        <v>6</v>
      </c>
      <c r="BH177" s="28" t="s">
        <v>319</v>
      </c>
      <c r="BI177" s="28" t="s">
        <v>319</v>
      </c>
      <c r="BJ177" s="28" t="s">
        <v>319</v>
      </c>
      <c r="BK177" s="28" t="s">
        <v>319</v>
      </c>
      <c r="BL177" s="28" t="s">
        <v>319</v>
      </c>
      <c r="BM177" s="28" t="s">
        <v>319</v>
      </c>
      <c r="BN177" s="28" t="s">
        <v>319</v>
      </c>
      <c r="BO177" s="28" t="s">
        <v>319</v>
      </c>
      <c r="BP177" s="28" t="s">
        <v>319</v>
      </c>
      <c r="BQ177" s="28" t="s">
        <v>319</v>
      </c>
      <c r="BR177" s="105">
        <v>46.15</v>
      </c>
      <c r="BS177" s="12">
        <v>426.1</v>
      </c>
      <c r="BT177" s="6"/>
      <c r="BU177" s="5"/>
      <c r="BV177" s="6"/>
      <c r="BW177" s="5"/>
      <c r="BX177" s="6" t="s">
        <v>1054</v>
      </c>
      <c r="BY177" s="6"/>
      <c r="BZ177" s="30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9"/>
      <c r="DB177" s="6"/>
      <c r="DC177" s="30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 t="s">
        <v>319</v>
      </c>
      <c r="DO177" s="28" t="s">
        <v>319</v>
      </c>
      <c r="DP177" s="28" t="s">
        <v>319</v>
      </c>
      <c r="DQ177" s="28" t="s">
        <v>319</v>
      </c>
      <c r="DR177" s="28" t="s">
        <v>319</v>
      </c>
      <c r="DS177" s="28" t="s">
        <v>319</v>
      </c>
      <c r="DT177" s="28" t="s">
        <v>319</v>
      </c>
      <c r="DU177" s="28" t="s">
        <v>319</v>
      </c>
      <c r="DV177" s="28" t="s">
        <v>319</v>
      </c>
      <c r="DW177" s="28" t="s">
        <v>319</v>
      </c>
      <c r="DX177" s="28" t="s">
        <v>319</v>
      </c>
      <c r="DY177" s="28" t="s">
        <v>319</v>
      </c>
      <c r="DZ177" s="28" t="s">
        <v>319</v>
      </c>
      <c r="EA177" s="28" t="s">
        <v>319</v>
      </c>
      <c r="EB177" s="28" t="s">
        <v>319</v>
      </c>
      <c r="EC177" s="28" t="s">
        <v>319</v>
      </c>
      <c r="ED177" s="28" t="s">
        <v>319</v>
      </c>
      <c r="EE177" s="28"/>
      <c r="EF177" s="28" t="s">
        <v>319</v>
      </c>
      <c r="EG177" s="28" t="s">
        <v>319</v>
      </c>
      <c r="EH177" s="28" t="s">
        <v>319</v>
      </c>
      <c r="EI177" s="28" t="s">
        <v>319</v>
      </c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7"/>
      <c r="FK177" s="6"/>
      <c r="FL177" s="6"/>
      <c r="FM177" s="97"/>
    </row>
    <row r="178" spans="1:169" s="3" customFormat="1" x14ac:dyDescent="0.4">
      <c r="A178" s="93"/>
      <c r="B178" s="93"/>
      <c r="C178" s="26"/>
      <c r="D178" s="27" t="s">
        <v>319</v>
      </c>
      <c r="E178" s="2" t="s">
        <v>498</v>
      </c>
      <c r="F178" s="28" t="s">
        <v>319</v>
      </c>
      <c r="G178" s="28" t="s">
        <v>319</v>
      </c>
      <c r="H178" s="28" t="s">
        <v>319</v>
      </c>
      <c r="I178" s="6" t="s">
        <v>634</v>
      </c>
      <c r="J178" s="28" t="s">
        <v>319</v>
      </c>
      <c r="K178" s="28" t="s">
        <v>319</v>
      </c>
      <c r="L178" s="28" t="s">
        <v>319</v>
      </c>
      <c r="M178" s="28" t="s">
        <v>319</v>
      </c>
      <c r="N178" s="28" t="s">
        <v>319</v>
      </c>
      <c r="O178" s="28" t="s">
        <v>319</v>
      </c>
      <c r="P178" s="28" t="s">
        <v>319</v>
      </c>
      <c r="Q178" s="5" t="s">
        <v>742</v>
      </c>
      <c r="R178" s="5" t="s">
        <v>667</v>
      </c>
      <c r="S178" s="6" t="s">
        <v>669</v>
      </c>
      <c r="T178" s="5"/>
      <c r="U178" s="5" t="s">
        <v>843</v>
      </c>
      <c r="V178" s="5"/>
      <c r="W178" s="6" t="s">
        <v>665</v>
      </c>
      <c r="X178" s="5"/>
      <c r="Y178" s="105">
        <v>5.65</v>
      </c>
      <c r="Z178" s="5"/>
      <c r="AA178" s="6" t="s">
        <v>963</v>
      </c>
      <c r="AB178" s="6"/>
      <c r="AC178" s="6">
        <v>5.15</v>
      </c>
      <c r="AD178" s="6"/>
      <c r="AE178" s="6" t="s">
        <v>956</v>
      </c>
      <c r="AF178" s="6"/>
      <c r="AG178" s="12">
        <v>61.6</v>
      </c>
      <c r="AH178" s="6"/>
      <c r="AI178" s="6" t="s">
        <v>973</v>
      </c>
      <c r="AJ178" s="108"/>
      <c r="AK178" s="112">
        <v>1.24E-2</v>
      </c>
      <c r="AL178" s="6"/>
      <c r="AM178" s="6"/>
      <c r="AN178" s="6"/>
      <c r="AO178" s="5"/>
      <c r="AP178" s="6"/>
      <c r="AQ178" s="28" t="s">
        <v>319</v>
      </c>
      <c r="AR178" s="28" t="s">
        <v>319</v>
      </c>
      <c r="AS178" s="28" t="s">
        <v>319</v>
      </c>
      <c r="AT178" s="28" t="s">
        <v>319</v>
      </c>
      <c r="AU178" s="28" t="s">
        <v>319</v>
      </c>
      <c r="AV178" s="28" t="s">
        <v>319</v>
      </c>
      <c r="AW178" s="28" t="s">
        <v>319</v>
      </c>
      <c r="AX178" s="28" t="s">
        <v>319</v>
      </c>
      <c r="AY178" s="28" t="s">
        <v>319</v>
      </c>
      <c r="AZ178" s="28" t="s">
        <v>319</v>
      </c>
      <c r="BA178" s="28" t="s">
        <v>319</v>
      </c>
      <c r="BB178" s="6" t="s">
        <v>984</v>
      </c>
      <c r="BC178" s="5" t="s">
        <v>681</v>
      </c>
      <c r="BD178" s="106">
        <v>230</v>
      </c>
      <c r="BE178" s="6" t="s">
        <v>1008</v>
      </c>
      <c r="BF178" s="6"/>
      <c r="BG178" s="12">
        <v>7.5</v>
      </c>
      <c r="BH178" s="28" t="s">
        <v>319</v>
      </c>
      <c r="BI178" s="28" t="s">
        <v>319</v>
      </c>
      <c r="BJ178" s="28" t="s">
        <v>319</v>
      </c>
      <c r="BK178" s="28" t="s">
        <v>319</v>
      </c>
      <c r="BL178" s="28" t="s">
        <v>319</v>
      </c>
      <c r="BM178" s="28" t="s">
        <v>319</v>
      </c>
      <c r="BN178" s="28" t="s">
        <v>319</v>
      </c>
      <c r="BO178" s="28" t="s">
        <v>319</v>
      </c>
      <c r="BP178" s="28" t="s">
        <v>319</v>
      </c>
      <c r="BQ178" s="28" t="s">
        <v>319</v>
      </c>
      <c r="BR178" s="5"/>
      <c r="BS178" s="105"/>
      <c r="BT178" s="6"/>
      <c r="BU178" s="12">
        <v>14.5</v>
      </c>
      <c r="BV178" s="100">
        <v>0.996</v>
      </c>
      <c r="BW178" s="105">
        <v>1.31</v>
      </c>
      <c r="BX178" s="6"/>
      <c r="BY178" s="6"/>
      <c r="BZ178" s="30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9"/>
      <c r="DB178" s="6"/>
      <c r="DC178" s="30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 t="s">
        <v>319</v>
      </c>
      <c r="DO178" s="28" t="s">
        <v>319</v>
      </c>
      <c r="DP178" s="28" t="s">
        <v>319</v>
      </c>
      <c r="DQ178" s="28" t="s">
        <v>319</v>
      </c>
      <c r="DR178" s="28" t="s">
        <v>319</v>
      </c>
      <c r="DS178" s="28" t="s">
        <v>319</v>
      </c>
      <c r="DT178" s="28" t="s">
        <v>319</v>
      </c>
      <c r="DU178" s="28" t="s">
        <v>319</v>
      </c>
      <c r="DV178" s="28" t="s">
        <v>319</v>
      </c>
      <c r="DW178" s="28" t="s">
        <v>319</v>
      </c>
      <c r="DX178" s="28" t="s">
        <v>319</v>
      </c>
      <c r="DY178" s="28" t="s">
        <v>319</v>
      </c>
      <c r="DZ178" s="28" t="s">
        <v>319</v>
      </c>
      <c r="EA178" s="28" t="s">
        <v>319</v>
      </c>
      <c r="EB178" s="28" t="s">
        <v>319</v>
      </c>
      <c r="EC178" s="28" t="s">
        <v>319</v>
      </c>
      <c r="ED178" s="28" t="s">
        <v>319</v>
      </c>
      <c r="EE178" s="28"/>
      <c r="EF178" s="28" t="s">
        <v>319</v>
      </c>
      <c r="EG178" s="28" t="s">
        <v>319</v>
      </c>
      <c r="EH178" s="28" t="s">
        <v>319</v>
      </c>
      <c r="EI178" s="28" t="s">
        <v>319</v>
      </c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7"/>
      <c r="FK178" s="6"/>
      <c r="FL178" s="6"/>
      <c r="FM178" s="94"/>
    </row>
    <row r="179" spans="1:169" s="3" customFormat="1" x14ac:dyDescent="0.4">
      <c r="A179" s="93"/>
      <c r="B179" s="93"/>
      <c r="C179" s="26"/>
      <c r="D179" s="27" t="s">
        <v>319</v>
      </c>
      <c r="E179" s="2" t="s">
        <v>369</v>
      </c>
      <c r="F179" s="28" t="s">
        <v>319</v>
      </c>
      <c r="G179" s="28" t="s">
        <v>319</v>
      </c>
      <c r="H179" s="28" t="s">
        <v>319</v>
      </c>
      <c r="I179" s="6" t="s">
        <v>635</v>
      </c>
      <c r="J179" s="28" t="s">
        <v>319</v>
      </c>
      <c r="K179" s="28" t="s">
        <v>319</v>
      </c>
      <c r="L179" s="28" t="s">
        <v>319</v>
      </c>
      <c r="M179" s="28" t="s">
        <v>319</v>
      </c>
      <c r="N179" s="28" t="s">
        <v>319</v>
      </c>
      <c r="O179" s="28" t="s">
        <v>319</v>
      </c>
      <c r="P179" s="28" t="s">
        <v>319</v>
      </c>
      <c r="Q179" s="5" t="s">
        <v>721</v>
      </c>
      <c r="R179" s="5" t="s">
        <v>663</v>
      </c>
      <c r="S179" s="6" t="s">
        <v>678</v>
      </c>
      <c r="T179" s="106">
        <v>20661</v>
      </c>
      <c r="U179" s="106">
        <v>34435</v>
      </c>
      <c r="V179" s="106">
        <v>98200</v>
      </c>
      <c r="W179" s="6" t="s">
        <v>665</v>
      </c>
      <c r="X179" s="105">
        <v>16.72</v>
      </c>
      <c r="Y179" s="105">
        <v>16.670000000000002</v>
      </c>
      <c r="Z179" s="105">
        <v>16.39</v>
      </c>
      <c r="AA179" s="6" t="s">
        <v>963</v>
      </c>
      <c r="AB179" s="6">
        <v>13.219999999999999</v>
      </c>
      <c r="AC179" s="6">
        <v>13.240000000000002</v>
      </c>
      <c r="AD179" s="6">
        <v>12.780000000000001</v>
      </c>
      <c r="AE179" s="6" t="s">
        <v>956</v>
      </c>
      <c r="AF179" s="6"/>
      <c r="AG179" s="12">
        <v>-28.5</v>
      </c>
      <c r="AH179" s="6"/>
      <c r="AI179" s="6" t="s">
        <v>965</v>
      </c>
      <c r="AJ179" s="108"/>
      <c r="AK179" s="108">
        <v>0.14399999999999999</v>
      </c>
      <c r="AL179" s="6"/>
      <c r="AM179" s="6" t="s">
        <v>958</v>
      </c>
      <c r="AN179" s="6"/>
      <c r="AO179" s="105">
        <v>2.2799999999999998</v>
      </c>
      <c r="AP179" s="6"/>
      <c r="AQ179" s="28" t="s">
        <v>319</v>
      </c>
      <c r="AR179" s="28" t="s">
        <v>319</v>
      </c>
      <c r="AS179" s="28" t="s">
        <v>319</v>
      </c>
      <c r="AT179" s="28" t="s">
        <v>319</v>
      </c>
      <c r="AU179" s="28" t="s">
        <v>319</v>
      </c>
      <c r="AV179" s="28" t="s">
        <v>319</v>
      </c>
      <c r="AW179" s="28" t="s">
        <v>319</v>
      </c>
      <c r="AX179" s="28" t="s">
        <v>319</v>
      </c>
      <c r="AY179" s="28" t="s">
        <v>319</v>
      </c>
      <c r="AZ179" s="28" t="s">
        <v>319</v>
      </c>
      <c r="BA179" s="28" t="s">
        <v>319</v>
      </c>
      <c r="BB179" s="6" t="s">
        <v>984</v>
      </c>
      <c r="BC179" s="106">
        <v>-47</v>
      </c>
      <c r="BD179" s="106">
        <v>100</v>
      </c>
      <c r="BE179" s="6" t="s">
        <v>1008</v>
      </c>
      <c r="BF179" s="6"/>
      <c r="BG179" s="12">
        <v>27</v>
      </c>
      <c r="BH179" s="28" t="s">
        <v>319</v>
      </c>
      <c r="BI179" s="28" t="s">
        <v>319</v>
      </c>
      <c r="BJ179" s="28" t="s">
        <v>319</v>
      </c>
      <c r="BK179" s="28" t="s">
        <v>319</v>
      </c>
      <c r="BL179" s="28" t="s">
        <v>319</v>
      </c>
      <c r="BM179" s="28" t="s">
        <v>319</v>
      </c>
      <c r="BN179" s="28" t="s">
        <v>319</v>
      </c>
      <c r="BO179" s="28" t="s">
        <v>319</v>
      </c>
      <c r="BP179" s="28" t="s">
        <v>319</v>
      </c>
      <c r="BQ179" s="28" t="s">
        <v>319</v>
      </c>
      <c r="BR179" s="12">
        <v>47.1</v>
      </c>
      <c r="BS179" s="12">
        <v>584.9</v>
      </c>
      <c r="BT179" s="6"/>
      <c r="BU179" s="5"/>
      <c r="BV179" s="6"/>
      <c r="BW179" s="5"/>
      <c r="BX179" s="6"/>
      <c r="BY179" s="6"/>
      <c r="BZ179" s="30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9"/>
      <c r="DB179" s="6"/>
      <c r="DC179" s="30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 t="s">
        <v>319</v>
      </c>
      <c r="DO179" s="28" t="s">
        <v>319</v>
      </c>
      <c r="DP179" s="28" t="s">
        <v>319</v>
      </c>
      <c r="DQ179" s="28" t="s">
        <v>319</v>
      </c>
      <c r="DR179" s="28" t="s">
        <v>319</v>
      </c>
      <c r="DS179" s="28" t="s">
        <v>319</v>
      </c>
      <c r="DT179" s="28" t="s">
        <v>319</v>
      </c>
      <c r="DU179" s="28" t="s">
        <v>319</v>
      </c>
      <c r="DV179" s="28" t="s">
        <v>319</v>
      </c>
      <c r="DW179" s="28" t="s">
        <v>319</v>
      </c>
      <c r="DX179" s="28" t="s">
        <v>319</v>
      </c>
      <c r="DY179" s="28" t="s">
        <v>319</v>
      </c>
      <c r="DZ179" s="28" t="s">
        <v>319</v>
      </c>
      <c r="EA179" s="28" t="s">
        <v>319</v>
      </c>
      <c r="EB179" s="28" t="s">
        <v>319</v>
      </c>
      <c r="EC179" s="28" t="s">
        <v>319</v>
      </c>
      <c r="ED179" s="28" t="s">
        <v>319</v>
      </c>
      <c r="EE179" s="28"/>
      <c r="EF179" s="28" t="s">
        <v>319</v>
      </c>
      <c r="EG179" s="28" t="s">
        <v>319</v>
      </c>
      <c r="EH179" s="28" t="s">
        <v>319</v>
      </c>
      <c r="EI179" s="28" t="s">
        <v>319</v>
      </c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7"/>
      <c r="FK179" s="6"/>
      <c r="FL179" s="6"/>
      <c r="FM179" s="97"/>
    </row>
    <row r="180" spans="1:169" s="3" customFormat="1" x14ac:dyDescent="0.4">
      <c r="A180" s="93"/>
      <c r="B180" s="93"/>
      <c r="C180" s="26"/>
      <c r="D180" s="27" t="s">
        <v>319</v>
      </c>
      <c r="E180" s="2" t="s">
        <v>499</v>
      </c>
      <c r="F180" s="28" t="s">
        <v>319</v>
      </c>
      <c r="G180" s="28" t="s">
        <v>319</v>
      </c>
      <c r="H180" s="28" t="s">
        <v>319</v>
      </c>
      <c r="I180" s="6" t="s">
        <v>636</v>
      </c>
      <c r="J180" s="28" t="s">
        <v>319</v>
      </c>
      <c r="K180" s="28" t="s">
        <v>319</v>
      </c>
      <c r="L180" s="28" t="s">
        <v>319</v>
      </c>
      <c r="M180" s="28" t="s">
        <v>319</v>
      </c>
      <c r="N180" s="28" t="s">
        <v>319</v>
      </c>
      <c r="O180" s="28" t="s">
        <v>319</v>
      </c>
      <c r="P180" s="28" t="s">
        <v>319</v>
      </c>
      <c r="Q180" s="5" t="s">
        <v>666</v>
      </c>
      <c r="R180" s="5" t="s">
        <v>667</v>
      </c>
      <c r="S180" s="6" t="s">
        <v>669</v>
      </c>
      <c r="T180" s="5"/>
      <c r="U180" s="5" t="s">
        <v>844</v>
      </c>
      <c r="V180" s="5"/>
      <c r="W180" s="6" t="s">
        <v>665</v>
      </c>
      <c r="X180" s="5"/>
      <c r="Y180" s="105">
        <v>9.6999999999999993</v>
      </c>
      <c r="Z180" s="5"/>
      <c r="AA180" s="6" t="s">
        <v>963</v>
      </c>
      <c r="AB180" s="6"/>
      <c r="AC180" s="6">
        <v>9.1999999999999993</v>
      </c>
      <c r="AD180" s="6"/>
      <c r="AE180" s="6" t="s">
        <v>956</v>
      </c>
      <c r="AF180" s="6"/>
      <c r="AG180" s="12">
        <v>35</v>
      </c>
      <c r="AH180" s="6"/>
      <c r="AI180" s="6" t="s">
        <v>965</v>
      </c>
      <c r="AJ180" s="112"/>
      <c r="AK180" s="112">
        <v>0.01</v>
      </c>
      <c r="AL180" s="6"/>
      <c r="AM180" s="6"/>
      <c r="AN180" s="6"/>
      <c r="AO180" s="5"/>
      <c r="AP180" s="6"/>
      <c r="AQ180" s="28" t="s">
        <v>319</v>
      </c>
      <c r="AR180" s="28" t="s">
        <v>319</v>
      </c>
      <c r="AS180" s="28" t="s">
        <v>319</v>
      </c>
      <c r="AT180" s="28" t="s">
        <v>319</v>
      </c>
      <c r="AU180" s="28" t="s">
        <v>319</v>
      </c>
      <c r="AV180" s="28" t="s">
        <v>319</v>
      </c>
      <c r="AW180" s="28" t="s">
        <v>319</v>
      </c>
      <c r="AX180" s="28" t="s">
        <v>319</v>
      </c>
      <c r="AY180" s="28" t="s">
        <v>319</v>
      </c>
      <c r="AZ180" s="28" t="s">
        <v>319</v>
      </c>
      <c r="BA180" s="28" t="s">
        <v>319</v>
      </c>
      <c r="BB180" s="6" t="s">
        <v>984</v>
      </c>
      <c r="BC180" s="106">
        <v>-89</v>
      </c>
      <c r="BD180" s="106">
        <v>65</v>
      </c>
      <c r="BE180" s="6" t="s">
        <v>1010</v>
      </c>
      <c r="BF180" s="6"/>
      <c r="BG180" s="12">
        <v>14.6</v>
      </c>
      <c r="BH180" s="28" t="s">
        <v>319</v>
      </c>
      <c r="BI180" s="28" t="s">
        <v>319</v>
      </c>
      <c r="BJ180" s="28" t="s">
        <v>319</v>
      </c>
      <c r="BK180" s="28" t="s">
        <v>319</v>
      </c>
      <c r="BL180" s="28" t="s">
        <v>319</v>
      </c>
      <c r="BM180" s="28" t="s">
        <v>319</v>
      </c>
      <c r="BN180" s="28" t="s">
        <v>319</v>
      </c>
      <c r="BO180" s="28" t="s">
        <v>319</v>
      </c>
      <c r="BP180" s="28" t="s">
        <v>319</v>
      </c>
      <c r="BQ180" s="28" t="s">
        <v>319</v>
      </c>
      <c r="BR180" s="5"/>
      <c r="BS180" s="105"/>
      <c r="BT180" s="6"/>
      <c r="BU180" s="12">
        <v>30.1</v>
      </c>
      <c r="BV180" s="6" t="s">
        <v>1033</v>
      </c>
      <c r="BW180" s="105">
        <v>1.24</v>
      </c>
      <c r="BX180" s="6"/>
      <c r="BY180" s="6"/>
      <c r="BZ180" s="30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9"/>
      <c r="DB180" s="6"/>
      <c r="DC180" s="30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 t="s">
        <v>319</v>
      </c>
      <c r="DO180" s="28" t="s">
        <v>319</v>
      </c>
      <c r="DP180" s="28" t="s">
        <v>319</v>
      </c>
      <c r="DQ180" s="28" t="s">
        <v>319</v>
      </c>
      <c r="DR180" s="28" t="s">
        <v>319</v>
      </c>
      <c r="DS180" s="28" t="s">
        <v>319</v>
      </c>
      <c r="DT180" s="28" t="s">
        <v>319</v>
      </c>
      <c r="DU180" s="28" t="s">
        <v>319</v>
      </c>
      <c r="DV180" s="28" t="s">
        <v>319</v>
      </c>
      <c r="DW180" s="28" t="s">
        <v>319</v>
      </c>
      <c r="DX180" s="28" t="s">
        <v>319</v>
      </c>
      <c r="DY180" s="28" t="s">
        <v>319</v>
      </c>
      <c r="DZ180" s="28" t="s">
        <v>319</v>
      </c>
      <c r="EA180" s="28" t="s">
        <v>319</v>
      </c>
      <c r="EB180" s="28" t="s">
        <v>319</v>
      </c>
      <c r="EC180" s="28" t="s">
        <v>319</v>
      </c>
      <c r="ED180" s="28" t="s">
        <v>319</v>
      </c>
      <c r="EE180" s="28"/>
      <c r="EF180" s="28" t="s">
        <v>319</v>
      </c>
      <c r="EG180" s="28" t="s">
        <v>319</v>
      </c>
      <c r="EH180" s="28" t="s">
        <v>319</v>
      </c>
      <c r="EI180" s="28" t="s">
        <v>319</v>
      </c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7"/>
      <c r="FK180" s="6"/>
      <c r="FL180" s="6"/>
      <c r="FM180" s="94"/>
    </row>
    <row r="181" spans="1:169" s="3" customFormat="1" x14ac:dyDescent="0.4">
      <c r="A181" s="93"/>
      <c r="B181" s="93"/>
      <c r="C181" s="26"/>
      <c r="D181" s="27" t="s">
        <v>319</v>
      </c>
      <c r="E181" s="2" t="s">
        <v>500</v>
      </c>
      <c r="F181" s="28" t="s">
        <v>319</v>
      </c>
      <c r="G181" s="28" t="s">
        <v>319</v>
      </c>
      <c r="H181" s="28" t="s">
        <v>319</v>
      </c>
      <c r="I181" s="6" t="s">
        <v>636</v>
      </c>
      <c r="J181" s="28" t="s">
        <v>319</v>
      </c>
      <c r="K181" s="28" t="s">
        <v>319</v>
      </c>
      <c r="L181" s="28" t="s">
        <v>319</v>
      </c>
      <c r="M181" s="28" t="s">
        <v>319</v>
      </c>
      <c r="N181" s="28" t="s">
        <v>319</v>
      </c>
      <c r="O181" s="28" t="s">
        <v>319</v>
      </c>
      <c r="P181" s="28" t="s">
        <v>319</v>
      </c>
      <c r="Q181" s="5" t="s">
        <v>673</v>
      </c>
      <c r="R181" s="5" t="s">
        <v>667</v>
      </c>
      <c r="S181" s="6" t="s">
        <v>678</v>
      </c>
      <c r="T181" s="5"/>
      <c r="U181" s="5" t="s">
        <v>843</v>
      </c>
      <c r="V181" s="5"/>
      <c r="W181" s="6" t="s">
        <v>665</v>
      </c>
      <c r="X181" s="5"/>
      <c r="Y181" s="105">
        <v>4.0999999999999996</v>
      </c>
      <c r="Z181" s="5"/>
      <c r="AA181" s="6" t="s">
        <v>963</v>
      </c>
      <c r="AB181" s="6"/>
      <c r="AC181" s="6">
        <v>3.5999999999999996</v>
      </c>
      <c r="AD181" s="6"/>
      <c r="AE181" s="6" t="s">
        <v>956</v>
      </c>
      <c r="AF181" s="6"/>
      <c r="AG181" s="12">
        <v>35</v>
      </c>
      <c r="AH181" s="6"/>
      <c r="AI181" s="6" t="s">
        <v>965</v>
      </c>
      <c r="AJ181" s="108"/>
      <c r="AK181" s="112">
        <v>1.1599999999999999E-2</v>
      </c>
      <c r="AL181" s="6"/>
      <c r="AM181" s="6"/>
      <c r="AN181" s="6"/>
      <c r="AO181" s="5"/>
      <c r="AP181" s="6"/>
      <c r="AQ181" s="28" t="s">
        <v>319</v>
      </c>
      <c r="AR181" s="28" t="s">
        <v>319</v>
      </c>
      <c r="AS181" s="28" t="s">
        <v>319</v>
      </c>
      <c r="AT181" s="28" t="s">
        <v>319</v>
      </c>
      <c r="AU181" s="28" t="s">
        <v>319</v>
      </c>
      <c r="AV181" s="28" t="s">
        <v>319</v>
      </c>
      <c r="AW181" s="28" t="s">
        <v>319</v>
      </c>
      <c r="AX181" s="28" t="s">
        <v>319</v>
      </c>
      <c r="AY181" s="28" t="s">
        <v>319</v>
      </c>
      <c r="AZ181" s="28" t="s">
        <v>319</v>
      </c>
      <c r="BA181" s="28" t="s">
        <v>319</v>
      </c>
      <c r="BB181" s="6" t="s">
        <v>984</v>
      </c>
      <c r="BC181" s="106">
        <v>-168</v>
      </c>
      <c r="BD181" s="106">
        <v>65</v>
      </c>
      <c r="BE181" s="6" t="s">
        <v>1008</v>
      </c>
      <c r="BF181" s="6"/>
      <c r="BG181" s="12">
        <v>9.5</v>
      </c>
      <c r="BH181" s="28" t="s">
        <v>319</v>
      </c>
      <c r="BI181" s="28" t="s">
        <v>319</v>
      </c>
      <c r="BJ181" s="28" t="s">
        <v>319</v>
      </c>
      <c r="BK181" s="28" t="s">
        <v>319</v>
      </c>
      <c r="BL181" s="28" t="s">
        <v>319</v>
      </c>
      <c r="BM181" s="28" t="s">
        <v>319</v>
      </c>
      <c r="BN181" s="28" t="s">
        <v>319</v>
      </c>
      <c r="BO181" s="28" t="s">
        <v>319</v>
      </c>
      <c r="BP181" s="28" t="s">
        <v>319</v>
      </c>
      <c r="BQ181" s="28" t="s">
        <v>319</v>
      </c>
      <c r="BR181" s="5"/>
      <c r="BS181" s="105"/>
      <c r="BT181" s="6"/>
      <c r="BU181" s="12">
        <v>14.5</v>
      </c>
      <c r="BV181" s="6" t="s">
        <v>1034</v>
      </c>
      <c r="BW181" s="105">
        <v>1.31</v>
      </c>
      <c r="BX181" s="6"/>
      <c r="BY181" s="6"/>
      <c r="BZ181" s="30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9"/>
      <c r="DB181" s="6"/>
      <c r="DC181" s="30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 t="s">
        <v>319</v>
      </c>
      <c r="DO181" s="28" t="s">
        <v>319</v>
      </c>
      <c r="DP181" s="28" t="s">
        <v>319</v>
      </c>
      <c r="DQ181" s="28" t="s">
        <v>319</v>
      </c>
      <c r="DR181" s="28" t="s">
        <v>319</v>
      </c>
      <c r="DS181" s="28" t="s">
        <v>319</v>
      </c>
      <c r="DT181" s="28" t="s">
        <v>319</v>
      </c>
      <c r="DU181" s="28" t="s">
        <v>319</v>
      </c>
      <c r="DV181" s="28" t="s">
        <v>319</v>
      </c>
      <c r="DW181" s="28" t="s">
        <v>319</v>
      </c>
      <c r="DX181" s="28" t="s">
        <v>319</v>
      </c>
      <c r="DY181" s="28" t="s">
        <v>319</v>
      </c>
      <c r="DZ181" s="28" t="s">
        <v>319</v>
      </c>
      <c r="EA181" s="28" t="s">
        <v>319</v>
      </c>
      <c r="EB181" s="28" t="s">
        <v>319</v>
      </c>
      <c r="EC181" s="28" t="s">
        <v>319</v>
      </c>
      <c r="ED181" s="28" t="s">
        <v>319</v>
      </c>
      <c r="EE181" s="28"/>
      <c r="EF181" s="28" t="s">
        <v>319</v>
      </c>
      <c r="EG181" s="28" t="s">
        <v>319</v>
      </c>
      <c r="EH181" s="28" t="s">
        <v>319</v>
      </c>
      <c r="EI181" s="28" t="s">
        <v>319</v>
      </c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7"/>
      <c r="FK181" s="6"/>
      <c r="FL181" s="6"/>
      <c r="FM181" s="94"/>
    </row>
    <row r="182" spans="1:169" s="3" customFormat="1" ht="34.799999999999997" x14ac:dyDescent="0.4">
      <c r="A182" s="93"/>
      <c r="B182" s="93"/>
      <c r="C182" s="26"/>
      <c r="D182" s="27" t="s">
        <v>319</v>
      </c>
      <c r="E182" s="2" t="s">
        <v>501</v>
      </c>
      <c r="F182" s="28" t="s">
        <v>319</v>
      </c>
      <c r="G182" s="28" t="s">
        <v>319</v>
      </c>
      <c r="H182" s="28" t="s">
        <v>319</v>
      </c>
      <c r="I182" s="6" t="s">
        <v>636</v>
      </c>
      <c r="J182" s="28" t="s">
        <v>319</v>
      </c>
      <c r="K182" s="28" t="s">
        <v>319</v>
      </c>
      <c r="L182" s="28" t="s">
        <v>319</v>
      </c>
      <c r="M182" s="28" t="s">
        <v>319</v>
      </c>
      <c r="N182" s="28" t="s">
        <v>319</v>
      </c>
      <c r="O182" s="28" t="s">
        <v>319</v>
      </c>
      <c r="P182" s="28" t="s">
        <v>319</v>
      </c>
      <c r="Q182" s="5" t="s">
        <v>845</v>
      </c>
      <c r="R182" s="5" t="s">
        <v>667</v>
      </c>
      <c r="S182" s="6" t="s">
        <v>672</v>
      </c>
      <c r="T182" s="5"/>
      <c r="U182" s="5" t="s">
        <v>846</v>
      </c>
      <c r="V182" s="5"/>
      <c r="W182" s="6" t="s">
        <v>665</v>
      </c>
      <c r="X182" s="5"/>
      <c r="Y182" s="105">
        <v>34.799999999999997</v>
      </c>
      <c r="Z182" s="5"/>
      <c r="AA182" s="6" t="s">
        <v>963</v>
      </c>
      <c r="AB182" s="6"/>
      <c r="AC182" s="6">
        <v>34.299999999999997</v>
      </c>
      <c r="AD182" s="6"/>
      <c r="AE182" s="6" t="s">
        <v>956</v>
      </c>
      <c r="AF182" s="6"/>
      <c r="AG182" s="12">
        <v>35</v>
      </c>
      <c r="AH182" s="6"/>
      <c r="AI182" s="6" t="s">
        <v>965</v>
      </c>
      <c r="AJ182" s="108"/>
      <c r="AK182" s="112">
        <v>9.7000000000000003E-3</v>
      </c>
      <c r="AL182" s="6"/>
      <c r="AM182" s="6"/>
      <c r="AN182" s="6"/>
      <c r="AO182" s="5"/>
      <c r="AP182" s="6"/>
      <c r="AQ182" s="28" t="s">
        <v>319</v>
      </c>
      <c r="AR182" s="28" t="s">
        <v>319</v>
      </c>
      <c r="AS182" s="28" t="s">
        <v>319</v>
      </c>
      <c r="AT182" s="28" t="s">
        <v>319</v>
      </c>
      <c r="AU182" s="28" t="s">
        <v>319</v>
      </c>
      <c r="AV182" s="28" t="s">
        <v>319</v>
      </c>
      <c r="AW182" s="28" t="s">
        <v>319</v>
      </c>
      <c r="AX182" s="28" t="s">
        <v>319</v>
      </c>
      <c r="AY182" s="28" t="s">
        <v>319</v>
      </c>
      <c r="AZ182" s="28" t="s">
        <v>319</v>
      </c>
      <c r="BA182" s="28" t="s">
        <v>319</v>
      </c>
      <c r="BB182" s="6" t="s">
        <v>984</v>
      </c>
      <c r="BC182" s="106">
        <v>-168</v>
      </c>
      <c r="BD182" s="106">
        <v>65</v>
      </c>
      <c r="BE182" s="6" t="s">
        <v>1010</v>
      </c>
      <c r="BF182" s="6"/>
      <c r="BG182" s="12">
        <v>46</v>
      </c>
      <c r="BH182" s="28" t="s">
        <v>319</v>
      </c>
      <c r="BI182" s="28" t="s">
        <v>319</v>
      </c>
      <c r="BJ182" s="28" t="s">
        <v>319</v>
      </c>
      <c r="BK182" s="28" t="s">
        <v>319</v>
      </c>
      <c r="BL182" s="28" t="s">
        <v>319</v>
      </c>
      <c r="BM182" s="28" t="s">
        <v>319</v>
      </c>
      <c r="BN182" s="28" t="s">
        <v>319</v>
      </c>
      <c r="BO182" s="28" t="s">
        <v>319</v>
      </c>
      <c r="BP182" s="28" t="s">
        <v>319</v>
      </c>
      <c r="BQ182" s="28" t="s">
        <v>319</v>
      </c>
      <c r="BR182" s="5"/>
      <c r="BS182" s="105"/>
      <c r="BT182" s="6"/>
      <c r="BU182" s="12">
        <v>2.6</v>
      </c>
      <c r="BV182" s="6" t="s">
        <v>1035</v>
      </c>
      <c r="BW182" s="105">
        <v>1.39</v>
      </c>
      <c r="BX182" s="6"/>
      <c r="BY182" s="6"/>
      <c r="BZ182" s="30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9"/>
      <c r="DB182" s="6"/>
      <c r="DC182" s="30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 t="s">
        <v>319</v>
      </c>
      <c r="DO182" s="28" t="s">
        <v>319</v>
      </c>
      <c r="DP182" s="28" t="s">
        <v>319</v>
      </c>
      <c r="DQ182" s="28" t="s">
        <v>319</v>
      </c>
      <c r="DR182" s="28" t="s">
        <v>319</v>
      </c>
      <c r="DS182" s="28" t="s">
        <v>319</v>
      </c>
      <c r="DT182" s="28" t="s">
        <v>319</v>
      </c>
      <c r="DU182" s="28" t="s">
        <v>319</v>
      </c>
      <c r="DV182" s="28" t="s">
        <v>319</v>
      </c>
      <c r="DW182" s="28" t="s">
        <v>319</v>
      </c>
      <c r="DX182" s="28" t="s">
        <v>319</v>
      </c>
      <c r="DY182" s="28" t="s">
        <v>319</v>
      </c>
      <c r="DZ182" s="28" t="s">
        <v>319</v>
      </c>
      <c r="EA182" s="28" t="s">
        <v>319</v>
      </c>
      <c r="EB182" s="28" t="s">
        <v>319</v>
      </c>
      <c r="EC182" s="28" t="s">
        <v>319</v>
      </c>
      <c r="ED182" s="28" t="s">
        <v>319</v>
      </c>
      <c r="EE182" s="28"/>
      <c r="EF182" s="28" t="s">
        <v>319</v>
      </c>
      <c r="EG182" s="28" t="s">
        <v>319</v>
      </c>
      <c r="EH182" s="28" t="s">
        <v>319</v>
      </c>
      <c r="EI182" s="28" t="s">
        <v>319</v>
      </c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7"/>
      <c r="FK182" s="15" t="s">
        <v>1060</v>
      </c>
      <c r="FL182" s="6"/>
      <c r="FM182" s="94"/>
    </row>
    <row r="183" spans="1:169" s="3" customFormat="1" x14ac:dyDescent="0.4">
      <c r="A183" s="93"/>
      <c r="B183" s="93"/>
      <c r="C183" s="26"/>
      <c r="D183" s="27" t="s">
        <v>319</v>
      </c>
      <c r="E183" s="2" t="s">
        <v>541</v>
      </c>
      <c r="F183" s="28" t="s">
        <v>319</v>
      </c>
      <c r="G183" s="28" t="s">
        <v>319</v>
      </c>
      <c r="H183" s="28" t="s">
        <v>319</v>
      </c>
      <c r="I183" s="6" t="s">
        <v>637</v>
      </c>
      <c r="J183" s="28" t="s">
        <v>319</v>
      </c>
      <c r="K183" s="28" t="s">
        <v>319</v>
      </c>
      <c r="L183" s="28" t="s">
        <v>319</v>
      </c>
      <c r="M183" s="28" t="s">
        <v>319</v>
      </c>
      <c r="N183" s="28" t="s">
        <v>319</v>
      </c>
      <c r="O183" s="28" t="s">
        <v>319</v>
      </c>
      <c r="P183" s="28" t="s">
        <v>319</v>
      </c>
      <c r="Q183" s="5" t="s">
        <v>847</v>
      </c>
      <c r="R183" s="5" t="s">
        <v>667</v>
      </c>
      <c r="S183" s="6" t="s">
        <v>678</v>
      </c>
      <c r="T183" s="5"/>
      <c r="U183" s="5" t="s">
        <v>843</v>
      </c>
      <c r="V183" s="5"/>
      <c r="W183" s="6" t="s">
        <v>665</v>
      </c>
      <c r="X183" s="5"/>
      <c r="Y183" s="105">
        <v>4.18</v>
      </c>
      <c r="Z183" s="5"/>
      <c r="AA183" s="6" t="s">
        <v>963</v>
      </c>
      <c r="AB183" s="6"/>
      <c r="AC183" s="6" t="s">
        <v>1000</v>
      </c>
      <c r="AD183" s="6"/>
      <c r="AE183" s="6" t="s">
        <v>956</v>
      </c>
      <c r="AF183" s="6"/>
      <c r="AG183" s="12">
        <v>-31</v>
      </c>
      <c r="AH183" s="6"/>
      <c r="AI183" s="6" t="s">
        <v>976</v>
      </c>
      <c r="AJ183" s="108"/>
      <c r="AK183" s="112">
        <v>1.1599999999999999E-2</v>
      </c>
      <c r="AL183" s="6"/>
      <c r="AM183" s="6"/>
      <c r="AN183" s="6"/>
      <c r="AO183" s="5"/>
      <c r="AP183" s="6"/>
      <c r="AQ183" s="28" t="s">
        <v>319</v>
      </c>
      <c r="AR183" s="28" t="s">
        <v>319</v>
      </c>
      <c r="AS183" s="28" t="s">
        <v>319</v>
      </c>
      <c r="AT183" s="28" t="s">
        <v>319</v>
      </c>
      <c r="AU183" s="28" t="s">
        <v>319</v>
      </c>
      <c r="AV183" s="28" t="s">
        <v>319</v>
      </c>
      <c r="AW183" s="28" t="s">
        <v>319</v>
      </c>
      <c r="AX183" s="28" t="s">
        <v>319</v>
      </c>
      <c r="AY183" s="28" t="s">
        <v>319</v>
      </c>
      <c r="AZ183" s="28" t="s">
        <v>319</v>
      </c>
      <c r="BA183" s="28" t="s">
        <v>319</v>
      </c>
      <c r="BB183" s="6" t="s">
        <v>984</v>
      </c>
      <c r="BC183" s="106">
        <v>-168</v>
      </c>
      <c r="BD183" s="106">
        <v>65</v>
      </c>
      <c r="BE183" s="6" t="s">
        <v>1010</v>
      </c>
      <c r="BF183" s="6"/>
      <c r="BG183" s="12">
        <v>9.5</v>
      </c>
      <c r="BH183" s="28" t="s">
        <v>319</v>
      </c>
      <c r="BI183" s="28" t="s">
        <v>319</v>
      </c>
      <c r="BJ183" s="28" t="s">
        <v>319</v>
      </c>
      <c r="BK183" s="28" t="s">
        <v>319</v>
      </c>
      <c r="BL183" s="28" t="s">
        <v>319</v>
      </c>
      <c r="BM183" s="28" t="s">
        <v>319</v>
      </c>
      <c r="BN183" s="28" t="s">
        <v>319</v>
      </c>
      <c r="BO183" s="28" t="s">
        <v>319</v>
      </c>
      <c r="BP183" s="28" t="s">
        <v>319</v>
      </c>
      <c r="BQ183" s="28" t="s">
        <v>319</v>
      </c>
      <c r="BR183" s="5"/>
      <c r="BS183" s="105"/>
      <c r="BT183" s="150"/>
      <c r="BU183" s="105">
        <v>14.5</v>
      </c>
      <c r="BV183" s="151">
        <v>0.995</v>
      </c>
      <c r="BW183" s="105">
        <v>1.31</v>
      </c>
      <c r="BX183" s="6"/>
      <c r="BY183" s="6"/>
      <c r="BZ183" s="30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9"/>
      <c r="DB183" s="6"/>
      <c r="DC183" s="30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 t="s">
        <v>319</v>
      </c>
      <c r="DO183" s="28" t="s">
        <v>319</v>
      </c>
      <c r="DP183" s="28" t="s">
        <v>319</v>
      </c>
      <c r="DQ183" s="28" t="s">
        <v>319</v>
      </c>
      <c r="DR183" s="28" t="s">
        <v>319</v>
      </c>
      <c r="DS183" s="28" t="s">
        <v>319</v>
      </c>
      <c r="DT183" s="28" t="s">
        <v>319</v>
      </c>
      <c r="DU183" s="28" t="s">
        <v>319</v>
      </c>
      <c r="DV183" s="28" t="s">
        <v>319</v>
      </c>
      <c r="DW183" s="28" t="s">
        <v>319</v>
      </c>
      <c r="DX183" s="28" t="s">
        <v>319</v>
      </c>
      <c r="DY183" s="28" t="s">
        <v>319</v>
      </c>
      <c r="DZ183" s="28" t="s">
        <v>319</v>
      </c>
      <c r="EA183" s="28" t="s">
        <v>319</v>
      </c>
      <c r="EB183" s="28" t="s">
        <v>319</v>
      </c>
      <c r="EC183" s="28" t="s">
        <v>319</v>
      </c>
      <c r="ED183" s="28" t="s">
        <v>319</v>
      </c>
      <c r="EE183" s="28"/>
      <c r="EF183" s="28" t="s">
        <v>319</v>
      </c>
      <c r="EG183" s="28" t="s">
        <v>319</v>
      </c>
      <c r="EH183" s="28" t="s">
        <v>319</v>
      </c>
      <c r="EI183" s="28" t="s">
        <v>319</v>
      </c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7"/>
      <c r="FK183" s="6"/>
      <c r="FL183" s="6"/>
      <c r="FM183" s="94"/>
    </row>
    <row r="184" spans="1:169" s="22" customFormat="1" x14ac:dyDescent="0.4">
      <c r="A184" s="93"/>
      <c r="B184" s="93"/>
      <c r="C184" s="26"/>
      <c r="D184" s="27"/>
      <c r="E184" s="2" t="s">
        <v>1086</v>
      </c>
      <c r="F184" s="28"/>
      <c r="G184" s="28"/>
      <c r="H184" s="28"/>
      <c r="I184" s="6" t="s">
        <v>1087</v>
      </c>
      <c r="J184" s="28"/>
      <c r="K184" s="28"/>
      <c r="L184" s="28"/>
      <c r="M184" s="28"/>
      <c r="N184" s="28"/>
      <c r="O184" s="28"/>
      <c r="P184" s="28"/>
      <c r="Q184" s="5" t="s">
        <v>1084</v>
      </c>
      <c r="R184" s="5" t="s">
        <v>1083</v>
      </c>
      <c r="S184" s="6" t="s">
        <v>1088</v>
      </c>
      <c r="T184" s="107"/>
      <c r="U184" s="107" t="s">
        <v>1089</v>
      </c>
      <c r="V184" s="5">
        <v>23411</v>
      </c>
      <c r="W184" s="6" t="s">
        <v>665</v>
      </c>
      <c r="X184" s="105"/>
      <c r="Y184" s="105">
        <v>9.9</v>
      </c>
      <c r="Z184" s="105"/>
      <c r="AA184" s="6" t="s">
        <v>1090</v>
      </c>
      <c r="AB184" s="6"/>
      <c r="AC184" s="103">
        <f>9.9-3.53</f>
        <v>6.370000000000001</v>
      </c>
      <c r="AD184" s="6"/>
      <c r="AE184" s="6" t="s">
        <v>956</v>
      </c>
      <c r="AF184" s="6"/>
      <c r="AG184" s="12">
        <v>35</v>
      </c>
      <c r="AH184" s="6"/>
      <c r="AI184" s="6" t="s">
        <v>957</v>
      </c>
      <c r="AJ184" s="108"/>
      <c r="AK184" s="112">
        <v>0.01</v>
      </c>
      <c r="AL184" s="6"/>
      <c r="AM184" s="6"/>
      <c r="AN184" s="6"/>
      <c r="AO184" s="5"/>
      <c r="AP184" s="6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6" t="s">
        <v>984</v>
      </c>
      <c r="BC184" s="106" t="s">
        <v>1085</v>
      </c>
      <c r="BD184" s="183">
        <v>150</v>
      </c>
      <c r="BE184" s="6" t="s">
        <v>1008</v>
      </c>
      <c r="BF184" s="6"/>
      <c r="BG184" s="185">
        <v>14.6</v>
      </c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5"/>
      <c r="BS184" s="105"/>
      <c r="BT184" s="6"/>
      <c r="BU184" s="12">
        <v>30.06</v>
      </c>
      <c r="BV184" s="6">
        <v>0.92400000000000004</v>
      </c>
      <c r="BW184" s="12">
        <v>1.246</v>
      </c>
      <c r="BX184" s="6"/>
      <c r="BY184" s="6"/>
      <c r="BZ184" s="30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9"/>
      <c r="DB184" s="6"/>
      <c r="DC184" s="30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7"/>
      <c r="FK184" s="15"/>
      <c r="FL184" s="6"/>
      <c r="FM184" s="94"/>
    </row>
    <row r="185" spans="1:169" s="3" customFormat="1" ht="34.799999999999997" x14ac:dyDescent="0.4">
      <c r="A185" s="93"/>
      <c r="B185" s="93"/>
      <c r="C185" s="26"/>
      <c r="D185" s="27" t="s">
        <v>319</v>
      </c>
      <c r="E185" s="2" t="s">
        <v>370</v>
      </c>
      <c r="F185" s="28" t="s">
        <v>319</v>
      </c>
      <c r="G185" s="28" t="s">
        <v>319</v>
      </c>
      <c r="H185" s="28" t="s">
        <v>319</v>
      </c>
      <c r="I185" s="6" t="s">
        <v>638</v>
      </c>
      <c r="J185" s="28" t="s">
        <v>319</v>
      </c>
      <c r="K185" s="28" t="s">
        <v>319</v>
      </c>
      <c r="L185" s="28" t="s">
        <v>319</v>
      </c>
      <c r="M185" s="28" t="s">
        <v>319</v>
      </c>
      <c r="N185" s="28" t="s">
        <v>319</v>
      </c>
      <c r="O185" s="28" t="s">
        <v>319</v>
      </c>
      <c r="P185" s="28" t="s">
        <v>319</v>
      </c>
      <c r="Q185" s="5" t="s">
        <v>845</v>
      </c>
      <c r="R185" s="5" t="s">
        <v>667</v>
      </c>
      <c r="S185" s="6" t="s">
        <v>672</v>
      </c>
      <c r="T185" s="5" t="s">
        <v>848</v>
      </c>
      <c r="U185" s="5" t="s">
        <v>849</v>
      </c>
      <c r="V185" s="5" t="s">
        <v>850</v>
      </c>
      <c r="W185" s="6" t="s">
        <v>665</v>
      </c>
      <c r="X185" s="105">
        <v>33.33</v>
      </c>
      <c r="Y185" s="105">
        <v>33.35</v>
      </c>
      <c r="Z185" s="105">
        <v>33.340000000000003</v>
      </c>
      <c r="AA185" s="6" t="s">
        <v>963</v>
      </c>
      <c r="AB185" s="6">
        <v>0.32999999999999829</v>
      </c>
      <c r="AC185" s="6">
        <v>0.35000000000000142</v>
      </c>
      <c r="AD185" s="6">
        <v>0.34000000000000341</v>
      </c>
      <c r="AE185" s="6" t="s">
        <v>956</v>
      </c>
      <c r="AF185" s="6"/>
      <c r="AG185" s="12">
        <v>35</v>
      </c>
      <c r="AH185" s="6"/>
      <c r="AI185" s="6" t="s">
        <v>977</v>
      </c>
      <c r="AJ185" s="112"/>
      <c r="AK185" s="112">
        <v>9.1999999999999998E-3</v>
      </c>
      <c r="AL185" s="6"/>
      <c r="AM185" s="6"/>
      <c r="AN185" s="6"/>
      <c r="AO185" s="5"/>
      <c r="AP185" s="6"/>
      <c r="AQ185" s="28" t="s">
        <v>319</v>
      </c>
      <c r="AR185" s="28" t="s">
        <v>319</v>
      </c>
      <c r="AS185" s="28" t="s">
        <v>319</v>
      </c>
      <c r="AT185" s="28" t="s">
        <v>319</v>
      </c>
      <c r="AU185" s="28" t="s">
        <v>319</v>
      </c>
      <c r="AV185" s="28" t="s">
        <v>319</v>
      </c>
      <c r="AW185" s="28" t="s">
        <v>319</v>
      </c>
      <c r="AX185" s="28" t="s">
        <v>319</v>
      </c>
      <c r="AY185" s="28" t="s">
        <v>319</v>
      </c>
      <c r="AZ185" s="28" t="s">
        <v>319</v>
      </c>
      <c r="BA185" s="28" t="s">
        <v>319</v>
      </c>
      <c r="BB185" s="6" t="s">
        <v>984</v>
      </c>
      <c r="BC185" s="5" t="s">
        <v>681</v>
      </c>
      <c r="BD185" s="212" t="s">
        <v>1452</v>
      </c>
      <c r="BE185" s="6" t="s">
        <v>1008</v>
      </c>
      <c r="BF185" s="181" t="s">
        <v>1448</v>
      </c>
      <c r="BG185" s="185">
        <v>46</v>
      </c>
      <c r="BH185" s="28" t="s">
        <v>319</v>
      </c>
      <c r="BI185" s="28" t="s">
        <v>319</v>
      </c>
      <c r="BJ185" s="28" t="s">
        <v>319</v>
      </c>
      <c r="BK185" s="28" t="s">
        <v>319</v>
      </c>
      <c r="BL185" s="28" t="s">
        <v>319</v>
      </c>
      <c r="BM185" s="28" t="s">
        <v>319</v>
      </c>
      <c r="BN185" s="28" t="s">
        <v>319</v>
      </c>
      <c r="BO185" s="28" t="s">
        <v>319</v>
      </c>
      <c r="BP185" s="28" t="s">
        <v>319</v>
      </c>
      <c r="BQ185" s="28" t="s">
        <v>319</v>
      </c>
      <c r="BR185" s="5"/>
      <c r="BS185" s="105"/>
      <c r="BT185" s="6"/>
      <c r="BU185" s="12">
        <v>2</v>
      </c>
      <c r="BV185" s="6" t="s">
        <v>1036</v>
      </c>
      <c r="BW185" s="12">
        <v>1.4</v>
      </c>
      <c r="BX185" s="6"/>
      <c r="BY185" s="6"/>
      <c r="BZ185" s="30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9"/>
      <c r="DB185" s="6"/>
      <c r="DC185" s="30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 t="s">
        <v>319</v>
      </c>
      <c r="DO185" s="28" t="s">
        <v>319</v>
      </c>
      <c r="DP185" s="28" t="s">
        <v>319</v>
      </c>
      <c r="DQ185" s="28" t="s">
        <v>319</v>
      </c>
      <c r="DR185" s="28" t="s">
        <v>319</v>
      </c>
      <c r="DS185" s="28" t="s">
        <v>319</v>
      </c>
      <c r="DT185" s="28" t="s">
        <v>319</v>
      </c>
      <c r="DU185" s="28" t="s">
        <v>319</v>
      </c>
      <c r="DV185" s="28" t="s">
        <v>319</v>
      </c>
      <c r="DW185" s="28" t="s">
        <v>319</v>
      </c>
      <c r="DX185" s="28" t="s">
        <v>319</v>
      </c>
      <c r="DY185" s="28" t="s">
        <v>319</v>
      </c>
      <c r="DZ185" s="28" t="s">
        <v>319</v>
      </c>
      <c r="EA185" s="28" t="s">
        <v>319</v>
      </c>
      <c r="EB185" s="28" t="s">
        <v>319</v>
      </c>
      <c r="EC185" s="28" t="s">
        <v>319</v>
      </c>
      <c r="ED185" s="28" t="s">
        <v>319</v>
      </c>
      <c r="EE185" s="28"/>
      <c r="EF185" s="28" t="s">
        <v>319</v>
      </c>
      <c r="EG185" s="28" t="s">
        <v>319</v>
      </c>
      <c r="EH185" s="28" t="s">
        <v>319</v>
      </c>
      <c r="EI185" s="28" t="s">
        <v>319</v>
      </c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7"/>
      <c r="FK185" s="15" t="s">
        <v>1060</v>
      </c>
      <c r="FL185" s="6"/>
      <c r="FM185" s="94"/>
    </row>
    <row r="186" spans="1:169" s="3" customFormat="1" ht="34.799999999999997" x14ac:dyDescent="0.4">
      <c r="A186" s="93"/>
      <c r="B186" s="93"/>
      <c r="C186" s="26"/>
      <c r="D186" s="27" t="s">
        <v>319</v>
      </c>
      <c r="E186" s="2" t="s">
        <v>371</v>
      </c>
      <c r="F186" s="28" t="s">
        <v>319</v>
      </c>
      <c r="G186" s="28" t="s">
        <v>319</v>
      </c>
      <c r="H186" s="28" t="s">
        <v>319</v>
      </c>
      <c r="I186" s="6" t="s">
        <v>639</v>
      </c>
      <c r="J186" s="28" t="s">
        <v>319</v>
      </c>
      <c r="K186" s="28" t="s">
        <v>319</v>
      </c>
      <c r="L186" s="28" t="s">
        <v>319</v>
      </c>
      <c r="M186" s="28" t="s">
        <v>319</v>
      </c>
      <c r="N186" s="28" t="s">
        <v>319</v>
      </c>
      <c r="O186" s="28" t="s">
        <v>319</v>
      </c>
      <c r="P186" s="28" t="s">
        <v>319</v>
      </c>
      <c r="Q186" s="5" t="s">
        <v>845</v>
      </c>
      <c r="R186" s="5" t="s">
        <v>667</v>
      </c>
      <c r="S186" s="6" t="s">
        <v>669</v>
      </c>
      <c r="T186" s="5" t="s">
        <v>851</v>
      </c>
      <c r="U186" s="5" t="s">
        <v>852</v>
      </c>
      <c r="V186" s="5" t="s">
        <v>853</v>
      </c>
      <c r="W186" s="6" t="s">
        <v>665</v>
      </c>
      <c r="X186" s="105">
        <v>33.299999999999997</v>
      </c>
      <c r="Y186" s="105">
        <v>33.31</v>
      </c>
      <c r="Z186" s="105">
        <v>33.32</v>
      </c>
      <c r="AA186" s="6" t="s">
        <v>963</v>
      </c>
      <c r="AB186" s="6">
        <v>0.29999999999999716</v>
      </c>
      <c r="AC186" s="6">
        <v>0.30000000000000426</v>
      </c>
      <c r="AD186" s="6">
        <v>0.29999999999999716</v>
      </c>
      <c r="AE186" s="6" t="s">
        <v>978</v>
      </c>
      <c r="AF186" s="6"/>
      <c r="AG186" s="12">
        <v>35</v>
      </c>
      <c r="AH186" s="6"/>
      <c r="AI186" s="6" t="s">
        <v>965</v>
      </c>
      <c r="AJ186" s="112"/>
      <c r="AK186" s="112">
        <v>9.1999999999999998E-3</v>
      </c>
      <c r="AL186" s="6"/>
      <c r="AM186" s="6"/>
      <c r="AN186" s="6"/>
      <c r="AO186" s="5"/>
      <c r="AP186" s="6"/>
      <c r="AQ186" s="28" t="s">
        <v>319</v>
      </c>
      <c r="AR186" s="28" t="s">
        <v>319</v>
      </c>
      <c r="AS186" s="28" t="s">
        <v>319</v>
      </c>
      <c r="AT186" s="28" t="s">
        <v>319</v>
      </c>
      <c r="AU186" s="28" t="s">
        <v>319</v>
      </c>
      <c r="AV186" s="28" t="s">
        <v>319</v>
      </c>
      <c r="AW186" s="28" t="s">
        <v>319</v>
      </c>
      <c r="AX186" s="28" t="s">
        <v>319</v>
      </c>
      <c r="AY186" s="28" t="s">
        <v>319</v>
      </c>
      <c r="AZ186" s="28" t="s">
        <v>319</v>
      </c>
      <c r="BA186" s="28" t="s">
        <v>319</v>
      </c>
      <c r="BB186" s="6" t="s">
        <v>984</v>
      </c>
      <c r="BC186" s="5" t="s">
        <v>681</v>
      </c>
      <c r="BD186" s="212" t="s">
        <v>1452</v>
      </c>
      <c r="BE186" s="6" t="s">
        <v>1010</v>
      </c>
      <c r="BF186" s="181" t="s">
        <v>1448</v>
      </c>
      <c r="BG186" s="185">
        <v>46</v>
      </c>
      <c r="BH186" s="28" t="s">
        <v>319</v>
      </c>
      <c r="BI186" s="28" t="s">
        <v>319</v>
      </c>
      <c r="BJ186" s="28" t="s">
        <v>319</v>
      </c>
      <c r="BK186" s="28" t="s">
        <v>319</v>
      </c>
      <c r="BL186" s="28" t="s">
        <v>319</v>
      </c>
      <c r="BM186" s="28" t="s">
        <v>319</v>
      </c>
      <c r="BN186" s="28" t="s">
        <v>319</v>
      </c>
      <c r="BO186" s="28" t="s">
        <v>319</v>
      </c>
      <c r="BP186" s="28" t="s">
        <v>319</v>
      </c>
      <c r="BQ186" s="28" t="s">
        <v>319</v>
      </c>
      <c r="BR186" s="5"/>
      <c r="BS186" s="105"/>
      <c r="BT186" s="6"/>
      <c r="BU186" s="12">
        <v>2</v>
      </c>
      <c r="BV186" s="6" t="s">
        <v>1037</v>
      </c>
      <c r="BW186" s="12">
        <v>1.4</v>
      </c>
      <c r="BX186" s="6"/>
      <c r="BY186" s="6"/>
      <c r="BZ186" s="30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9"/>
      <c r="DB186" s="6"/>
      <c r="DC186" s="30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 t="s">
        <v>319</v>
      </c>
      <c r="DO186" s="28" t="s">
        <v>319</v>
      </c>
      <c r="DP186" s="28" t="s">
        <v>319</v>
      </c>
      <c r="DQ186" s="28" t="s">
        <v>319</v>
      </c>
      <c r="DR186" s="28" t="s">
        <v>319</v>
      </c>
      <c r="DS186" s="28" t="s">
        <v>319</v>
      </c>
      <c r="DT186" s="28" t="s">
        <v>319</v>
      </c>
      <c r="DU186" s="28" t="s">
        <v>319</v>
      </c>
      <c r="DV186" s="28" t="s">
        <v>319</v>
      </c>
      <c r="DW186" s="28" t="s">
        <v>319</v>
      </c>
      <c r="DX186" s="28" t="s">
        <v>319</v>
      </c>
      <c r="DY186" s="28" t="s">
        <v>319</v>
      </c>
      <c r="DZ186" s="28" t="s">
        <v>319</v>
      </c>
      <c r="EA186" s="28" t="s">
        <v>319</v>
      </c>
      <c r="EB186" s="28" t="s">
        <v>319</v>
      </c>
      <c r="EC186" s="28" t="s">
        <v>319</v>
      </c>
      <c r="ED186" s="28" t="s">
        <v>319</v>
      </c>
      <c r="EE186" s="28"/>
      <c r="EF186" s="28" t="s">
        <v>319</v>
      </c>
      <c r="EG186" s="28" t="s">
        <v>319</v>
      </c>
      <c r="EH186" s="28" t="s">
        <v>319</v>
      </c>
      <c r="EI186" s="28" t="s">
        <v>319</v>
      </c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7"/>
      <c r="FK186" s="15" t="s">
        <v>1060</v>
      </c>
      <c r="FL186" s="6"/>
      <c r="FM186" s="94"/>
    </row>
    <row r="187" spans="1:169" s="3" customFormat="1" ht="34.799999999999997" x14ac:dyDescent="0.4">
      <c r="A187" s="93"/>
      <c r="B187" s="93"/>
      <c r="C187" s="26"/>
      <c r="D187" s="27" t="s">
        <v>319</v>
      </c>
      <c r="E187" s="2" t="s">
        <v>372</v>
      </c>
      <c r="F187" s="28" t="s">
        <v>319</v>
      </c>
      <c r="G187" s="28" t="s">
        <v>319</v>
      </c>
      <c r="H187" s="28" t="s">
        <v>319</v>
      </c>
      <c r="I187" s="6" t="s">
        <v>639</v>
      </c>
      <c r="J187" s="28" t="s">
        <v>319</v>
      </c>
      <c r="K187" s="28" t="s">
        <v>319</v>
      </c>
      <c r="L187" s="28" t="s">
        <v>319</v>
      </c>
      <c r="M187" s="28" t="s">
        <v>319</v>
      </c>
      <c r="N187" s="28" t="s">
        <v>319</v>
      </c>
      <c r="O187" s="28" t="s">
        <v>319</v>
      </c>
      <c r="P187" s="28" t="s">
        <v>319</v>
      </c>
      <c r="Q187" s="5" t="s">
        <v>673</v>
      </c>
      <c r="R187" s="5" t="s">
        <v>667</v>
      </c>
      <c r="S187" s="6" t="s">
        <v>672</v>
      </c>
      <c r="T187" s="5" t="s">
        <v>854</v>
      </c>
      <c r="U187" s="5" t="s">
        <v>846</v>
      </c>
      <c r="V187" s="5" t="s">
        <v>855</v>
      </c>
      <c r="W187" s="6" t="s">
        <v>665</v>
      </c>
      <c r="X187" s="105">
        <v>34.76</v>
      </c>
      <c r="Y187" s="105">
        <v>34.67</v>
      </c>
      <c r="Z187" s="105">
        <v>34.65</v>
      </c>
      <c r="AA187" s="6" t="s">
        <v>963</v>
      </c>
      <c r="AB187" s="6">
        <v>31.209999999999997</v>
      </c>
      <c r="AC187" s="6">
        <v>31.110000000000003</v>
      </c>
      <c r="AD187" s="6">
        <v>31.08</v>
      </c>
      <c r="AE187" s="6" t="s">
        <v>956</v>
      </c>
      <c r="AF187" s="6"/>
      <c r="AG187" s="12">
        <v>35</v>
      </c>
      <c r="AH187" s="6"/>
      <c r="AI187" s="6" t="s">
        <v>965</v>
      </c>
      <c r="AJ187" s="112"/>
      <c r="AK187" s="112">
        <v>9.7000000000000003E-3</v>
      </c>
      <c r="AL187" s="6"/>
      <c r="AM187" s="6"/>
      <c r="AN187" s="6"/>
      <c r="AO187" s="5"/>
      <c r="AP187" s="6"/>
      <c r="AQ187" s="28" t="s">
        <v>319</v>
      </c>
      <c r="AR187" s="28" t="s">
        <v>319</v>
      </c>
      <c r="AS187" s="28" t="s">
        <v>319</v>
      </c>
      <c r="AT187" s="28" t="s">
        <v>319</v>
      </c>
      <c r="AU187" s="28" t="s">
        <v>319</v>
      </c>
      <c r="AV187" s="28" t="s">
        <v>319</v>
      </c>
      <c r="AW187" s="28" t="s">
        <v>319</v>
      </c>
      <c r="AX187" s="28" t="s">
        <v>319</v>
      </c>
      <c r="AY187" s="28" t="s">
        <v>319</v>
      </c>
      <c r="AZ187" s="28" t="s">
        <v>319</v>
      </c>
      <c r="BA187" s="28" t="s">
        <v>319</v>
      </c>
      <c r="BB187" s="6" t="s">
        <v>984</v>
      </c>
      <c r="BC187" s="5" t="s">
        <v>681</v>
      </c>
      <c r="BD187" s="212" t="s">
        <v>1452</v>
      </c>
      <c r="BE187" s="6" t="s">
        <v>1010</v>
      </c>
      <c r="BF187" s="181" t="s">
        <v>1447</v>
      </c>
      <c r="BG187" s="12">
        <v>46</v>
      </c>
      <c r="BH187" s="28" t="s">
        <v>319</v>
      </c>
      <c r="BI187" s="28" t="s">
        <v>319</v>
      </c>
      <c r="BJ187" s="28" t="s">
        <v>319</v>
      </c>
      <c r="BK187" s="28" t="s">
        <v>319</v>
      </c>
      <c r="BL187" s="28" t="s">
        <v>319</v>
      </c>
      <c r="BM187" s="28" t="s">
        <v>319</v>
      </c>
      <c r="BN187" s="28" t="s">
        <v>319</v>
      </c>
      <c r="BO187" s="28" t="s">
        <v>319</v>
      </c>
      <c r="BP187" s="28" t="s">
        <v>319</v>
      </c>
      <c r="BQ187" s="28" t="s">
        <v>319</v>
      </c>
      <c r="BR187" s="5"/>
      <c r="BS187" s="105"/>
      <c r="BT187" s="6"/>
      <c r="BU187" s="12">
        <v>2.6</v>
      </c>
      <c r="BV187" s="6" t="s">
        <v>1035</v>
      </c>
      <c r="BW187" s="105">
        <v>1.39</v>
      </c>
      <c r="BX187" s="6"/>
      <c r="BY187" s="6"/>
      <c r="BZ187" s="30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9"/>
      <c r="DB187" s="6" t="s">
        <v>1054</v>
      </c>
      <c r="DC187" s="30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 t="s">
        <v>319</v>
      </c>
      <c r="DO187" s="28" t="s">
        <v>319</v>
      </c>
      <c r="DP187" s="28" t="s">
        <v>319</v>
      </c>
      <c r="DQ187" s="28" t="s">
        <v>319</v>
      </c>
      <c r="DR187" s="28" t="s">
        <v>319</v>
      </c>
      <c r="DS187" s="28" t="s">
        <v>319</v>
      </c>
      <c r="DT187" s="28" t="s">
        <v>319</v>
      </c>
      <c r="DU187" s="28" t="s">
        <v>319</v>
      </c>
      <c r="DV187" s="28" t="s">
        <v>319</v>
      </c>
      <c r="DW187" s="28" t="s">
        <v>319</v>
      </c>
      <c r="DX187" s="28" t="s">
        <v>319</v>
      </c>
      <c r="DY187" s="28" t="s">
        <v>319</v>
      </c>
      <c r="DZ187" s="28" t="s">
        <v>319</v>
      </c>
      <c r="EA187" s="28" t="s">
        <v>319</v>
      </c>
      <c r="EB187" s="28" t="s">
        <v>319</v>
      </c>
      <c r="EC187" s="28" t="s">
        <v>319</v>
      </c>
      <c r="ED187" s="28" t="s">
        <v>319</v>
      </c>
      <c r="EE187" s="28"/>
      <c r="EF187" s="28" t="s">
        <v>319</v>
      </c>
      <c r="EG187" s="28" t="s">
        <v>319</v>
      </c>
      <c r="EH187" s="28" t="s">
        <v>319</v>
      </c>
      <c r="EI187" s="28" t="s">
        <v>319</v>
      </c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7"/>
      <c r="FK187" s="15" t="s">
        <v>1060</v>
      </c>
      <c r="FL187" s="6"/>
      <c r="FM187" s="94"/>
    </row>
    <row r="188" spans="1:169" s="3" customFormat="1" ht="34.799999999999997" x14ac:dyDescent="0.4">
      <c r="A188" s="93"/>
      <c r="B188" s="93"/>
      <c r="C188" s="26"/>
      <c r="D188" s="27" t="s">
        <v>319</v>
      </c>
      <c r="E188" s="2" t="s">
        <v>502</v>
      </c>
      <c r="F188" s="28" t="s">
        <v>319</v>
      </c>
      <c r="G188" s="28" t="s">
        <v>319</v>
      </c>
      <c r="H188" s="28" t="s">
        <v>319</v>
      </c>
      <c r="I188" s="6" t="s">
        <v>638</v>
      </c>
      <c r="J188" s="28" t="s">
        <v>319</v>
      </c>
      <c r="K188" s="28" t="s">
        <v>319</v>
      </c>
      <c r="L188" s="28" t="s">
        <v>319</v>
      </c>
      <c r="M188" s="28" t="s">
        <v>319</v>
      </c>
      <c r="N188" s="28" t="s">
        <v>319</v>
      </c>
      <c r="O188" s="28" t="s">
        <v>319</v>
      </c>
      <c r="P188" s="28" t="s">
        <v>319</v>
      </c>
      <c r="Q188" s="5" t="s">
        <v>845</v>
      </c>
      <c r="R188" s="5" t="s">
        <v>667</v>
      </c>
      <c r="S188" s="6" t="s">
        <v>678</v>
      </c>
      <c r="T188" s="5" t="s">
        <v>856</v>
      </c>
      <c r="U188" s="5" t="s">
        <v>857</v>
      </c>
      <c r="V188" s="5" t="s">
        <v>858</v>
      </c>
      <c r="W188" s="6" t="s">
        <v>665</v>
      </c>
      <c r="X188" s="105">
        <v>33.880000000000003</v>
      </c>
      <c r="Y188" s="105">
        <v>33.85</v>
      </c>
      <c r="Z188" s="105">
        <v>33.840000000000003</v>
      </c>
      <c r="AA188" s="6" t="s">
        <v>963</v>
      </c>
      <c r="AB188" s="6">
        <v>0.53999999999999915</v>
      </c>
      <c r="AC188" s="6">
        <v>0.41000000000000369</v>
      </c>
      <c r="AD188" s="6">
        <v>0.36000000000000654</v>
      </c>
      <c r="AE188" s="6" t="s">
        <v>956</v>
      </c>
      <c r="AF188" s="6"/>
      <c r="AG188" s="12">
        <v>35</v>
      </c>
      <c r="AH188" s="6"/>
      <c r="AI188" s="6" t="s">
        <v>965</v>
      </c>
      <c r="AJ188" s="5"/>
      <c r="AK188" s="112">
        <v>9.1999999999999998E-3</v>
      </c>
      <c r="AL188" s="6"/>
      <c r="AM188" s="6"/>
      <c r="AN188" s="6"/>
      <c r="AO188" s="5"/>
      <c r="AP188" s="6"/>
      <c r="AQ188" s="28" t="s">
        <v>319</v>
      </c>
      <c r="AR188" s="28" t="s">
        <v>319</v>
      </c>
      <c r="AS188" s="28" t="s">
        <v>319</v>
      </c>
      <c r="AT188" s="28" t="s">
        <v>319</v>
      </c>
      <c r="AU188" s="28" t="s">
        <v>319</v>
      </c>
      <c r="AV188" s="28" t="s">
        <v>319</v>
      </c>
      <c r="AW188" s="28" t="s">
        <v>319</v>
      </c>
      <c r="AX188" s="28" t="s">
        <v>319</v>
      </c>
      <c r="AY188" s="28" t="s">
        <v>319</v>
      </c>
      <c r="AZ188" s="28" t="s">
        <v>319</v>
      </c>
      <c r="BA188" s="28" t="s">
        <v>319</v>
      </c>
      <c r="BB188" s="6" t="s">
        <v>984</v>
      </c>
      <c r="BC188" s="5" t="s">
        <v>681</v>
      </c>
      <c r="BD188" s="212" t="s">
        <v>1453</v>
      </c>
      <c r="BE188" s="6" t="s">
        <v>1010</v>
      </c>
      <c r="BF188" s="181" t="s">
        <v>1448</v>
      </c>
      <c r="BG188" s="12">
        <v>37.5</v>
      </c>
      <c r="BH188" s="28" t="s">
        <v>319</v>
      </c>
      <c r="BI188" s="28" t="s">
        <v>319</v>
      </c>
      <c r="BJ188" s="28" t="s">
        <v>319</v>
      </c>
      <c r="BK188" s="28" t="s">
        <v>319</v>
      </c>
      <c r="BL188" s="28" t="s">
        <v>319</v>
      </c>
      <c r="BM188" s="28" t="s">
        <v>319</v>
      </c>
      <c r="BN188" s="28" t="s">
        <v>319</v>
      </c>
      <c r="BO188" s="28" t="s">
        <v>319</v>
      </c>
      <c r="BP188" s="28" t="s">
        <v>319</v>
      </c>
      <c r="BQ188" s="28" t="s">
        <v>319</v>
      </c>
      <c r="BR188" s="5"/>
      <c r="BS188" s="105"/>
      <c r="BT188" s="6"/>
      <c r="BU188" s="12">
        <v>2</v>
      </c>
      <c r="BV188" s="6" t="s">
        <v>1037</v>
      </c>
      <c r="BW188" s="12">
        <v>1.4</v>
      </c>
      <c r="BX188" s="6"/>
      <c r="BY188" s="6"/>
      <c r="BZ188" s="30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9"/>
      <c r="DB188" s="6"/>
      <c r="DC188" s="30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 t="s">
        <v>319</v>
      </c>
      <c r="DO188" s="28" t="s">
        <v>319</v>
      </c>
      <c r="DP188" s="28" t="s">
        <v>319</v>
      </c>
      <c r="DQ188" s="28" t="s">
        <v>319</v>
      </c>
      <c r="DR188" s="28" t="s">
        <v>319</v>
      </c>
      <c r="DS188" s="28" t="s">
        <v>319</v>
      </c>
      <c r="DT188" s="28" t="s">
        <v>319</v>
      </c>
      <c r="DU188" s="28" t="s">
        <v>319</v>
      </c>
      <c r="DV188" s="28" t="s">
        <v>319</v>
      </c>
      <c r="DW188" s="28" t="s">
        <v>319</v>
      </c>
      <c r="DX188" s="28" t="s">
        <v>319</v>
      </c>
      <c r="DY188" s="28" t="s">
        <v>319</v>
      </c>
      <c r="DZ188" s="28" t="s">
        <v>319</v>
      </c>
      <c r="EA188" s="28" t="s">
        <v>319</v>
      </c>
      <c r="EB188" s="28" t="s">
        <v>319</v>
      </c>
      <c r="EC188" s="28" t="s">
        <v>319</v>
      </c>
      <c r="ED188" s="28" t="s">
        <v>319</v>
      </c>
      <c r="EE188" s="28"/>
      <c r="EF188" s="28" t="s">
        <v>319</v>
      </c>
      <c r="EG188" s="28" t="s">
        <v>319</v>
      </c>
      <c r="EH188" s="28" t="s">
        <v>319</v>
      </c>
      <c r="EI188" s="28" t="s">
        <v>319</v>
      </c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7"/>
      <c r="FK188" s="15" t="s">
        <v>1060</v>
      </c>
      <c r="FL188" s="6"/>
      <c r="FM188" s="94"/>
    </row>
    <row r="189" spans="1:169" s="3" customFormat="1" ht="34.799999999999997" x14ac:dyDescent="0.4">
      <c r="A189" s="93"/>
      <c r="B189" s="93"/>
      <c r="C189" s="26"/>
      <c r="D189" s="27" t="s">
        <v>319</v>
      </c>
      <c r="E189" s="2" t="s">
        <v>503</v>
      </c>
      <c r="F189" s="28" t="s">
        <v>319</v>
      </c>
      <c r="G189" s="28" t="s">
        <v>319</v>
      </c>
      <c r="H189" s="28" t="s">
        <v>319</v>
      </c>
      <c r="I189" s="6" t="s">
        <v>639</v>
      </c>
      <c r="J189" s="28" t="s">
        <v>319</v>
      </c>
      <c r="K189" s="28" t="s">
        <v>319</v>
      </c>
      <c r="L189" s="28" t="s">
        <v>319</v>
      </c>
      <c r="M189" s="28" t="s">
        <v>319</v>
      </c>
      <c r="N189" s="28" t="s">
        <v>319</v>
      </c>
      <c r="O189" s="28" t="s">
        <v>319</v>
      </c>
      <c r="P189" s="28" t="s">
        <v>319</v>
      </c>
      <c r="Q189" s="5" t="s">
        <v>673</v>
      </c>
      <c r="R189" s="5" t="s">
        <v>667</v>
      </c>
      <c r="S189" s="6" t="s">
        <v>672</v>
      </c>
      <c r="T189" s="5"/>
      <c r="U189" s="5" t="s">
        <v>859</v>
      </c>
      <c r="V189" s="5"/>
      <c r="W189" s="6" t="s">
        <v>665</v>
      </c>
      <c r="X189" s="5"/>
      <c r="Y189" s="105">
        <v>6</v>
      </c>
      <c r="Z189" s="5"/>
      <c r="AA189" s="6" t="s">
        <v>963</v>
      </c>
      <c r="AB189" s="6"/>
      <c r="AC189" s="6">
        <v>5.5</v>
      </c>
      <c r="AD189" s="6"/>
      <c r="AE189" s="6" t="s">
        <v>956</v>
      </c>
      <c r="AF189" s="6"/>
      <c r="AG189" s="12">
        <v>35</v>
      </c>
      <c r="AH189" s="6"/>
      <c r="AI189" s="6" t="s">
        <v>965</v>
      </c>
      <c r="AJ189" s="108"/>
      <c r="AK189" s="112">
        <v>1.0200000000000001E-2</v>
      </c>
      <c r="AL189" s="6"/>
      <c r="AM189" s="6"/>
      <c r="AN189" s="6"/>
      <c r="AO189" s="5"/>
      <c r="AP189" s="6"/>
      <c r="AQ189" s="28" t="s">
        <v>319</v>
      </c>
      <c r="AR189" s="28" t="s">
        <v>319</v>
      </c>
      <c r="AS189" s="28" t="s">
        <v>319</v>
      </c>
      <c r="AT189" s="28" t="s">
        <v>319</v>
      </c>
      <c r="AU189" s="28" t="s">
        <v>319</v>
      </c>
      <c r="AV189" s="28" t="s">
        <v>319</v>
      </c>
      <c r="AW189" s="28" t="s">
        <v>319</v>
      </c>
      <c r="AX189" s="28" t="s">
        <v>319</v>
      </c>
      <c r="AY189" s="28" t="s">
        <v>319</v>
      </c>
      <c r="AZ189" s="28" t="s">
        <v>319</v>
      </c>
      <c r="BA189" s="28" t="s">
        <v>319</v>
      </c>
      <c r="BB189" s="6" t="s">
        <v>984</v>
      </c>
      <c r="BC189" s="5" t="s">
        <v>681</v>
      </c>
      <c r="BD189" s="106">
        <v>150</v>
      </c>
      <c r="BE189" s="6" t="s">
        <v>1008</v>
      </c>
      <c r="BF189" s="181" t="s">
        <v>1447</v>
      </c>
      <c r="BG189" s="12">
        <v>7.5</v>
      </c>
      <c r="BH189" s="28" t="s">
        <v>319</v>
      </c>
      <c r="BI189" s="28" t="s">
        <v>319</v>
      </c>
      <c r="BJ189" s="28" t="s">
        <v>319</v>
      </c>
      <c r="BK189" s="28" t="s">
        <v>319</v>
      </c>
      <c r="BL189" s="28" t="s">
        <v>319</v>
      </c>
      <c r="BM189" s="28" t="s">
        <v>319</v>
      </c>
      <c r="BN189" s="28" t="s">
        <v>319</v>
      </c>
      <c r="BO189" s="28" t="s">
        <v>319</v>
      </c>
      <c r="BP189" s="28" t="s">
        <v>319</v>
      </c>
      <c r="BQ189" s="28" t="s">
        <v>319</v>
      </c>
      <c r="BR189" s="5"/>
      <c r="BS189" s="105"/>
      <c r="BT189" s="6"/>
      <c r="BU189" s="12">
        <v>5.0999999999999996</v>
      </c>
      <c r="BV189" s="6" t="s">
        <v>1038</v>
      </c>
      <c r="BW189" s="105">
        <v>1.37</v>
      </c>
      <c r="BX189" s="6"/>
      <c r="BY189" s="6"/>
      <c r="BZ189" s="30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9"/>
      <c r="DB189" s="6"/>
      <c r="DC189" s="30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 t="s">
        <v>319</v>
      </c>
      <c r="DO189" s="28" t="s">
        <v>319</v>
      </c>
      <c r="DP189" s="28" t="s">
        <v>319</v>
      </c>
      <c r="DQ189" s="28" t="s">
        <v>319</v>
      </c>
      <c r="DR189" s="28" t="s">
        <v>319</v>
      </c>
      <c r="DS189" s="28" t="s">
        <v>319</v>
      </c>
      <c r="DT189" s="28" t="s">
        <v>319</v>
      </c>
      <c r="DU189" s="28" t="s">
        <v>319</v>
      </c>
      <c r="DV189" s="28" t="s">
        <v>319</v>
      </c>
      <c r="DW189" s="28" t="s">
        <v>319</v>
      </c>
      <c r="DX189" s="28" t="s">
        <v>319</v>
      </c>
      <c r="DY189" s="28" t="s">
        <v>319</v>
      </c>
      <c r="DZ189" s="28" t="s">
        <v>319</v>
      </c>
      <c r="EA189" s="28" t="s">
        <v>319</v>
      </c>
      <c r="EB189" s="28" t="s">
        <v>319</v>
      </c>
      <c r="EC189" s="28" t="s">
        <v>319</v>
      </c>
      <c r="ED189" s="28" t="s">
        <v>319</v>
      </c>
      <c r="EE189" s="28"/>
      <c r="EF189" s="28" t="s">
        <v>319</v>
      </c>
      <c r="EG189" s="28" t="s">
        <v>319</v>
      </c>
      <c r="EH189" s="28" t="s">
        <v>319</v>
      </c>
      <c r="EI189" s="28" t="s">
        <v>319</v>
      </c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7"/>
      <c r="FK189" s="15" t="s">
        <v>1060</v>
      </c>
      <c r="FL189" s="6"/>
      <c r="FM189" s="94"/>
    </row>
    <row r="190" spans="1:169" s="3" customFormat="1" ht="34.799999999999997" x14ac:dyDescent="0.4">
      <c r="A190" s="93"/>
      <c r="B190" s="93"/>
      <c r="C190" s="26"/>
      <c r="D190" s="27" t="s">
        <v>319</v>
      </c>
      <c r="E190" s="2" t="s">
        <v>542</v>
      </c>
      <c r="F190" s="28" t="s">
        <v>319</v>
      </c>
      <c r="G190" s="28" t="s">
        <v>319</v>
      </c>
      <c r="H190" s="28" t="s">
        <v>319</v>
      </c>
      <c r="I190" s="6" t="s">
        <v>639</v>
      </c>
      <c r="J190" s="28" t="s">
        <v>319</v>
      </c>
      <c r="K190" s="28" t="s">
        <v>319</v>
      </c>
      <c r="L190" s="28" t="s">
        <v>319</v>
      </c>
      <c r="M190" s="28" t="s">
        <v>319</v>
      </c>
      <c r="N190" s="28" t="s">
        <v>319</v>
      </c>
      <c r="O190" s="28" t="s">
        <v>319</v>
      </c>
      <c r="P190" s="28" t="s">
        <v>319</v>
      </c>
      <c r="Q190" s="5" t="s">
        <v>845</v>
      </c>
      <c r="R190" s="5" t="s">
        <v>667</v>
      </c>
      <c r="S190" s="6" t="s">
        <v>672</v>
      </c>
      <c r="T190" s="238">
        <f>3700*1.1*0.2</f>
        <v>814.00000000000011</v>
      </c>
      <c r="U190" s="238">
        <f>3700*1.1*0.3</f>
        <v>1221</v>
      </c>
      <c r="V190" s="238">
        <f>3700*1.1*0.3*2</f>
        <v>2442</v>
      </c>
      <c r="W190" s="6" t="s">
        <v>665</v>
      </c>
      <c r="X190" s="105">
        <v>33.880000000000003</v>
      </c>
      <c r="Y190" s="105">
        <v>33.85</v>
      </c>
      <c r="Z190" s="105">
        <v>33.840000000000003</v>
      </c>
      <c r="AA190" s="6" t="s">
        <v>982</v>
      </c>
      <c r="AB190" s="6" t="s">
        <v>1093</v>
      </c>
      <c r="AC190" s="6" t="s">
        <v>1092</v>
      </c>
      <c r="AD190" s="6" t="s">
        <v>1091</v>
      </c>
      <c r="AE190" s="6" t="s">
        <v>984</v>
      </c>
      <c r="AF190" s="6"/>
      <c r="AG190" s="12">
        <v>35</v>
      </c>
      <c r="AH190" s="6"/>
      <c r="AI190" s="6" t="s">
        <v>965</v>
      </c>
      <c r="AJ190" s="108"/>
      <c r="AK190" s="112">
        <v>9.1999999999999998E-3</v>
      </c>
      <c r="AL190" s="6"/>
      <c r="AM190" s="6"/>
      <c r="AN190" s="6"/>
      <c r="AO190" s="5"/>
      <c r="AP190" s="6"/>
      <c r="AQ190" s="28" t="s">
        <v>319</v>
      </c>
      <c r="AR190" s="28" t="s">
        <v>319</v>
      </c>
      <c r="AS190" s="28" t="s">
        <v>319</v>
      </c>
      <c r="AT190" s="28" t="s">
        <v>319</v>
      </c>
      <c r="AU190" s="28" t="s">
        <v>319</v>
      </c>
      <c r="AV190" s="28" t="s">
        <v>319</v>
      </c>
      <c r="AW190" s="28" t="s">
        <v>319</v>
      </c>
      <c r="AX190" s="28" t="s">
        <v>319</v>
      </c>
      <c r="AY190" s="28" t="s">
        <v>319</v>
      </c>
      <c r="AZ190" s="28" t="s">
        <v>319</v>
      </c>
      <c r="BA190" s="28" t="s">
        <v>319</v>
      </c>
      <c r="BB190" s="6" t="s">
        <v>984</v>
      </c>
      <c r="BC190" s="5" t="s">
        <v>1012</v>
      </c>
      <c r="BD190" s="212" t="s">
        <v>1453</v>
      </c>
      <c r="BE190" s="6" t="s">
        <v>1010</v>
      </c>
      <c r="BF190" s="181" t="s">
        <v>1448</v>
      </c>
      <c r="BG190" s="12">
        <v>37.5</v>
      </c>
      <c r="BH190" s="28" t="s">
        <v>319</v>
      </c>
      <c r="BI190" s="28" t="s">
        <v>319</v>
      </c>
      <c r="BJ190" s="28" t="s">
        <v>319</v>
      </c>
      <c r="BK190" s="28" t="s">
        <v>319</v>
      </c>
      <c r="BL190" s="28" t="s">
        <v>319</v>
      </c>
      <c r="BM190" s="28" t="s">
        <v>319</v>
      </c>
      <c r="BN190" s="28" t="s">
        <v>319</v>
      </c>
      <c r="BO190" s="28" t="s">
        <v>319</v>
      </c>
      <c r="BP190" s="28" t="s">
        <v>319</v>
      </c>
      <c r="BQ190" s="28" t="s">
        <v>319</v>
      </c>
      <c r="BR190" s="5"/>
      <c r="BS190" s="105"/>
      <c r="BT190" s="6"/>
      <c r="BU190" s="12">
        <v>2</v>
      </c>
      <c r="BV190" s="6" t="s">
        <v>1036</v>
      </c>
      <c r="BW190" s="12">
        <v>1.4</v>
      </c>
      <c r="BX190" s="6"/>
      <c r="BY190" s="6"/>
      <c r="BZ190" s="30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9"/>
      <c r="DB190" s="6"/>
      <c r="DC190" s="30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 t="s">
        <v>319</v>
      </c>
      <c r="DO190" s="28" t="s">
        <v>319</v>
      </c>
      <c r="DP190" s="28" t="s">
        <v>319</v>
      </c>
      <c r="DQ190" s="28" t="s">
        <v>319</v>
      </c>
      <c r="DR190" s="28" t="s">
        <v>319</v>
      </c>
      <c r="DS190" s="28" t="s">
        <v>319</v>
      </c>
      <c r="DT190" s="28" t="s">
        <v>319</v>
      </c>
      <c r="DU190" s="28" t="s">
        <v>319</v>
      </c>
      <c r="DV190" s="28" t="s">
        <v>319</v>
      </c>
      <c r="DW190" s="28" t="s">
        <v>319</v>
      </c>
      <c r="DX190" s="28" t="s">
        <v>319</v>
      </c>
      <c r="DY190" s="28" t="s">
        <v>319</v>
      </c>
      <c r="DZ190" s="28" t="s">
        <v>319</v>
      </c>
      <c r="EA190" s="28" t="s">
        <v>319</v>
      </c>
      <c r="EB190" s="28" t="s">
        <v>319</v>
      </c>
      <c r="EC190" s="28" t="s">
        <v>319</v>
      </c>
      <c r="ED190" s="28" t="s">
        <v>319</v>
      </c>
      <c r="EE190" s="28"/>
      <c r="EF190" s="28" t="s">
        <v>319</v>
      </c>
      <c r="EG190" s="28" t="s">
        <v>319</v>
      </c>
      <c r="EH190" s="28" t="s">
        <v>319</v>
      </c>
      <c r="EI190" s="28" t="s">
        <v>319</v>
      </c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7"/>
      <c r="FK190" s="15" t="s">
        <v>1060</v>
      </c>
      <c r="FL190" s="6"/>
      <c r="FM190" s="94"/>
    </row>
    <row r="191" spans="1:169" s="3" customFormat="1" x14ac:dyDescent="0.4">
      <c r="A191" s="93"/>
      <c r="B191" s="93"/>
      <c r="C191" s="26"/>
      <c r="D191" s="27" t="s">
        <v>319</v>
      </c>
      <c r="E191" s="2" t="s">
        <v>373</v>
      </c>
      <c r="F191" s="28" t="s">
        <v>319</v>
      </c>
      <c r="G191" s="28" t="s">
        <v>319</v>
      </c>
      <c r="H191" s="28" t="s">
        <v>319</v>
      </c>
      <c r="I191" s="6" t="s">
        <v>640</v>
      </c>
      <c r="J191" s="28" t="s">
        <v>319</v>
      </c>
      <c r="K191" s="28" t="s">
        <v>319</v>
      </c>
      <c r="L191" s="28" t="s">
        <v>319</v>
      </c>
      <c r="M191" s="28" t="s">
        <v>319</v>
      </c>
      <c r="N191" s="28" t="s">
        <v>319</v>
      </c>
      <c r="O191" s="28" t="s">
        <v>319</v>
      </c>
      <c r="P191" s="28" t="s">
        <v>319</v>
      </c>
      <c r="Q191" s="5" t="s">
        <v>673</v>
      </c>
      <c r="R191" s="5" t="s">
        <v>663</v>
      </c>
      <c r="S191" s="6" t="s">
        <v>672</v>
      </c>
      <c r="T191" s="5" t="s">
        <v>860</v>
      </c>
      <c r="U191" s="5" t="s">
        <v>861</v>
      </c>
      <c r="V191" s="5" t="s">
        <v>862</v>
      </c>
      <c r="W191" s="6" t="s">
        <v>665</v>
      </c>
      <c r="X191" s="105">
        <v>9.09</v>
      </c>
      <c r="Y191" s="105">
        <v>8.25</v>
      </c>
      <c r="Z191" s="105">
        <v>7.72</v>
      </c>
      <c r="AA191" s="6" t="s">
        <v>963</v>
      </c>
      <c r="AB191" s="225">
        <f>2.29+0.34</f>
        <v>2.63</v>
      </c>
      <c r="AC191" s="225">
        <f>1.31+0.34</f>
        <v>1.6500000000000001</v>
      </c>
      <c r="AD191" s="225">
        <f>0.7+0.34</f>
        <v>1.04</v>
      </c>
      <c r="AE191" s="6" t="s">
        <v>956</v>
      </c>
      <c r="AF191" s="6"/>
      <c r="AG191" s="12">
        <v>-69.400000000000006</v>
      </c>
      <c r="AH191" s="6"/>
      <c r="AI191" s="6" t="s">
        <v>965</v>
      </c>
      <c r="AJ191" s="112"/>
      <c r="AK191" s="108">
        <v>0.11</v>
      </c>
      <c r="AL191" s="6"/>
      <c r="AM191" s="6" t="s">
        <v>958</v>
      </c>
      <c r="AN191" s="6"/>
      <c r="AO191" s="105">
        <v>4.8</v>
      </c>
      <c r="AP191" s="6"/>
      <c r="AQ191" s="28" t="s">
        <v>319</v>
      </c>
      <c r="AR191" s="28" t="s">
        <v>319</v>
      </c>
      <c r="AS191" s="28" t="s">
        <v>319</v>
      </c>
      <c r="AT191" s="28" t="s">
        <v>319</v>
      </c>
      <c r="AU191" s="28" t="s">
        <v>319</v>
      </c>
      <c r="AV191" s="28" t="s">
        <v>319</v>
      </c>
      <c r="AW191" s="28" t="s">
        <v>319</v>
      </c>
      <c r="AX191" s="28" t="s">
        <v>319</v>
      </c>
      <c r="AY191" s="28" t="s">
        <v>319</v>
      </c>
      <c r="AZ191" s="28" t="s">
        <v>319</v>
      </c>
      <c r="BA191" s="28" t="s">
        <v>319</v>
      </c>
      <c r="BB191" s="6" t="s">
        <v>984</v>
      </c>
      <c r="BC191" s="106">
        <v>-104</v>
      </c>
      <c r="BD191" s="106">
        <v>65</v>
      </c>
      <c r="BE191" s="6" t="s">
        <v>1010</v>
      </c>
      <c r="BF191" s="6"/>
      <c r="BG191" s="12">
        <v>18</v>
      </c>
      <c r="BH191" s="28" t="s">
        <v>319</v>
      </c>
      <c r="BI191" s="28" t="s">
        <v>319</v>
      </c>
      <c r="BJ191" s="28" t="s">
        <v>319</v>
      </c>
      <c r="BK191" s="28" t="s">
        <v>319</v>
      </c>
      <c r="BL191" s="28" t="s">
        <v>319</v>
      </c>
      <c r="BM191" s="28" t="s">
        <v>319</v>
      </c>
      <c r="BN191" s="28" t="s">
        <v>319</v>
      </c>
      <c r="BO191" s="28" t="s">
        <v>319</v>
      </c>
      <c r="BP191" s="28" t="s">
        <v>319</v>
      </c>
      <c r="BQ191" s="28" t="s">
        <v>319</v>
      </c>
      <c r="BR191" s="105">
        <v>50.93</v>
      </c>
      <c r="BS191" s="12">
        <v>516.4</v>
      </c>
      <c r="BT191" s="6"/>
      <c r="BU191" s="5"/>
      <c r="BV191" s="6"/>
      <c r="BW191" s="5"/>
      <c r="BX191" s="8" t="s">
        <v>1413</v>
      </c>
      <c r="BY191" s="6"/>
      <c r="BZ191" s="30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9"/>
      <c r="DB191" s="6"/>
      <c r="DC191" s="30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 t="s">
        <v>319</v>
      </c>
      <c r="DO191" s="28" t="s">
        <v>319</v>
      </c>
      <c r="DP191" s="28" t="s">
        <v>319</v>
      </c>
      <c r="DQ191" s="28" t="s">
        <v>319</v>
      </c>
      <c r="DR191" s="28" t="s">
        <v>319</v>
      </c>
      <c r="DS191" s="28" t="s">
        <v>319</v>
      </c>
      <c r="DT191" s="28" t="s">
        <v>319</v>
      </c>
      <c r="DU191" s="28" t="s">
        <v>319</v>
      </c>
      <c r="DV191" s="28" t="s">
        <v>319</v>
      </c>
      <c r="DW191" s="28" t="s">
        <v>319</v>
      </c>
      <c r="DX191" s="28" t="s">
        <v>319</v>
      </c>
      <c r="DY191" s="28" t="s">
        <v>319</v>
      </c>
      <c r="DZ191" s="28" t="s">
        <v>319</v>
      </c>
      <c r="EA191" s="28" t="s">
        <v>319</v>
      </c>
      <c r="EB191" s="28" t="s">
        <v>319</v>
      </c>
      <c r="EC191" s="28" t="s">
        <v>319</v>
      </c>
      <c r="ED191" s="28" t="s">
        <v>319</v>
      </c>
      <c r="EE191" s="28"/>
      <c r="EF191" s="28" t="s">
        <v>319</v>
      </c>
      <c r="EG191" s="28" t="s">
        <v>319</v>
      </c>
      <c r="EH191" s="28" t="s">
        <v>319</v>
      </c>
      <c r="EI191" s="28" t="s">
        <v>319</v>
      </c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7"/>
      <c r="FK191" s="6"/>
      <c r="FL191" s="6"/>
      <c r="FM191" s="97"/>
    </row>
    <row r="192" spans="1:169" s="22" customFormat="1" x14ac:dyDescent="0.4">
      <c r="A192" s="93"/>
      <c r="B192" s="93"/>
      <c r="C192" s="26"/>
      <c r="D192" s="27"/>
      <c r="E192" s="198" t="s">
        <v>1242</v>
      </c>
      <c r="F192" s="199"/>
      <c r="G192" s="199"/>
      <c r="H192" s="199"/>
      <c r="I192" s="200" t="s">
        <v>640</v>
      </c>
      <c r="J192" s="199"/>
      <c r="K192" s="199"/>
      <c r="L192" s="199"/>
      <c r="M192" s="199"/>
      <c r="N192" s="199"/>
      <c r="O192" s="199"/>
      <c r="P192" s="199"/>
      <c r="Q192" s="201" t="s">
        <v>845</v>
      </c>
      <c r="R192" s="201" t="s">
        <v>1431</v>
      </c>
      <c r="S192" s="200" t="s">
        <v>664</v>
      </c>
      <c r="T192" s="201">
        <f>U192/2</f>
        <v>94835</v>
      </c>
      <c r="U192" s="201">
        <v>189670</v>
      </c>
      <c r="V192" s="201">
        <f>U192*1.2</f>
        <v>227604</v>
      </c>
      <c r="W192" s="200" t="s">
        <v>665</v>
      </c>
      <c r="X192" s="202">
        <v>3.83</v>
      </c>
      <c r="Y192" s="202">
        <v>3.79</v>
      </c>
      <c r="Z192" s="202">
        <v>3.75</v>
      </c>
      <c r="AA192" s="200" t="s">
        <v>955</v>
      </c>
      <c r="AB192" s="200" t="s">
        <v>1433</v>
      </c>
      <c r="AC192" s="200" t="s">
        <v>1432</v>
      </c>
      <c r="AD192" s="200" t="s">
        <v>1434</v>
      </c>
      <c r="AE192" s="200" t="s">
        <v>956</v>
      </c>
      <c r="AF192" s="200"/>
      <c r="AG192" s="203">
        <v>-69.2</v>
      </c>
      <c r="AH192" s="200"/>
      <c r="AI192" s="200" t="s">
        <v>957</v>
      </c>
      <c r="AJ192" s="204"/>
      <c r="AK192" s="205">
        <v>7.1000000000000004E-3</v>
      </c>
      <c r="AL192" s="200"/>
      <c r="AM192" s="200" t="s">
        <v>958</v>
      </c>
      <c r="AN192" s="200"/>
      <c r="AO192" s="202"/>
      <c r="AP192" s="200"/>
      <c r="AQ192" s="199"/>
      <c r="AR192" s="199"/>
      <c r="AS192" s="199"/>
      <c r="AT192" s="199"/>
      <c r="AU192" s="199"/>
      <c r="AV192" s="199"/>
      <c r="AW192" s="199"/>
      <c r="AX192" s="199"/>
      <c r="AY192" s="199"/>
      <c r="AZ192" s="199"/>
      <c r="BA192" s="199"/>
      <c r="BB192" s="200" t="s">
        <v>984</v>
      </c>
      <c r="BC192" s="206">
        <v>-101.5</v>
      </c>
      <c r="BD192" s="206">
        <v>65</v>
      </c>
      <c r="BE192" s="200" t="s">
        <v>1008</v>
      </c>
      <c r="BF192" s="200"/>
      <c r="BG192" s="203">
        <v>12</v>
      </c>
      <c r="BH192" s="199"/>
      <c r="BI192" s="199"/>
      <c r="BJ192" s="199"/>
      <c r="BK192" s="199"/>
      <c r="BL192" s="199"/>
      <c r="BM192" s="199"/>
      <c r="BN192" s="199"/>
      <c r="BO192" s="199"/>
      <c r="BP192" s="199"/>
      <c r="BQ192" s="199"/>
      <c r="BR192" s="202"/>
      <c r="BS192" s="203"/>
      <c r="BT192" s="200"/>
      <c r="BU192" s="201">
        <v>28.4</v>
      </c>
      <c r="BV192" s="200" t="s">
        <v>1435</v>
      </c>
      <c r="BW192" s="201">
        <v>1.36</v>
      </c>
      <c r="BX192" s="200"/>
      <c r="BY192" s="200"/>
      <c r="BZ192" s="207"/>
      <c r="CA192" s="199"/>
      <c r="CB192" s="199"/>
      <c r="CC192" s="199"/>
      <c r="CD192" s="199"/>
      <c r="CE192" s="199"/>
      <c r="CF192" s="199"/>
      <c r="CG192" s="199"/>
      <c r="CH192" s="199"/>
      <c r="CI192" s="199"/>
      <c r="CJ192" s="199"/>
      <c r="CK192" s="199"/>
      <c r="CL192" s="199"/>
      <c r="CM192" s="199"/>
      <c r="CN192" s="199"/>
      <c r="CO192" s="199"/>
      <c r="CP192" s="199"/>
      <c r="CQ192" s="199"/>
      <c r="CR192" s="199"/>
      <c r="CS192" s="199"/>
      <c r="CT192" s="199"/>
      <c r="CU192" s="199"/>
      <c r="CV192" s="199"/>
      <c r="CW192" s="199"/>
      <c r="CX192" s="199"/>
      <c r="CY192" s="199"/>
      <c r="CZ192" s="199"/>
      <c r="DA192" s="208"/>
      <c r="DB192" s="200"/>
      <c r="DC192" s="207"/>
      <c r="DD192" s="199"/>
      <c r="DE192" s="199"/>
      <c r="DF192" s="199"/>
      <c r="DG192" s="199"/>
      <c r="DH192" s="199"/>
      <c r="DI192" s="199"/>
      <c r="DJ192" s="199"/>
      <c r="DK192" s="199"/>
      <c r="DL192" s="199"/>
      <c r="DM192" s="199"/>
      <c r="DN192" s="199"/>
      <c r="DO192" s="199"/>
      <c r="DP192" s="199"/>
      <c r="DQ192" s="199"/>
      <c r="DR192" s="199"/>
      <c r="DS192" s="199"/>
      <c r="DT192" s="199"/>
      <c r="DU192" s="199"/>
      <c r="DV192" s="199"/>
      <c r="DW192" s="199"/>
      <c r="DX192" s="199"/>
      <c r="DY192" s="199"/>
      <c r="DZ192" s="199"/>
      <c r="EA192" s="199"/>
      <c r="EB192" s="199"/>
      <c r="EC192" s="199"/>
      <c r="ED192" s="199"/>
      <c r="EE192" s="199"/>
      <c r="EF192" s="199"/>
      <c r="EG192" s="199"/>
      <c r="EH192" s="199"/>
      <c r="EI192" s="199"/>
      <c r="EJ192" s="199"/>
      <c r="EK192" s="199"/>
      <c r="EL192" s="199"/>
      <c r="EM192" s="199"/>
      <c r="EN192" s="199"/>
      <c r="EO192" s="199"/>
      <c r="EP192" s="199"/>
      <c r="EQ192" s="199"/>
      <c r="ER192" s="199"/>
      <c r="ES192" s="199"/>
      <c r="ET192" s="199"/>
      <c r="EU192" s="199"/>
      <c r="EV192" s="199"/>
      <c r="EW192" s="199"/>
      <c r="EX192" s="199"/>
      <c r="EY192" s="199"/>
      <c r="EZ192" s="199"/>
      <c r="FA192" s="199"/>
      <c r="FB192" s="199"/>
      <c r="FC192" s="199"/>
      <c r="FD192" s="199"/>
      <c r="FE192" s="199"/>
      <c r="FF192" s="199"/>
      <c r="FG192" s="199"/>
      <c r="FH192" s="199"/>
      <c r="FI192" s="199"/>
      <c r="FJ192" s="209"/>
      <c r="FK192" s="200"/>
      <c r="FL192" s="200"/>
      <c r="FM192" s="94"/>
    </row>
    <row r="193" spans="1:169" s="3" customFormat="1" x14ac:dyDescent="0.4">
      <c r="A193" s="93"/>
      <c r="B193" s="93"/>
      <c r="C193" s="26"/>
      <c r="D193" s="27" t="s">
        <v>319</v>
      </c>
      <c r="E193" s="2" t="s">
        <v>504</v>
      </c>
      <c r="F193" s="28" t="s">
        <v>319</v>
      </c>
      <c r="G193" s="28" t="s">
        <v>319</v>
      </c>
      <c r="H193" s="28" t="s">
        <v>319</v>
      </c>
      <c r="I193" s="6" t="s">
        <v>640</v>
      </c>
      <c r="J193" s="28" t="s">
        <v>319</v>
      </c>
      <c r="K193" s="28" t="s">
        <v>319</v>
      </c>
      <c r="L193" s="28" t="s">
        <v>319</v>
      </c>
      <c r="M193" s="28" t="s">
        <v>319</v>
      </c>
      <c r="N193" s="28" t="s">
        <v>319</v>
      </c>
      <c r="O193" s="28" t="s">
        <v>319</v>
      </c>
      <c r="P193" s="28" t="s">
        <v>319</v>
      </c>
      <c r="Q193" s="5" t="s">
        <v>673</v>
      </c>
      <c r="R193" s="5" t="s">
        <v>667</v>
      </c>
      <c r="S193" s="6" t="s">
        <v>672</v>
      </c>
      <c r="T193" s="5"/>
      <c r="U193" s="5" t="s">
        <v>863</v>
      </c>
      <c r="V193" s="5"/>
      <c r="W193" s="6" t="s">
        <v>665</v>
      </c>
      <c r="X193" s="5"/>
      <c r="Y193" s="105">
        <v>9.6</v>
      </c>
      <c r="Z193" s="5"/>
      <c r="AA193" s="6" t="s">
        <v>963</v>
      </c>
      <c r="AB193" s="6"/>
      <c r="AC193" s="6">
        <v>9.1</v>
      </c>
      <c r="AD193" s="6"/>
      <c r="AE193" s="6" t="s">
        <v>956</v>
      </c>
      <c r="AF193" s="6"/>
      <c r="AG193" s="12">
        <v>-69.2</v>
      </c>
      <c r="AH193" s="6"/>
      <c r="AI193" s="6" t="s">
        <v>965</v>
      </c>
      <c r="AJ193" s="5"/>
      <c r="AK193" s="112">
        <v>7.1000000000000004E-3</v>
      </c>
      <c r="AL193" s="6"/>
      <c r="AM193" s="6"/>
      <c r="AN193" s="6"/>
      <c r="AO193" s="5"/>
      <c r="AP193" s="6"/>
      <c r="AQ193" s="28" t="s">
        <v>319</v>
      </c>
      <c r="AR193" s="28" t="s">
        <v>319</v>
      </c>
      <c r="AS193" s="28" t="s">
        <v>319</v>
      </c>
      <c r="AT193" s="28" t="s">
        <v>319</v>
      </c>
      <c r="AU193" s="28" t="s">
        <v>319</v>
      </c>
      <c r="AV193" s="28" t="s">
        <v>319</v>
      </c>
      <c r="AW193" s="28" t="s">
        <v>319</v>
      </c>
      <c r="AX193" s="28" t="s">
        <v>319</v>
      </c>
      <c r="AY193" s="28" t="s">
        <v>319</v>
      </c>
      <c r="AZ193" s="28" t="s">
        <v>319</v>
      </c>
      <c r="BA193" s="28" t="s">
        <v>319</v>
      </c>
      <c r="BB193" s="6" t="s">
        <v>984</v>
      </c>
      <c r="BC193" s="106">
        <v>-104</v>
      </c>
      <c r="BD193" s="106">
        <v>65</v>
      </c>
      <c r="BE193" s="6" t="s">
        <v>1010</v>
      </c>
      <c r="BF193" s="6"/>
      <c r="BG193" s="12">
        <v>12</v>
      </c>
      <c r="BH193" s="28" t="s">
        <v>319</v>
      </c>
      <c r="BI193" s="28" t="s">
        <v>319</v>
      </c>
      <c r="BJ193" s="28" t="s">
        <v>319</v>
      </c>
      <c r="BK193" s="28" t="s">
        <v>319</v>
      </c>
      <c r="BL193" s="28" t="s">
        <v>319</v>
      </c>
      <c r="BM193" s="28" t="s">
        <v>319</v>
      </c>
      <c r="BN193" s="28" t="s">
        <v>319</v>
      </c>
      <c r="BO193" s="28" t="s">
        <v>319</v>
      </c>
      <c r="BP193" s="28" t="s">
        <v>319</v>
      </c>
      <c r="BQ193" s="28" t="s">
        <v>319</v>
      </c>
      <c r="BR193" s="5"/>
      <c r="BS193" s="105"/>
      <c r="BT193" s="6"/>
      <c r="BU193" s="12">
        <v>28.1</v>
      </c>
      <c r="BV193" s="6" t="s">
        <v>1039</v>
      </c>
      <c r="BW193" s="105">
        <v>1.35</v>
      </c>
      <c r="BX193" s="6"/>
      <c r="BY193" s="6"/>
      <c r="BZ193" s="30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9"/>
      <c r="DB193" s="6"/>
      <c r="DC193" s="30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 t="s">
        <v>319</v>
      </c>
      <c r="DO193" s="28" t="s">
        <v>319</v>
      </c>
      <c r="DP193" s="28" t="s">
        <v>319</v>
      </c>
      <c r="DQ193" s="28" t="s">
        <v>319</v>
      </c>
      <c r="DR193" s="28" t="s">
        <v>319</v>
      </c>
      <c r="DS193" s="28" t="s">
        <v>319</v>
      </c>
      <c r="DT193" s="28" t="s">
        <v>319</v>
      </c>
      <c r="DU193" s="28" t="s">
        <v>319</v>
      </c>
      <c r="DV193" s="28" t="s">
        <v>319</v>
      </c>
      <c r="DW193" s="28" t="s">
        <v>319</v>
      </c>
      <c r="DX193" s="28" t="s">
        <v>319</v>
      </c>
      <c r="DY193" s="28" t="s">
        <v>319</v>
      </c>
      <c r="DZ193" s="28" t="s">
        <v>319</v>
      </c>
      <c r="EA193" s="28" t="s">
        <v>319</v>
      </c>
      <c r="EB193" s="28" t="s">
        <v>319</v>
      </c>
      <c r="EC193" s="28" t="s">
        <v>319</v>
      </c>
      <c r="ED193" s="28" t="s">
        <v>319</v>
      </c>
      <c r="EE193" s="28"/>
      <c r="EF193" s="28" t="s">
        <v>319</v>
      </c>
      <c r="EG193" s="28" t="s">
        <v>319</v>
      </c>
      <c r="EH193" s="28" t="s">
        <v>319</v>
      </c>
      <c r="EI193" s="28" t="s">
        <v>319</v>
      </c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7"/>
      <c r="FK193" s="6"/>
      <c r="FL193" s="6"/>
      <c r="FM193" s="94"/>
    </row>
    <row r="194" spans="1:169" s="3" customFormat="1" x14ac:dyDescent="0.4">
      <c r="A194" s="93"/>
      <c r="B194" s="93"/>
      <c r="C194" s="26"/>
      <c r="D194" s="27" t="s">
        <v>319</v>
      </c>
      <c r="E194" s="2" t="s">
        <v>374</v>
      </c>
      <c r="F194" s="28" t="s">
        <v>319</v>
      </c>
      <c r="G194" s="28" t="s">
        <v>319</v>
      </c>
      <c r="H194" s="28" t="s">
        <v>319</v>
      </c>
      <c r="I194" s="6" t="s">
        <v>641</v>
      </c>
      <c r="J194" s="28" t="s">
        <v>319</v>
      </c>
      <c r="K194" s="28" t="s">
        <v>319</v>
      </c>
      <c r="L194" s="28" t="s">
        <v>319</v>
      </c>
      <c r="M194" s="28" t="s">
        <v>319</v>
      </c>
      <c r="N194" s="28" t="s">
        <v>319</v>
      </c>
      <c r="O194" s="28" t="s">
        <v>319</v>
      </c>
      <c r="P194" s="28" t="s">
        <v>319</v>
      </c>
      <c r="Q194" s="5" t="s">
        <v>721</v>
      </c>
      <c r="R194" s="5" t="s">
        <v>667</v>
      </c>
      <c r="S194" s="6" t="s">
        <v>678</v>
      </c>
      <c r="T194" s="5" t="s">
        <v>864</v>
      </c>
      <c r="U194" s="5" t="s">
        <v>865</v>
      </c>
      <c r="V194" s="106">
        <v>71977</v>
      </c>
      <c r="W194" s="6" t="s">
        <v>665</v>
      </c>
      <c r="X194" s="105">
        <v>5.63</v>
      </c>
      <c r="Y194" s="105">
        <v>5.58</v>
      </c>
      <c r="Z194" s="105">
        <v>5.57</v>
      </c>
      <c r="AA194" s="6" t="s">
        <v>972</v>
      </c>
      <c r="AB194" s="6">
        <v>9.9999999999999645E-2</v>
      </c>
      <c r="AC194" s="6">
        <v>9.9999999999999645E-2</v>
      </c>
      <c r="AD194" s="6">
        <v>0.12000000000000011</v>
      </c>
      <c r="AE194" s="6" t="s">
        <v>956</v>
      </c>
      <c r="AF194" s="6"/>
      <c r="AG194" s="12">
        <v>3.8</v>
      </c>
      <c r="AH194" s="6"/>
      <c r="AI194" s="6" t="s">
        <v>965</v>
      </c>
      <c r="AJ194" s="108"/>
      <c r="AK194" s="112">
        <v>8.3000000000000001E-3</v>
      </c>
      <c r="AL194" s="6"/>
      <c r="AM194" s="6"/>
      <c r="AN194" s="6"/>
      <c r="AO194" s="5"/>
      <c r="AP194" s="6"/>
      <c r="AQ194" s="28" t="s">
        <v>319</v>
      </c>
      <c r="AR194" s="28" t="s">
        <v>319</v>
      </c>
      <c r="AS194" s="28" t="s">
        <v>319</v>
      </c>
      <c r="AT194" s="28" t="s">
        <v>319</v>
      </c>
      <c r="AU194" s="28" t="s">
        <v>319</v>
      </c>
      <c r="AV194" s="28" t="s">
        <v>319</v>
      </c>
      <c r="AW194" s="28" t="s">
        <v>319</v>
      </c>
      <c r="AX194" s="28" t="s">
        <v>319</v>
      </c>
      <c r="AY194" s="28" t="s">
        <v>319</v>
      </c>
      <c r="AZ194" s="28" t="s">
        <v>319</v>
      </c>
      <c r="BA194" s="28" t="s">
        <v>319</v>
      </c>
      <c r="BB194" s="6" t="s">
        <v>984</v>
      </c>
      <c r="BC194" s="106">
        <v>-47</v>
      </c>
      <c r="BD194" s="106">
        <v>65</v>
      </c>
      <c r="BE194" s="6" t="s">
        <v>1010</v>
      </c>
      <c r="BF194" s="6"/>
      <c r="BG194" s="12">
        <v>18</v>
      </c>
      <c r="BH194" s="28" t="s">
        <v>319</v>
      </c>
      <c r="BI194" s="28" t="s">
        <v>319</v>
      </c>
      <c r="BJ194" s="28" t="s">
        <v>319</v>
      </c>
      <c r="BK194" s="28" t="s">
        <v>319</v>
      </c>
      <c r="BL194" s="28" t="s">
        <v>319</v>
      </c>
      <c r="BM194" s="28" t="s">
        <v>319</v>
      </c>
      <c r="BN194" s="28" t="s">
        <v>319</v>
      </c>
      <c r="BO194" s="28" t="s">
        <v>319</v>
      </c>
      <c r="BP194" s="28" t="s">
        <v>319</v>
      </c>
      <c r="BQ194" s="28" t="s">
        <v>319</v>
      </c>
      <c r="BR194" s="5"/>
      <c r="BS194" s="105"/>
      <c r="BT194" s="6"/>
      <c r="BU194" s="12">
        <v>42.1</v>
      </c>
      <c r="BV194" s="6" t="s">
        <v>1040</v>
      </c>
      <c r="BW194" s="105">
        <v>1.23</v>
      </c>
      <c r="BX194" s="6"/>
      <c r="BY194" s="6"/>
      <c r="BZ194" s="30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9"/>
      <c r="DB194" s="6"/>
      <c r="DC194" s="30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 t="s">
        <v>319</v>
      </c>
      <c r="DO194" s="28" t="s">
        <v>319</v>
      </c>
      <c r="DP194" s="28" t="s">
        <v>319</v>
      </c>
      <c r="DQ194" s="28" t="s">
        <v>319</v>
      </c>
      <c r="DR194" s="28" t="s">
        <v>319</v>
      </c>
      <c r="DS194" s="28" t="s">
        <v>319</v>
      </c>
      <c r="DT194" s="28" t="s">
        <v>319</v>
      </c>
      <c r="DU194" s="28" t="s">
        <v>319</v>
      </c>
      <c r="DV194" s="28" t="s">
        <v>319</v>
      </c>
      <c r="DW194" s="28" t="s">
        <v>319</v>
      </c>
      <c r="DX194" s="28" t="s">
        <v>319</v>
      </c>
      <c r="DY194" s="28" t="s">
        <v>319</v>
      </c>
      <c r="DZ194" s="28" t="s">
        <v>319</v>
      </c>
      <c r="EA194" s="28" t="s">
        <v>319</v>
      </c>
      <c r="EB194" s="28" t="s">
        <v>319</v>
      </c>
      <c r="EC194" s="28" t="s">
        <v>319</v>
      </c>
      <c r="ED194" s="28" t="s">
        <v>319</v>
      </c>
      <c r="EE194" s="28"/>
      <c r="EF194" s="28" t="s">
        <v>319</v>
      </c>
      <c r="EG194" s="28" t="s">
        <v>319</v>
      </c>
      <c r="EH194" s="28" t="s">
        <v>319</v>
      </c>
      <c r="EI194" s="28" t="s">
        <v>319</v>
      </c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7"/>
      <c r="FK194" s="6"/>
      <c r="FL194" s="6"/>
      <c r="FM194" s="94"/>
    </row>
    <row r="195" spans="1:169" s="3" customFormat="1" x14ac:dyDescent="0.4">
      <c r="A195" s="93"/>
      <c r="B195" s="93"/>
      <c r="C195" s="26"/>
      <c r="D195" s="27" t="s">
        <v>319</v>
      </c>
      <c r="E195" s="2" t="s">
        <v>468</v>
      </c>
      <c r="F195" s="28" t="s">
        <v>319</v>
      </c>
      <c r="G195" s="28" t="s">
        <v>319</v>
      </c>
      <c r="H195" s="28" t="s">
        <v>319</v>
      </c>
      <c r="I195" s="6" t="s">
        <v>642</v>
      </c>
      <c r="J195" s="28" t="s">
        <v>319</v>
      </c>
      <c r="K195" s="28" t="s">
        <v>319</v>
      </c>
      <c r="L195" s="28" t="s">
        <v>319</v>
      </c>
      <c r="M195" s="28" t="s">
        <v>319</v>
      </c>
      <c r="N195" s="28" t="s">
        <v>319</v>
      </c>
      <c r="O195" s="28" t="s">
        <v>319</v>
      </c>
      <c r="P195" s="28" t="s">
        <v>319</v>
      </c>
      <c r="Q195" s="5" t="s">
        <v>721</v>
      </c>
      <c r="R195" s="5" t="s">
        <v>663</v>
      </c>
      <c r="S195" s="6" t="s">
        <v>678</v>
      </c>
      <c r="T195" s="5" t="s">
        <v>864</v>
      </c>
      <c r="U195" s="5" t="s">
        <v>865</v>
      </c>
      <c r="V195" s="106">
        <v>71977</v>
      </c>
      <c r="W195" s="6" t="s">
        <v>665</v>
      </c>
      <c r="X195" s="105">
        <v>5.42</v>
      </c>
      <c r="Y195" s="105">
        <v>5.36</v>
      </c>
      <c r="Z195" s="105">
        <v>5.35</v>
      </c>
      <c r="AA195" s="6" t="s">
        <v>963</v>
      </c>
      <c r="AB195" s="6">
        <v>1.56</v>
      </c>
      <c r="AC195" s="6">
        <v>1.5100000000000002</v>
      </c>
      <c r="AD195" s="6">
        <v>1.4399999999999995</v>
      </c>
      <c r="AE195" s="6" t="s">
        <v>956</v>
      </c>
      <c r="AF195" s="6"/>
      <c r="AG195" s="12">
        <v>1.9</v>
      </c>
      <c r="AH195" s="6"/>
      <c r="AI195" s="6" t="s">
        <v>965</v>
      </c>
      <c r="AJ195" s="112"/>
      <c r="AK195" s="108">
        <v>0.105</v>
      </c>
      <c r="AL195" s="6"/>
      <c r="AM195" s="6" t="s">
        <v>958</v>
      </c>
      <c r="AN195" s="6"/>
      <c r="AO195" s="105">
        <v>5.26</v>
      </c>
      <c r="AP195" s="6"/>
      <c r="AQ195" s="28" t="s">
        <v>319</v>
      </c>
      <c r="AR195" s="28" t="s">
        <v>319</v>
      </c>
      <c r="AS195" s="28" t="s">
        <v>319</v>
      </c>
      <c r="AT195" s="28" t="s">
        <v>319</v>
      </c>
      <c r="AU195" s="28" t="s">
        <v>319</v>
      </c>
      <c r="AV195" s="28" t="s">
        <v>319</v>
      </c>
      <c r="AW195" s="28" t="s">
        <v>319</v>
      </c>
      <c r="AX195" s="28" t="s">
        <v>319</v>
      </c>
      <c r="AY195" s="28" t="s">
        <v>319</v>
      </c>
      <c r="AZ195" s="28" t="s">
        <v>319</v>
      </c>
      <c r="BA195" s="28" t="s">
        <v>319</v>
      </c>
      <c r="BB195" s="6" t="s">
        <v>984</v>
      </c>
      <c r="BC195" s="106">
        <v>-47</v>
      </c>
      <c r="BD195" s="106">
        <v>65</v>
      </c>
      <c r="BE195" s="6" t="s">
        <v>1010</v>
      </c>
      <c r="BF195" s="6"/>
      <c r="BG195" s="12">
        <v>18</v>
      </c>
      <c r="BH195" s="28" t="s">
        <v>319</v>
      </c>
      <c r="BI195" s="28" t="s">
        <v>319</v>
      </c>
      <c r="BJ195" s="28" t="s">
        <v>319</v>
      </c>
      <c r="BK195" s="28" t="s">
        <v>319</v>
      </c>
      <c r="BL195" s="28" t="s">
        <v>319</v>
      </c>
      <c r="BM195" s="28" t="s">
        <v>319</v>
      </c>
      <c r="BN195" s="28" t="s">
        <v>319</v>
      </c>
      <c r="BO195" s="28" t="s">
        <v>319</v>
      </c>
      <c r="BP195" s="28" t="s">
        <v>319</v>
      </c>
      <c r="BQ195" s="28" t="s">
        <v>319</v>
      </c>
      <c r="BR195" s="12">
        <v>48.1</v>
      </c>
      <c r="BS195" s="12">
        <v>543</v>
      </c>
      <c r="BT195" s="6"/>
      <c r="BU195" s="5"/>
      <c r="BV195" s="6"/>
      <c r="BW195" s="5"/>
      <c r="BX195" s="6" t="s">
        <v>1052</v>
      </c>
      <c r="BY195" s="6"/>
      <c r="BZ195" s="30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9"/>
      <c r="DB195" s="6"/>
      <c r="DC195" s="30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 t="s">
        <v>319</v>
      </c>
      <c r="DO195" s="28" t="s">
        <v>319</v>
      </c>
      <c r="DP195" s="28" t="s">
        <v>319</v>
      </c>
      <c r="DQ195" s="28" t="s">
        <v>319</v>
      </c>
      <c r="DR195" s="28" t="s">
        <v>319</v>
      </c>
      <c r="DS195" s="28" t="s">
        <v>319</v>
      </c>
      <c r="DT195" s="28" t="s">
        <v>319</v>
      </c>
      <c r="DU195" s="28" t="s">
        <v>319</v>
      </c>
      <c r="DV195" s="28" t="s">
        <v>319</v>
      </c>
      <c r="DW195" s="28" t="s">
        <v>319</v>
      </c>
      <c r="DX195" s="28" t="s">
        <v>319</v>
      </c>
      <c r="DY195" s="28" t="s">
        <v>319</v>
      </c>
      <c r="DZ195" s="28" t="s">
        <v>319</v>
      </c>
      <c r="EA195" s="28" t="s">
        <v>319</v>
      </c>
      <c r="EB195" s="28" t="s">
        <v>319</v>
      </c>
      <c r="EC195" s="28" t="s">
        <v>319</v>
      </c>
      <c r="ED195" s="28" t="s">
        <v>319</v>
      </c>
      <c r="EE195" s="28"/>
      <c r="EF195" s="28" t="s">
        <v>319</v>
      </c>
      <c r="EG195" s="28" t="s">
        <v>319</v>
      </c>
      <c r="EH195" s="28" t="s">
        <v>319</v>
      </c>
      <c r="EI195" s="28" t="s">
        <v>319</v>
      </c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7"/>
      <c r="FK195" s="6"/>
      <c r="FL195" s="6"/>
      <c r="FM195" s="97"/>
    </row>
    <row r="196" spans="1:169" s="3" customFormat="1" x14ac:dyDescent="0.4">
      <c r="A196" s="93"/>
      <c r="B196" s="93"/>
      <c r="C196" s="26"/>
      <c r="D196" s="27" t="s">
        <v>319</v>
      </c>
      <c r="E196" s="2" t="s">
        <v>375</v>
      </c>
      <c r="F196" s="28" t="s">
        <v>319</v>
      </c>
      <c r="G196" s="28" t="s">
        <v>319</v>
      </c>
      <c r="H196" s="28" t="s">
        <v>319</v>
      </c>
      <c r="I196" s="6" t="s">
        <v>643</v>
      </c>
      <c r="J196" s="28" t="s">
        <v>319</v>
      </c>
      <c r="K196" s="28" t="s">
        <v>319</v>
      </c>
      <c r="L196" s="28" t="s">
        <v>319</v>
      </c>
      <c r="M196" s="28" t="s">
        <v>319</v>
      </c>
      <c r="N196" s="28" t="s">
        <v>319</v>
      </c>
      <c r="O196" s="28" t="s">
        <v>319</v>
      </c>
      <c r="P196" s="28" t="s">
        <v>319</v>
      </c>
      <c r="Q196" s="5" t="s">
        <v>673</v>
      </c>
      <c r="R196" s="5" t="s">
        <v>663</v>
      </c>
      <c r="S196" s="6" t="s">
        <v>672</v>
      </c>
      <c r="T196" s="5"/>
      <c r="U196" s="5"/>
      <c r="V196" s="223">
        <f>56.5*544.2</f>
        <v>30747.300000000003</v>
      </c>
      <c r="W196" s="6" t="s">
        <v>665</v>
      </c>
      <c r="X196" s="5"/>
      <c r="Y196" s="223"/>
      <c r="Z196" s="222">
        <v>33.270000000000003</v>
      </c>
      <c r="AA196" s="6" t="s">
        <v>971</v>
      </c>
      <c r="AB196" s="6"/>
      <c r="AC196" s="227"/>
      <c r="AD196" s="227">
        <v>28.26</v>
      </c>
      <c r="AE196" s="6" t="s">
        <v>956</v>
      </c>
      <c r="AF196" s="6"/>
      <c r="AG196" s="12">
        <v>-1</v>
      </c>
      <c r="AH196" s="6"/>
      <c r="AI196" s="6" t="s">
        <v>965</v>
      </c>
      <c r="AJ196" s="112"/>
      <c r="AK196" s="108">
        <v>1.0999999999999999E-2</v>
      </c>
      <c r="AL196" s="6"/>
      <c r="AM196" s="6" t="s">
        <v>958</v>
      </c>
      <c r="AN196" s="6"/>
      <c r="AO196" s="105">
        <v>5.58</v>
      </c>
      <c r="AP196" s="6"/>
      <c r="AQ196" s="28" t="s">
        <v>319</v>
      </c>
      <c r="AR196" s="28" t="s">
        <v>319</v>
      </c>
      <c r="AS196" s="28" t="s">
        <v>319</v>
      </c>
      <c r="AT196" s="28" t="s">
        <v>319</v>
      </c>
      <c r="AU196" s="28" t="s">
        <v>319</v>
      </c>
      <c r="AV196" s="28" t="s">
        <v>319</v>
      </c>
      <c r="AW196" s="28" t="s">
        <v>319</v>
      </c>
      <c r="AX196" s="28" t="s">
        <v>319</v>
      </c>
      <c r="AY196" s="28" t="s">
        <v>319</v>
      </c>
      <c r="AZ196" s="28" t="s">
        <v>319</v>
      </c>
      <c r="BA196" s="28" t="s">
        <v>319</v>
      </c>
      <c r="BB196" s="6" t="s">
        <v>984</v>
      </c>
      <c r="BC196" s="106">
        <v>-102</v>
      </c>
      <c r="BD196" s="106">
        <v>65</v>
      </c>
      <c r="BE196" s="6" t="s">
        <v>1010</v>
      </c>
      <c r="BF196" s="6"/>
      <c r="BG196" s="12">
        <v>44.8</v>
      </c>
      <c r="BH196" s="28" t="s">
        <v>319</v>
      </c>
      <c r="BI196" s="28" t="s">
        <v>319</v>
      </c>
      <c r="BJ196" s="28" t="s">
        <v>319</v>
      </c>
      <c r="BK196" s="28" t="s">
        <v>319</v>
      </c>
      <c r="BL196" s="28" t="s">
        <v>319</v>
      </c>
      <c r="BM196" s="28" t="s">
        <v>319</v>
      </c>
      <c r="BN196" s="28" t="s">
        <v>319</v>
      </c>
      <c r="BO196" s="28" t="s">
        <v>319</v>
      </c>
      <c r="BP196" s="28" t="s">
        <v>319</v>
      </c>
      <c r="BQ196" s="28" t="s">
        <v>319</v>
      </c>
      <c r="BR196" s="105">
        <v>46.38</v>
      </c>
      <c r="BS196" s="12">
        <v>544.20000000000005</v>
      </c>
      <c r="BT196" s="6"/>
      <c r="BU196" s="5"/>
      <c r="BV196" s="6"/>
      <c r="BW196" s="5"/>
      <c r="BX196" s="6"/>
      <c r="BY196" s="6"/>
      <c r="BZ196" s="30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9"/>
      <c r="DB196" s="6"/>
      <c r="DC196" s="30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 t="s">
        <v>319</v>
      </c>
      <c r="DO196" s="28" t="s">
        <v>319</v>
      </c>
      <c r="DP196" s="28" t="s">
        <v>319</v>
      </c>
      <c r="DQ196" s="28" t="s">
        <v>319</v>
      </c>
      <c r="DR196" s="28" t="s">
        <v>319</v>
      </c>
      <c r="DS196" s="28" t="s">
        <v>319</v>
      </c>
      <c r="DT196" s="28" t="s">
        <v>319</v>
      </c>
      <c r="DU196" s="28" t="s">
        <v>319</v>
      </c>
      <c r="DV196" s="28" t="s">
        <v>319</v>
      </c>
      <c r="DW196" s="28" t="s">
        <v>319</v>
      </c>
      <c r="DX196" s="28" t="s">
        <v>319</v>
      </c>
      <c r="DY196" s="28" t="s">
        <v>319</v>
      </c>
      <c r="DZ196" s="28" t="s">
        <v>319</v>
      </c>
      <c r="EA196" s="28" t="s">
        <v>319</v>
      </c>
      <c r="EB196" s="28" t="s">
        <v>319</v>
      </c>
      <c r="EC196" s="28" t="s">
        <v>319</v>
      </c>
      <c r="ED196" s="28" t="s">
        <v>319</v>
      </c>
      <c r="EE196" s="28"/>
      <c r="EF196" s="28" t="s">
        <v>319</v>
      </c>
      <c r="EG196" s="28" t="s">
        <v>319</v>
      </c>
      <c r="EH196" s="28" t="s">
        <v>319</v>
      </c>
      <c r="EI196" s="28" t="s">
        <v>319</v>
      </c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7"/>
      <c r="FK196" s="6"/>
      <c r="FL196" s="6"/>
      <c r="FM196" s="97"/>
    </row>
    <row r="197" spans="1:169" s="3" customFormat="1" x14ac:dyDescent="0.4">
      <c r="A197" s="93"/>
      <c r="B197" s="93"/>
      <c r="C197" s="26"/>
      <c r="D197" s="27" t="s">
        <v>319</v>
      </c>
      <c r="E197" s="2" t="s">
        <v>376</v>
      </c>
      <c r="F197" s="28" t="s">
        <v>319</v>
      </c>
      <c r="G197" s="28" t="s">
        <v>319</v>
      </c>
      <c r="H197" s="28" t="s">
        <v>319</v>
      </c>
      <c r="I197" s="6" t="s">
        <v>644</v>
      </c>
      <c r="J197" s="28" t="s">
        <v>319</v>
      </c>
      <c r="K197" s="28" t="s">
        <v>319</v>
      </c>
      <c r="L197" s="28" t="s">
        <v>319</v>
      </c>
      <c r="M197" s="28" t="s">
        <v>319</v>
      </c>
      <c r="N197" s="28" t="s">
        <v>319</v>
      </c>
      <c r="O197" s="28" t="s">
        <v>319</v>
      </c>
      <c r="P197" s="28" t="s">
        <v>319</v>
      </c>
      <c r="Q197" s="5" t="s">
        <v>673</v>
      </c>
      <c r="R197" s="5" t="s">
        <v>663</v>
      </c>
      <c r="S197" s="6" t="s">
        <v>672</v>
      </c>
      <c r="T197" s="5"/>
      <c r="U197" s="5"/>
      <c r="V197" s="223">
        <f>25*517</f>
        <v>12925</v>
      </c>
      <c r="W197" s="6" t="s">
        <v>665</v>
      </c>
      <c r="X197" s="5"/>
      <c r="Y197" s="5"/>
      <c r="Z197" s="105">
        <v>9.32</v>
      </c>
      <c r="AA197" s="6" t="s">
        <v>963</v>
      </c>
      <c r="AB197" s="6"/>
      <c r="AC197" s="6"/>
      <c r="AD197" s="219" t="s">
        <v>1490</v>
      </c>
      <c r="AE197" s="6" t="s">
        <v>956</v>
      </c>
      <c r="AF197" s="6"/>
      <c r="AG197" s="12">
        <v>-69.400000000000006</v>
      </c>
      <c r="AH197" s="6"/>
      <c r="AI197" s="6" t="s">
        <v>965</v>
      </c>
      <c r="AJ197" s="112"/>
      <c r="AK197" s="108">
        <v>0.11</v>
      </c>
      <c r="AL197" s="6"/>
      <c r="AM197" s="6" t="s">
        <v>958</v>
      </c>
      <c r="AN197" s="6"/>
      <c r="AO197" s="105">
        <v>4.8</v>
      </c>
      <c r="AP197" s="6"/>
      <c r="AQ197" s="28" t="s">
        <v>319</v>
      </c>
      <c r="AR197" s="28" t="s">
        <v>319</v>
      </c>
      <c r="AS197" s="28" t="s">
        <v>319</v>
      </c>
      <c r="AT197" s="28" t="s">
        <v>319</v>
      </c>
      <c r="AU197" s="28" t="s">
        <v>319</v>
      </c>
      <c r="AV197" s="28" t="s">
        <v>319</v>
      </c>
      <c r="AW197" s="28" t="s">
        <v>319</v>
      </c>
      <c r="AX197" s="28" t="s">
        <v>319</v>
      </c>
      <c r="AY197" s="28" t="s">
        <v>319</v>
      </c>
      <c r="AZ197" s="28" t="s">
        <v>319</v>
      </c>
      <c r="BA197" s="28" t="s">
        <v>319</v>
      </c>
      <c r="BB197" s="6" t="s">
        <v>984</v>
      </c>
      <c r="BC197" s="106">
        <v>-104</v>
      </c>
      <c r="BD197" s="106">
        <v>65</v>
      </c>
      <c r="BE197" s="6" t="s">
        <v>1010</v>
      </c>
      <c r="BF197" s="6"/>
      <c r="BG197" s="12">
        <v>18</v>
      </c>
      <c r="BH197" s="28" t="s">
        <v>319</v>
      </c>
      <c r="BI197" s="28" t="s">
        <v>319</v>
      </c>
      <c r="BJ197" s="28" t="s">
        <v>319</v>
      </c>
      <c r="BK197" s="28" t="s">
        <v>319</v>
      </c>
      <c r="BL197" s="28" t="s">
        <v>319</v>
      </c>
      <c r="BM197" s="28" t="s">
        <v>319</v>
      </c>
      <c r="BN197" s="28" t="s">
        <v>319</v>
      </c>
      <c r="BO197" s="28" t="s">
        <v>319</v>
      </c>
      <c r="BP197" s="28" t="s">
        <v>319</v>
      </c>
      <c r="BQ197" s="28" t="s">
        <v>319</v>
      </c>
      <c r="BR197" s="105">
        <v>50.93</v>
      </c>
      <c r="BS197" s="12">
        <v>516.4</v>
      </c>
      <c r="BT197" s="6"/>
      <c r="BU197" s="5"/>
      <c r="BV197" s="6"/>
      <c r="BW197" s="5"/>
      <c r="BX197" s="6"/>
      <c r="BY197" s="6"/>
      <c r="BZ197" s="30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9"/>
      <c r="DB197" s="6"/>
      <c r="DC197" s="30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 t="s">
        <v>319</v>
      </c>
      <c r="DO197" s="28" t="s">
        <v>319</v>
      </c>
      <c r="DP197" s="28" t="s">
        <v>319</v>
      </c>
      <c r="DQ197" s="28" t="s">
        <v>319</v>
      </c>
      <c r="DR197" s="28" t="s">
        <v>319</v>
      </c>
      <c r="DS197" s="28" t="s">
        <v>319</v>
      </c>
      <c r="DT197" s="28" t="s">
        <v>319</v>
      </c>
      <c r="DU197" s="28" t="s">
        <v>319</v>
      </c>
      <c r="DV197" s="28" t="s">
        <v>319</v>
      </c>
      <c r="DW197" s="28" t="s">
        <v>319</v>
      </c>
      <c r="DX197" s="28" t="s">
        <v>319</v>
      </c>
      <c r="DY197" s="28" t="s">
        <v>319</v>
      </c>
      <c r="DZ197" s="28" t="s">
        <v>319</v>
      </c>
      <c r="EA197" s="28" t="s">
        <v>319</v>
      </c>
      <c r="EB197" s="28" t="s">
        <v>319</v>
      </c>
      <c r="EC197" s="28" t="s">
        <v>319</v>
      </c>
      <c r="ED197" s="28" t="s">
        <v>319</v>
      </c>
      <c r="EE197" s="28"/>
      <c r="EF197" s="28" t="s">
        <v>319</v>
      </c>
      <c r="EG197" s="28" t="s">
        <v>319</v>
      </c>
      <c r="EH197" s="28" t="s">
        <v>319</v>
      </c>
      <c r="EI197" s="28" t="s">
        <v>319</v>
      </c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7"/>
      <c r="FK197" s="6"/>
      <c r="FL197" s="6"/>
      <c r="FM197" s="97"/>
    </row>
    <row r="198" spans="1:169" s="3" customFormat="1" x14ac:dyDescent="0.4">
      <c r="A198" s="93"/>
      <c r="B198" s="93"/>
      <c r="C198" s="26"/>
      <c r="D198" s="27" t="s">
        <v>319</v>
      </c>
      <c r="E198" s="2" t="s">
        <v>467</v>
      </c>
      <c r="F198" s="28" t="s">
        <v>319</v>
      </c>
      <c r="G198" s="28" t="s">
        <v>319</v>
      </c>
      <c r="H198" s="28" t="s">
        <v>319</v>
      </c>
      <c r="I198" s="6" t="s">
        <v>645</v>
      </c>
      <c r="J198" s="28" t="s">
        <v>319</v>
      </c>
      <c r="K198" s="28" t="s">
        <v>319</v>
      </c>
      <c r="L198" s="28" t="s">
        <v>319</v>
      </c>
      <c r="M198" s="28" t="s">
        <v>319</v>
      </c>
      <c r="N198" s="28" t="s">
        <v>319</v>
      </c>
      <c r="O198" s="28" t="s">
        <v>319</v>
      </c>
      <c r="P198" s="28" t="s">
        <v>319</v>
      </c>
      <c r="Q198" s="5" t="s">
        <v>673</v>
      </c>
      <c r="R198" s="5" t="s">
        <v>663</v>
      </c>
      <c r="S198" s="6" t="s">
        <v>669</v>
      </c>
      <c r="T198" s="5"/>
      <c r="U198" s="5" t="s">
        <v>866</v>
      </c>
      <c r="V198" s="5"/>
      <c r="W198" s="6" t="s">
        <v>665</v>
      </c>
      <c r="X198" s="5"/>
      <c r="Y198" s="105">
        <v>30.9</v>
      </c>
      <c r="Z198" s="5"/>
      <c r="AA198" s="6" t="s">
        <v>963</v>
      </c>
      <c r="AB198" s="6"/>
      <c r="AC198" s="6">
        <v>30.4</v>
      </c>
      <c r="AD198" s="6"/>
      <c r="AE198" s="6" t="s">
        <v>956</v>
      </c>
      <c r="AF198" s="6"/>
      <c r="AG198" s="12">
        <v>-1</v>
      </c>
      <c r="AH198" s="6"/>
      <c r="AI198" s="6" t="s">
        <v>965</v>
      </c>
      <c r="AJ198" s="112"/>
      <c r="AK198" s="108">
        <v>1.0999999999999999E-2</v>
      </c>
      <c r="AL198" s="6"/>
      <c r="AM198" s="6" t="s">
        <v>958</v>
      </c>
      <c r="AN198" s="6"/>
      <c r="AO198" s="105">
        <v>5.58</v>
      </c>
      <c r="AP198" s="6"/>
      <c r="AQ198" s="28" t="s">
        <v>319</v>
      </c>
      <c r="AR198" s="28" t="s">
        <v>319</v>
      </c>
      <c r="AS198" s="28" t="s">
        <v>319</v>
      </c>
      <c r="AT198" s="28" t="s">
        <v>319</v>
      </c>
      <c r="AU198" s="28" t="s">
        <v>319</v>
      </c>
      <c r="AV198" s="28" t="s">
        <v>319</v>
      </c>
      <c r="AW198" s="28" t="s">
        <v>319</v>
      </c>
      <c r="AX198" s="28" t="s">
        <v>319</v>
      </c>
      <c r="AY198" s="28" t="s">
        <v>319</v>
      </c>
      <c r="AZ198" s="28" t="s">
        <v>319</v>
      </c>
      <c r="BA198" s="28" t="s">
        <v>319</v>
      </c>
      <c r="BB198" s="6" t="s">
        <v>984</v>
      </c>
      <c r="BC198" s="106">
        <v>-104</v>
      </c>
      <c r="BD198" s="106">
        <v>65</v>
      </c>
      <c r="BE198" s="6" t="s">
        <v>1010</v>
      </c>
      <c r="BF198" s="6"/>
      <c r="BG198" s="12">
        <v>44.8</v>
      </c>
      <c r="BH198" s="28" t="s">
        <v>319</v>
      </c>
      <c r="BI198" s="28" t="s">
        <v>319</v>
      </c>
      <c r="BJ198" s="28" t="s">
        <v>319</v>
      </c>
      <c r="BK198" s="28" t="s">
        <v>319</v>
      </c>
      <c r="BL198" s="28" t="s">
        <v>319</v>
      </c>
      <c r="BM198" s="28" t="s">
        <v>319</v>
      </c>
      <c r="BN198" s="28" t="s">
        <v>319</v>
      </c>
      <c r="BO198" s="28" t="s">
        <v>319</v>
      </c>
      <c r="BP198" s="28" t="s">
        <v>319</v>
      </c>
      <c r="BQ198" s="28" t="s">
        <v>319</v>
      </c>
      <c r="BR198" s="105">
        <v>46.38</v>
      </c>
      <c r="BS198" s="12">
        <v>544.20000000000005</v>
      </c>
      <c r="BT198" s="6"/>
      <c r="BU198" s="5"/>
      <c r="BV198" s="6"/>
      <c r="BW198" s="5"/>
      <c r="BX198" s="6" t="s">
        <v>1054</v>
      </c>
      <c r="BY198" s="6"/>
      <c r="BZ198" s="30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9"/>
      <c r="DB198" s="6"/>
      <c r="DC198" s="30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 t="s">
        <v>319</v>
      </c>
      <c r="DO198" s="28" t="s">
        <v>319</v>
      </c>
      <c r="DP198" s="28" t="s">
        <v>319</v>
      </c>
      <c r="DQ198" s="28" t="s">
        <v>319</v>
      </c>
      <c r="DR198" s="28" t="s">
        <v>319</v>
      </c>
      <c r="DS198" s="28" t="s">
        <v>319</v>
      </c>
      <c r="DT198" s="28" t="s">
        <v>319</v>
      </c>
      <c r="DU198" s="28" t="s">
        <v>319</v>
      </c>
      <c r="DV198" s="28" t="s">
        <v>319</v>
      </c>
      <c r="DW198" s="28" t="s">
        <v>319</v>
      </c>
      <c r="DX198" s="28" t="s">
        <v>319</v>
      </c>
      <c r="DY198" s="28" t="s">
        <v>319</v>
      </c>
      <c r="DZ198" s="28" t="s">
        <v>319</v>
      </c>
      <c r="EA198" s="28" t="s">
        <v>319</v>
      </c>
      <c r="EB198" s="28" t="s">
        <v>319</v>
      </c>
      <c r="EC198" s="28" t="s">
        <v>319</v>
      </c>
      <c r="ED198" s="28" t="s">
        <v>319</v>
      </c>
      <c r="EE198" s="28"/>
      <c r="EF198" s="28" t="s">
        <v>319</v>
      </c>
      <c r="EG198" s="28" t="s">
        <v>319</v>
      </c>
      <c r="EH198" s="28" t="s">
        <v>319</v>
      </c>
      <c r="EI198" s="28" t="s">
        <v>319</v>
      </c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7"/>
      <c r="FK198" s="6"/>
      <c r="FL198" s="6"/>
      <c r="FM198" s="97"/>
    </row>
    <row r="199" spans="1:169" s="3" customFormat="1" x14ac:dyDescent="0.4">
      <c r="A199" s="93"/>
      <c r="B199" s="93"/>
      <c r="C199" s="26"/>
      <c r="D199" s="27" t="s">
        <v>319</v>
      </c>
      <c r="E199" s="2" t="s">
        <v>377</v>
      </c>
      <c r="F199" s="28" t="s">
        <v>319</v>
      </c>
      <c r="G199" s="28" t="s">
        <v>319</v>
      </c>
      <c r="H199" s="28" t="s">
        <v>319</v>
      </c>
      <c r="I199" s="6" t="s">
        <v>646</v>
      </c>
      <c r="J199" s="28" t="s">
        <v>319</v>
      </c>
      <c r="K199" s="28" t="s">
        <v>319</v>
      </c>
      <c r="L199" s="28" t="s">
        <v>319</v>
      </c>
      <c r="M199" s="28" t="s">
        <v>319</v>
      </c>
      <c r="N199" s="28" t="s">
        <v>319</v>
      </c>
      <c r="O199" s="28" t="s">
        <v>319</v>
      </c>
      <c r="P199" s="28" t="s">
        <v>319</v>
      </c>
      <c r="Q199" s="5" t="s">
        <v>867</v>
      </c>
      <c r="R199" s="5" t="s">
        <v>663</v>
      </c>
      <c r="S199" s="6" t="s">
        <v>672</v>
      </c>
      <c r="T199" s="5" t="s">
        <v>868</v>
      </c>
      <c r="U199" s="5" t="s">
        <v>869</v>
      </c>
      <c r="V199" s="106">
        <v>132055</v>
      </c>
      <c r="W199" s="6" t="s">
        <v>665</v>
      </c>
      <c r="X199" s="105">
        <v>18.95</v>
      </c>
      <c r="Y199" s="105">
        <v>18.86</v>
      </c>
      <c r="Z199" s="105">
        <v>18.98</v>
      </c>
      <c r="AA199" s="6" t="s">
        <v>963</v>
      </c>
      <c r="AB199" s="6">
        <v>14.86</v>
      </c>
      <c r="AC199" s="6">
        <v>14.8</v>
      </c>
      <c r="AD199" s="6">
        <v>15.56</v>
      </c>
      <c r="AE199" s="6" t="s">
        <v>956</v>
      </c>
      <c r="AF199" s="6"/>
      <c r="AG199" s="12">
        <v>-47</v>
      </c>
      <c r="AH199" s="6"/>
      <c r="AI199" s="6" t="s">
        <v>973</v>
      </c>
      <c r="AJ199" s="112"/>
      <c r="AK199" s="108">
        <v>7.9000000000000001E-2</v>
      </c>
      <c r="AL199" s="6"/>
      <c r="AM199" s="6" t="s">
        <v>958</v>
      </c>
      <c r="AN199" s="6"/>
      <c r="AO199" s="105">
        <v>11.97</v>
      </c>
      <c r="AP199" s="6"/>
      <c r="AQ199" s="28" t="s">
        <v>319</v>
      </c>
      <c r="AR199" s="28" t="s">
        <v>319</v>
      </c>
      <c r="AS199" s="28" t="s">
        <v>319</v>
      </c>
      <c r="AT199" s="28" t="s">
        <v>319</v>
      </c>
      <c r="AU199" s="28" t="s">
        <v>319</v>
      </c>
      <c r="AV199" s="28" t="s">
        <v>319</v>
      </c>
      <c r="AW199" s="28" t="s">
        <v>319</v>
      </c>
      <c r="AX199" s="28" t="s">
        <v>319</v>
      </c>
      <c r="AY199" s="28" t="s">
        <v>319</v>
      </c>
      <c r="AZ199" s="28" t="s">
        <v>319</v>
      </c>
      <c r="BA199" s="28" t="s">
        <v>319</v>
      </c>
      <c r="BB199" s="6" t="s">
        <v>984</v>
      </c>
      <c r="BC199" s="106">
        <v>-104</v>
      </c>
      <c r="BD199" s="106">
        <v>65</v>
      </c>
      <c r="BE199" s="6" t="s">
        <v>1010</v>
      </c>
      <c r="BF199" s="6"/>
      <c r="BG199" s="12">
        <v>29</v>
      </c>
      <c r="BH199" s="28" t="s">
        <v>319</v>
      </c>
      <c r="BI199" s="28" t="s">
        <v>319</v>
      </c>
      <c r="BJ199" s="28" t="s">
        <v>319</v>
      </c>
      <c r="BK199" s="28" t="s">
        <v>319</v>
      </c>
      <c r="BL199" s="28" t="s">
        <v>319</v>
      </c>
      <c r="BM199" s="28" t="s">
        <v>319</v>
      </c>
      <c r="BN199" s="28" t="s">
        <v>319</v>
      </c>
      <c r="BO199" s="28" t="s">
        <v>319</v>
      </c>
      <c r="BP199" s="28" t="s">
        <v>319</v>
      </c>
      <c r="BQ199" s="28" t="s">
        <v>319</v>
      </c>
      <c r="BR199" s="105">
        <v>51.31</v>
      </c>
      <c r="BS199" s="12">
        <v>474.6</v>
      </c>
      <c r="BT199" s="6"/>
      <c r="BU199" s="5"/>
      <c r="BV199" s="6"/>
      <c r="BW199" s="5"/>
      <c r="BX199" s="6" t="s">
        <v>1052</v>
      </c>
      <c r="BY199" s="6"/>
      <c r="BZ199" s="30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9"/>
      <c r="DB199" s="6"/>
      <c r="DC199" s="30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 t="s">
        <v>319</v>
      </c>
      <c r="DO199" s="28" t="s">
        <v>319</v>
      </c>
      <c r="DP199" s="28" t="s">
        <v>319</v>
      </c>
      <c r="DQ199" s="28" t="s">
        <v>319</v>
      </c>
      <c r="DR199" s="28" t="s">
        <v>319</v>
      </c>
      <c r="DS199" s="28" t="s">
        <v>319</v>
      </c>
      <c r="DT199" s="28" t="s">
        <v>319</v>
      </c>
      <c r="DU199" s="28" t="s">
        <v>319</v>
      </c>
      <c r="DV199" s="28" t="s">
        <v>319</v>
      </c>
      <c r="DW199" s="28" t="s">
        <v>319</v>
      </c>
      <c r="DX199" s="28" t="s">
        <v>319</v>
      </c>
      <c r="DY199" s="28" t="s">
        <v>319</v>
      </c>
      <c r="DZ199" s="28" t="s">
        <v>319</v>
      </c>
      <c r="EA199" s="28" t="s">
        <v>319</v>
      </c>
      <c r="EB199" s="28" t="s">
        <v>319</v>
      </c>
      <c r="EC199" s="28" t="s">
        <v>319</v>
      </c>
      <c r="ED199" s="28" t="s">
        <v>319</v>
      </c>
      <c r="EE199" s="28"/>
      <c r="EF199" s="28" t="s">
        <v>319</v>
      </c>
      <c r="EG199" s="28" t="s">
        <v>319</v>
      </c>
      <c r="EH199" s="28" t="s">
        <v>319</v>
      </c>
      <c r="EI199" s="28" t="s">
        <v>319</v>
      </c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7"/>
      <c r="FK199" s="6"/>
      <c r="FL199" s="6"/>
      <c r="FM199" s="97"/>
    </row>
    <row r="200" spans="1:169" s="3" customFormat="1" x14ac:dyDescent="0.4">
      <c r="A200" s="93"/>
      <c r="B200" s="93"/>
      <c r="C200" s="26"/>
      <c r="D200" s="27" t="s">
        <v>319</v>
      </c>
      <c r="E200" s="2" t="s">
        <v>378</v>
      </c>
      <c r="F200" s="28" t="s">
        <v>319</v>
      </c>
      <c r="G200" s="28" t="s">
        <v>319</v>
      </c>
      <c r="H200" s="28" t="s">
        <v>319</v>
      </c>
      <c r="I200" s="6" t="s">
        <v>647</v>
      </c>
      <c r="J200" s="28" t="s">
        <v>319</v>
      </c>
      <c r="K200" s="28" t="s">
        <v>319</v>
      </c>
      <c r="L200" s="28" t="s">
        <v>319</v>
      </c>
      <c r="M200" s="28" t="s">
        <v>319</v>
      </c>
      <c r="N200" s="28" t="s">
        <v>319</v>
      </c>
      <c r="O200" s="28" t="s">
        <v>319</v>
      </c>
      <c r="P200" s="28" t="s">
        <v>319</v>
      </c>
      <c r="Q200" s="5" t="s">
        <v>666</v>
      </c>
      <c r="R200" s="5" t="s">
        <v>663</v>
      </c>
      <c r="S200" s="6" t="s">
        <v>672</v>
      </c>
      <c r="T200" s="5"/>
      <c r="U200" s="5"/>
      <c r="V200" s="223">
        <f>20*496.5</f>
        <v>9930</v>
      </c>
      <c r="W200" s="6" t="s">
        <v>665</v>
      </c>
      <c r="X200" s="5"/>
      <c r="Y200" s="5"/>
      <c r="Z200" s="105">
        <v>13.67</v>
      </c>
      <c r="AA200" s="6" t="s">
        <v>963</v>
      </c>
      <c r="AB200" s="6"/>
      <c r="AC200" s="6"/>
      <c r="AD200" s="219" t="s">
        <v>1473</v>
      </c>
      <c r="AE200" s="6" t="s">
        <v>956</v>
      </c>
      <c r="AF200" s="6"/>
      <c r="AG200" s="12">
        <v>-53.5</v>
      </c>
      <c r="AH200" s="6"/>
      <c r="AI200" s="6" t="s">
        <v>965</v>
      </c>
      <c r="AJ200" s="112"/>
      <c r="AK200" s="108">
        <v>0.109</v>
      </c>
      <c r="AL200" s="6"/>
      <c r="AM200" s="6" t="s">
        <v>958</v>
      </c>
      <c r="AN200" s="6"/>
      <c r="AO200" s="105">
        <v>4.97</v>
      </c>
      <c r="AP200" s="6"/>
      <c r="AQ200" s="28" t="s">
        <v>319</v>
      </c>
      <c r="AR200" s="28" t="s">
        <v>319</v>
      </c>
      <c r="AS200" s="28" t="s">
        <v>319</v>
      </c>
      <c r="AT200" s="28" t="s">
        <v>319</v>
      </c>
      <c r="AU200" s="28" t="s">
        <v>319</v>
      </c>
      <c r="AV200" s="28" t="s">
        <v>319</v>
      </c>
      <c r="AW200" s="28" t="s">
        <v>319</v>
      </c>
      <c r="AX200" s="28" t="s">
        <v>319</v>
      </c>
      <c r="AY200" s="28" t="s">
        <v>319</v>
      </c>
      <c r="AZ200" s="28" t="s">
        <v>319</v>
      </c>
      <c r="BA200" s="28" t="s">
        <v>319</v>
      </c>
      <c r="BB200" s="6" t="s">
        <v>984</v>
      </c>
      <c r="BC200" s="106">
        <v>-104</v>
      </c>
      <c r="BD200" s="106">
        <v>65</v>
      </c>
      <c r="BE200" s="6" t="s">
        <v>1008</v>
      </c>
      <c r="BF200" s="6"/>
      <c r="BG200" s="12">
        <v>22.5</v>
      </c>
      <c r="BH200" s="28" t="s">
        <v>319</v>
      </c>
      <c r="BI200" s="28" t="s">
        <v>319</v>
      </c>
      <c r="BJ200" s="28" t="s">
        <v>319</v>
      </c>
      <c r="BK200" s="28" t="s">
        <v>319</v>
      </c>
      <c r="BL200" s="28" t="s">
        <v>319</v>
      </c>
      <c r="BM200" s="28" t="s">
        <v>319</v>
      </c>
      <c r="BN200" s="28" t="s">
        <v>319</v>
      </c>
      <c r="BO200" s="28" t="s">
        <v>319</v>
      </c>
      <c r="BP200" s="28" t="s">
        <v>319</v>
      </c>
      <c r="BQ200" s="28" t="s">
        <v>319</v>
      </c>
      <c r="BR200" s="105">
        <v>49.77</v>
      </c>
      <c r="BS200" s="12">
        <v>496.5</v>
      </c>
      <c r="BT200" s="101"/>
      <c r="BU200" s="5"/>
      <c r="BV200" s="101"/>
      <c r="BW200" s="5"/>
      <c r="BX200" s="6"/>
      <c r="BY200" s="6"/>
      <c r="BZ200" s="30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9"/>
      <c r="DB200" s="6"/>
      <c r="DC200" s="30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 t="s">
        <v>319</v>
      </c>
      <c r="DO200" s="28" t="s">
        <v>319</v>
      </c>
      <c r="DP200" s="28" t="s">
        <v>319</v>
      </c>
      <c r="DQ200" s="28" t="s">
        <v>319</v>
      </c>
      <c r="DR200" s="28" t="s">
        <v>319</v>
      </c>
      <c r="DS200" s="28" t="s">
        <v>319</v>
      </c>
      <c r="DT200" s="28" t="s">
        <v>319</v>
      </c>
      <c r="DU200" s="28" t="s">
        <v>319</v>
      </c>
      <c r="DV200" s="28" t="s">
        <v>319</v>
      </c>
      <c r="DW200" s="28" t="s">
        <v>319</v>
      </c>
      <c r="DX200" s="28" t="s">
        <v>319</v>
      </c>
      <c r="DY200" s="28" t="s">
        <v>319</v>
      </c>
      <c r="DZ200" s="28" t="s">
        <v>319</v>
      </c>
      <c r="EA200" s="28" t="s">
        <v>319</v>
      </c>
      <c r="EB200" s="28" t="s">
        <v>319</v>
      </c>
      <c r="EC200" s="28" t="s">
        <v>319</v>
      </c>
      <c r="ED200" s="28" t="s">
        <v>319</v>
      </c>
      <c r="EE200" s="28"/>
      <c r="EF200" s="28" t="s">
        <v>319</v>
      </c>
      <c r="EG200" s="28" t="s">
        <v>319</v>
      </c>
      <c r="EH200" s="28" t="s">
        <v>319</v>
      </c>
      <c r="EI200" s="28" t="s">
        <v>319</v>
      </c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7"/>
      <c r="FK200" s="6"/>
      <c r="FL200" s="6"/>
      <c r="FM200" s="97"/>
    </row>
    <row r="201" spans="1:169" s="3" customFormat="1" x14ac:dyDescent="0.4">
      <c r="A201" s="93"/>
      <c r="B201" s="93"/>
      <c r="C201" s="26"/>
      <c r="D201" s="27" t="s">
        <v>319</v>
      </c>
      <c r="E201" s="2" t="s">
        <v>469</v>
      </c>
      <c r="F201" s="28" t="s">
        <v>319</v>
      </c>
      <c r="G201" s="28" t="s">
        <v>319</v>
      </c>
      <c r="H201" s="28" t="s">
        <v>319</v>
      </c>
      <c r="I201" s="6" t="s">
        <v>648</v>
      </c>
      <c r="J201" s="28" t="s">
        <v>319</v>
      </c>
      <c r="K201" s="28" t="s">
        <v>319</v>
      </c>
      <c r="L201" s="28" t="s">
        <v>319</v>
      </c>
      <c r="M201" s="28" t="s">
        <v>319</v>
      </c>
      <c r="N201" s="28" t="s">
        <v>319</v>
      </c>
      <c r="O201" s="28" t="s">
        <v>319</v>
      </c>
      <c r="P201" s="28" t="s">
        <v>319</v>
      </c>
      <c r="Q201" s="5" t="s">
        <v>754</v>
      </c>
      <c r="R201" s="5" t="s">
        <v>663</v>
      </c>
      <c r="S201" s="6" t="s">
        <v>669</v>
      </c>
      <c r="T201" s="5" t="s">
        <v>870</v>
      </c>
      <c r="U201" s="5" t="s">
        <v>871</v>
      </c>
      <c r="V201" s="5" t="s">
        <v>872</v>
      </c>
      <c r="W201" s="6" t="s">
        <v>665</v>
      </c>
      <c r="X201" s="105">
        <v>10.36</v>
      </c>
      <c r="Y201" s="105">
        <v>10.29</v>
      </c>
      <c r="Z201" s="105">
        <v>10.25</v>
      </c>
      <c r="AA201" s="6" t="s">
        <v>963</v>
      </c>
      <c r="AB201" s="6">
        <v>6.02</v>
      </c>
      <c r="AC201" s="6">
        <v>6.3299999999999992</v>
      </c>
      <c r="AD201" s="6">
        <v>6.29</v>
      </c>
      <c r="AE201" s="6" t="s">
        <v>985</v>
      </c>
      <c r="AF201" s="6"/>
      <c r="AG201" s="12">
        <v>-48.3</v>
      </c>
      <c r="AH201" s="6"/>
      <c r="AI201" s="6" t="s">
        <v>965</v>
      </c>
      <c r="AJ201" s="112"/>
      <c r="AK201" s="108">
        <v>0.08</v>
      </c>
      <c r="AL201" s="6"/>
      <c r="AM201" s="6" t="s">
        <v>958</v>
      </c>
      <c r="AN201" s="6"/>
      <c r="AO201" s="105">
        <v>11.47</v>
      </c>
      <c r="AP201" s="6"/>
      <c r="AQ201" s="28" t="s">
        <v>319</v>
      </c>
      <c r="AR201" s="28" t="s">
        <v>319</v>
      </c>
      <c r="AS201" s="28" t="s">
        <v>319</v>
      </c>
      <c r="AT201" s="28" t="s">
        <v>319</v>
      </c>
      <c r="AU201" s="28" t="s">
        <v>319</v>
      </c>
      <c r="AV201" s="28" t="s">
        <v>319</v>
      </c>
      <c r="AW201" s="28" t="s">
        <v>319</v>
      </c>
      <c r="AX201" s="28" t="s">
        <v>319</v>
      </c>
      <c r="AY201" s="28" t="s">
        <v>319</v>
      </c>
      <c r="AZ201" s="28" t="s">
        <v>319</v>
      </c>
      <c r="BA201" s="28" t="s">
        <v>319</v>
      </c>
      <c r="BB201" s="6" t="s">
        <v>984</v>
      </c>
      <c r="BC201" s="106">
        <v>-104</v>
      </c>
      <c r="BD201" s="106">
        <v>65</v>
      </c>
      <c r="BE201" s="6" t="s">
        <v>1010</v>
      </c>
      <c r="BF201" s="6"/>
      <c r="BG201" s="12">
        <v>14.6</v>
      </c>
      <c r="BH201" s="28" t="s">
        <v>319</v>
      </c>
      <c r="BI201" s="28" t="s">
        <v>319</v>
      </c>
      <c r="BJ201" s="28" t="s">
        <v>319</v>
      </c>
      <c r="BK201" s="28" t="s">
        <v>319</v>
      </c>
      <c r="BL201" s="28" t="s">
        <v>319</v>
      </c>
      <c r="BM201" s="28" t="s">
        <v>319</v>
      </c>
      <c r="BN201" s="28" t="s">
        <v>319</v>
      </c>
      <c r="BO201" s="28" t="s">
        <v>319</v>
      </c>
      <c r="BP201" s="28" t="s">
        <v>319</v>
      </c>
      <c r="BQ201" s="28" t="s">
        <v>319</v>
      </c>
      <c r="BR201" s="105">
        <v>51.31</v>
      </c>
      <c r="BS201" s="12">
        <v>477.2</v>
      </c>
      <c r="BT201" s="6"/>
      <c r="BU201" s="5"/>
      <c r="BV201" s="6"/>
      <c r="BW201" s="5"/>
      <c r="BX201" s="6" t="s">
        <v>1052</v>
      </c>
      <c r="BY201" s="6"/>
      <c r="BZ201" s="30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9"/>
      <c r="DB201" s="6"/>
      <c r="DC201" s="30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 t="s">
        <v>319</v>
      </c>
      <c r="DO201" s="28" t="s">
        <v>319</v>
      </c>
      <c r="DP201" s="28" t="s">
        <v>319</v>
      </c>
      <c r="DQ201" s="28" t="s">
        <v>319</v>
      </c>
      <c r="DR201" s="28" t="s">
        <v>319</v>
      </c>
      <c r="DS201" s="28" t="s">
        <v>319</v>
      </c>
      <c r="DT201" s="28" t="s">
        <v>319</v>
      </c>
      <c r="DU201" s="28" t="s">
        <v>319</v>
      </c>
      <c r="DV201" s="28" t="s">
        <v>319</v>
      </c>
      <c r="DW201" s="28" t="s">
        <v>319</v>
      </c>
      <c r="DX201" s="28" t="s">
        <v>319</v>
      </c>
      <c r="DY201" s="28" t="s">
        <v>319</v>
      </c>
      <c r="DZ201" s="28" t="s">
        <v>319</v>
      </c>
      <c r="EA201" s="28" t="s">
        <v>319</v>
      </c>
      <c r="EB201" s="28" t="s">
        <v>319</v>
      </c>
      <c r="EC201" s="28" t="s">
        <v>319</v>
      </c>
      <c r="ED201" s="28" t="s">
        <v>319</v>
      </c>
      <c r="EE201" s="28"/>
      <c r="EF201" s="28" t="s">
        <v>319</v>
      </c>
      <c r="EG201" s="28" t="s">
        <v>319</v>
      </c>
      <c r="EH201" s="28" t="s">
        <v>319</v>
      </c>
      <c r="EI201" s="28" t="s">
        <v>319</v>
      </c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7"/>
      <c r="FK201" s="6"/>
      <c r="FL201" s="6"/>
      <c r="FM201" s="97"/>
    </row>
    <row r="202" spans="1:169" s="3" customFormat="1" x14ac:dyDescent="0.4">
      <c r="A202" s="93"/>
      <c r="B202" s="93"/>
      <c r="C202" s="26"/>
      <c r="D202" s="27" t="s">
        <v>319</v>
      </c>
      <c r="E202" s="2" t="s">
        <v>530</v>
      </c>
      <c r="F202" s="28" t="s">
        <v>319</v>
      </c>
      <c r="G202" s="28" t="s">
        <v>319</v>
      </c>
      <c r="H202" s="28" t="s">
        <v>319</v>
      </c>
      <c r="I202" s="6" t="s">
        <v>649</v>
      </c>
      <c r="J202" s="28" t="s">
        <v>319</v>
      </c>
      <c r="K202" s="28" t="s">
        <v>319</v>
      </c>
      <c r="L202" s="28" t="s">
        <v>319</v>
      </c>
      <c r="M202" s="28" t="s">
        <v>319</v>
      </c>
      <c r="N202" s="28" t="s">
        <v>319</v>
      </c>
      <c r="O202" s="28" t="s">
        <v>319</v>
      </c>
      <c r="P202" s="28" t="s">
        <v>319</v>
      </c>
      <c r="Q202" s="5" t="s">
        <v>754</v>
      </c>
      <c r="R202" s="5" t="s">
        <v>667</v>
      </c>
      <c r="S202" s="6" t="s">
        <v>672</v>
      </c>
      <c r="T202" s="5" t="s">
        <v>870</v>
      </c>
      <c r="U202" s="5" t="s">
        <v>871</v>
      </c>
      <c r="V202" s="5" t="s">
        <v>872</v>
      </c>
      <c r="W202" s="6" t="s">
        <v>665</v>
      </c>
      <c r="X202" s="105">
        <v>10.75</v>
      </c>
      <c r="Y202" s="105">
        <v>10.67</v>
      </c>
      <c r="Z202" s="105">
        <v>10.64</v>
      </c>
      <c r="AA202" s="6" t="s">
        <v>963</v>
      </c>
      <c r="AB202" s="6">
        <v>0.30000000000000071</v>
      </c>
      <c r="AC202" s="6">
        <v>0.30000000000000071</v>
      </c>
      <c r="AD202" s="6">
        <v>0.30000000000000071</v>
      </c>
      <c r="AE202" s="6" t="s">
        <v>974</v>
      </c>
      <c r="AF202" s="6"/>
      <c r="AG202" s="12">
        <v>-8.3000000000000007</v>
      </c>
      <c r="AH202" s="6"/>
      <c r="AI202" s="6" t="s">
        <v>965</v>
      </c>
      <c r="AJ202" s="112"/>
      <c r="AK202" s="112">
        <v>9.4000000000000004E-3</v>
      </c>
      <c r="AL202" s="6"/>
      <c r="AM202" s="6"/>
      <c r="AN202" s="6"/>
      <c r="AO202" s="5"/>
      <c r="AP202" s="6"/>
      <c r="AQ202" s="28" t="s">
        <v>319</v>
      </c>
      <c r="AR202" s="28" t="s">
        <v>319</v>
      </c>
      <c r="AS202" s="28" t="s">
        <v>319</v>
      </c>
      <c r="AT202" s="28" t="s">
        <v>319</v>
      </c>
      <c r="AU202" s="28" t="s">
        <v>319</v>
      </c>
      <c r="AV202" s="28" t="s">
        <v>319</v>
      </c>
      <c r="AW202" s="28" t="s">
        <v>319</v>
      </c>
      <c r="AX202" s="28" t="s">
        <v>319</v>
      </c>
      <c r="AY202" s="28" t="s">
        <v>319</v>
      </c>
      <c r="AZ202" s="28" t="s">
        <v>319</v>
      </c>
      <c r="BA202" s="28" t="s">
        <v>319</v>
      </c>
      <c r="BB202" s="6" t="s">
        <v>984</v>
      </c>
      <c r="BC202" s="106">
        <v>-104</v>
      </c>
      <c r="BD202" s="106">
        <v>65</v>
      </c>
      <c r="BE202" s="6" t="s">
        <v>1010</v>
      </c>
      <c r="BF202" s="6"/>
      <c r="BG202" s="12">
        <v>14.6</v>
      </c>
      <c r="BH202" s="28" t="s">
        <v>319</v>
      </c>
      <c r="BI202" s="28" t="s">
        <v>319</v>
      </c>
      <c r="BJ202" s="28" t="s">
        <v>319</v>
      </c>
      <c r="BK202" s="28" t="s">
        <v>319</v>
      </c>
      <c r="BL202" s="28" t="s">
        <v>319</v>
      </c>
      <c r="BM202" s="28" t="s">
        <v>319</v>
      </c>
      <c r="BN202" s="28" t="s">
        <v>319</v>
      </c>
      <c r="BO202" s="28" t="s">
        <v>319</v>
      </c>
      <c r="BP202" s="28" t="s">
        <v>319</v>
      </c>
      <c r="BQ202" s="28" t="s">
        <v>319</v>
      </c>
      <c r="BR202" s="5"/>
      <c r="BS202" s="105"/>
      <c r="BT202" s="6"/>
      <c r="BU202" s="12">
        <v>28.1</v>
      </c>
      <c r="BV202" s="6" t="s">
        <v>1041</v>
      </c>
      <c r="BW202" s="105">
        <v>1.37</v>
      </c>
      <c r="BX202" s="6"/>
      <c r="BY202" s="6"/>
      <c r="BZ202" s="30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9"/>
      <c r="DB202" s="6"/>
      <c r="DC202" s="30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 t="s">
        <v>319</v>
      </c>
      <c r="DO202" s="28" t="s">
        <v>319</v>
      </c>
      <c r="DP202" s="28" t="s">
        <v>319</v>
      </c>
      <c r="DQ202" s="28" t="s">
        <v>319</v>
      </c>
      <c r="DR202" s="28" t="s">
        <v>319</v>
      </c>
      <c r="DS202" s="28" t="s">
        <v>319</v>
      </c>
      <c r="DT202" s="28" t="s">
        <v>319</v>
      </c>
      <c r="DU202" s="28" t="s">
        <v>319</v>
      </c>
      <c r="DV202" s="28" t="s">
        <v>319</v>
      </c>
      <c r="DW202" s="28" t="s">
        <v>319</v>
      </c>
      <c r="DX202" s="28" t="s">
        <v>319</v>
      </c>
      <c r="DY202" s="28" t="s">
        <v>319</v>
      </c>
      <c r="DZ202" s="28" t="s">
        <v>319</v>
      </c>
      <c r="EA202" s="28" t="s">
        <v>319</v>
      </c>
      <c r="EB202" s="28" t="s">
        <v>319</v>
      </c>
      <c r="EC202" s="28" t="s">
        <v>319</v>
      </c>
      <c r="ED202" s="28" t="s">
        <v>319</v>
      </c>
      <c r="EE202" s="28"/>
      <c r="EF202" s="28" t="s">
        <v>319</v>
      </c>
      <c r="EG202" s="28" t="s">
        <v>319</v>
      </c>
      <c r="EH202" s="28" t="s">
        <v>319</v>
      </c>
      <c r="EI202" s="28" t="s">
        <v>319</v>
      </c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7"/>
      <c r="FK202" s="6"/>
      <c r="FL202" s="6"/>
      <c r="FM202" s="94"/>
    </row>
    <row r="203" spans="1:169" s="3" customFormat="1" x14ac:dyDescent="0.4">
      <c r="A203" s="93"/>
      <c r="B203" s="93"/>
      <c r="C203" s="26"/>
      <c r="D203" s="27" t="s">
        <v>319</v>
      </c>
      <c r="E203" s="2" t="s">
        <v>379</v>
      </c>
      <c r="F203" s="28" t="s">
        <v>319</v>
      </c>
      <c r="G203" s="28" t="s">
        <v>319</v>
      </c>
      <c r="H203" s="28" t="s">
        <v>319</v>
      </c>
      <c r="I203" s="6" t="s">
        <v>650</v>
      </c>
      <c r="J203" s="28" t="s">
        <v>319</v>
      </c>
      <c r="K203" s="28" t="s">
        <v>319</v>
      </c>
      <c r="L203" s="28" t="s">
        <v>319</v>
      </c>
      <c r="M203" s="28" t="s">
        <v>319</v>
      </c>
      <c r="N203" s="28" t="s">
        <v>319</v>
      </c>
      <c r="O203" s="28" t="s">
        <v>319</v>
      </c>
      <c r="P203" s="28" t="s">
        <v>319</v>
      </c>
      <c r="Q203" s="5" t="s">
        <v>754</v>
      </c>
      <c r="R203" s="5" t="s">
        <v>667</v>
      </c>
      <c r="S203" s="6" t="s">
        <v>678</v>
      </c>
      <c r="T203" s="5"/>
      <c r="U203" s="6" t="s">
        <v>1348</v>
      </c>
      <c r="V203" s="5"/>
      <c r="W203" s="6" t="s">
        <v>665</v>
      </c>
      <c r="X203" s="5"/>
      <c r="Y203" s="111">
        <v>1.3</v>
      </c>
      <c r="Z203" s="5"/>
      <c r="AA203" s="6" t="s">
        <v>963</v>
      </c>
      <c r="AB203" s="6"/>
      <c r="AC203" s="238">
        <v>1.06</v>
      </c>
      <c r="AD203" s="6"/>
      <c r="AE203" s="6" t="s">
        <v>956</v>
      </c>
      <c r="AF203" s="6"/>
      <c r="AG203" s="12">
        <v>-58.7</v>
      </c>
      <c r="AH203" s="6"/>
      <c r="AI203" s="6" t="s">
        <v>965</v>
      </c>
      <c r="AJ203" s="108"/>
      <c r="AK203" s="5">
        <v>0.01</v>
      </c>
      <c r="AL203" s="6"/>
      <c r="AM203" s="6" t="s">
        <v>958</v>
      </c>
      <c r="AN203" s="6"/>
      <c r="AO203" s="5"/>
      <c r="AP203" s="6"/>
      <c r="AQ203" s="28" t="s">
        <v>319</v>
      </c>
      <c r="AR203" s="28" t="s">
        <v>319</v>
      </c>
      <c r="AS203" s="28" t="s">
        <v>319</v>
      </c>
      <c r="AT203" s="28" t="s">
        <v>319</v>
      </c>
      <c r="AU203" s="28" t="s">
        <v>319</v>
      </c>
      <c r="AV203" s="28" t="s">
        <v>319</v>
      </c>
      <c r="AW203" s="28" t="s">
        <v>319</v>
      </c>
      <c r="AX203" s="28" t="s">
        <v>319</v>
      </c>
      <c r="AY203" s="28" t="s">
        <v>319</v>
      </c>
      <c r="AZ203" s="28" t="s">
        <v>319</v>
      </c>
      <c r="BA203" s="28" t="s">
        <v>319</v>
      </c>
      <c r="BB203" s="6" t="s">
        <v>984</v>
      </c>
      <c r="BC203" s="106">
        <v>-104</v>
      </c>
      <c r="BD203" s="106">
        <v>65</v>
      </c>
      <c r="BE203" s="6" t="s">
        <v>1008</v>
      </c>
      <c r="BF203" s="6"/>
      <c r="BG203" s="240">
        <v>12</v>
      </c>
      <c r="BH203" s="28" t="s">
        <v>319</v>
      </c>
      <c r="BI203" s="28" t="s">
        <v>319</v>
      </c>
      <c r="BJ203" s="28" t="s">
        <v>319</v>
      </c>
      <c r="BK203" s="28" t="s">
        <v>319</v>
      </c>
      <c r="BL203" s="28" t="s">
        <v>319</v>
      </c>
      <c r="BM203" s="28" t="s">
        <v>319</v>
      </c>
      <c r="BN203" s="28" t="s">
        <v>319</v>
      </c>
      <c r="BO203" s="28" t="s">
        <v>319</v>
      </c>
      <c r="BP203" s="28" t="s">
        <v>319</v>
      </c>
      <c r="BQ203" s="28" t="s">
        <v>319</v>
      </c>
      <c r="BR203" s="5"/>
      <c r="BS203" s="5"/>
      <c r="BT203" s="6"/>
      <c r="BU203" s="5">
        <v>28.1</v>
      </c>
      <c r="BV203" s="6" t="s">
        <v>1352</v>
      </c>
      <c r="BW203" s="5">
        <v>1.33</v>
      </c>
      <c r="BX203" s="6"/>
      <c r="BY203" s="6"/>
      <c r="BZ203" s="30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9"/>
      <c r="DB203" s="6"/>
      <c r="DC203" s="30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 t="s">
        <v>319</v>
      </c>
      <c r="DO203" s="28" t="s">
        <v>319</v>
      </c>
      <c r="DP203" s="28" t="s">
        <v>319</v>
      </c>
      <c r="DQ203" s="28" t="s">
        <v>319</v>
      </c>
      <c r="DR203" s="28" t="s">
        <v>319</v>
      </c>
      <c r="DS203" s="28" t="s">
        <v>319</v>
      </c>
      <c r="DT203" s="28" t="s">
        <v>319</v>
      </c>
      <c r="DU203" s="28" t="s">
        <v>319</v>
      </c>
      <c r="DV203" s="28" t="s">
        <v>319</v>
      </c>
      <c r="DW203" s="28" t="s">
        <v>319</v>
      </c>
      <c r="DX203" s="28" t="s">
        <v>319</v>
      </c>
      <c r="DY203" s="28" t="s">
        <v>319</v>
      </c>
      <c r="DZ203" s="28" t="s">
        <v>319</v>
      </c>
      <c r="EA203" s="28" t="s">
        <v>319</v>
      </c>
      <c r="EB203" s="28" t="s">
        <v>319</v>
      </c>
      <c r="EC203" s="28" t="s">
        <v>319</v>
      </c>
      <c r="ED203" s="28" t="s">
        <v>319</v>
      </c>
      <c r="EE203" s="28"/>
      <c r="EF203" s="28" t="s">
        <v>319</v>
      </c>
      <c r="EG203" s="28" t="s">
        <v>319</v>
      </c>
      <c r="EH203" s="28" t="s">
        <v>319</v>
      </c>
      <c r="EI203" s="28" t="s">
        <v>319</v>
      </c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7"/>
      <c r="FK203" s="6"/>
      <c r="FL203" s="6"/>
      <c r="FM203" s="94"/>
    </row>
    <row r="204" spans="1:169" s="3" customFormat="1" x14ac:dyDescent="0.4">
      <c r="A204" s="93"/>
      <c r="B204" s="93"/>
      <c r="C204" s="26"/>
      <c r="D204" s="27" t="s">
        <v>319</v>
      </c>
      <c r="E204" s="2" t="s">
        <v>379</v>
      </c>
      <c r="F204" s="28" t="s">
        <v>319</v>
      </c>
      <c r="G204" s="28" t="s">
        <v>319</v>
      </c>
      <c r="H204" s="28" t="s">
        <v>319</v>
      </c>
      <c r="I204" s="6" t="s">
        <v>650</v>
      </c>
      <c r="J204" s="28" t="s">
        <v>319</v>
      </c>
      <c r="K204" s="28" t="s">
        <v>319</v>
      </c>
      <c r="L204" s="28" t="s">
        <v>319</v>
      </c>
      <c r="M204" s="28" t="s">
        <v>319</v>
      </c>
      <c r="N204" s="28" t="s">
        <v>319</v>
      </c>
      <c r="O204" s="28" t="s">
        <v>319</v>
      </c>
      <c r="P204" s="28" t="s">
        <v>319</v>
      </c>
      <c r="Q204" s="5" t="s">
        <v>754</v>
      </c>
      <c r="R204" s="5" t="s">
        <v>667</v>
      </c>
      <c r="S204" s="6" t="s">
        <v>664</v>
      </c>
      <c r="T204" s="5"/>
      <c r="U204" s="6" t="s">
        <v>1349</v>
      </c>
      <c r="V204" s="5"/>
      <c r="W204" s="6" t="s">
        <v>665</v>
      </c>
      <c r="X204" s="5"/>
      <c r="Y204" s="5">
        <v>4.1100000000000003</v>
      </c>
      <c r="Z204" s="5"/>
      <c r="AA204" s="6" t="s">
        <v>955</v>
      </c>
      <c r="AB204" s="6"/>
      <c r="AC204" s="238">
        <v>3.73</v>
      </c>
      <c r="AD204" s="6"/>
      <c r="AE204" s="6" t="s">
        <v>956</v>
      </c>
      <c r="AF204" s="6"/>
      <c r="AG204" s="12">
        <v>-5.6</v>
      </c>
      <c r="AH204" s="6"/>
      <c r="AI204" s="6" t="s">
        <v>957</v>
      </c>
      <c r="AJ204" s="108"/>
      <c r="AK204" s="5">
        <v>1.01</v>
      </c>
      <c r="AL204" s="6"/>
      <c r="AM204" s="6" t="s">
        <v>958</v>
      </c>
      <c r="AN204" s="6"/>
      <c r="AO204" s="5"/>
      <c r="AP204" s="6"/>
      <c r="AQ204" s="28" t="s">
        <v>319</v>
      </c>
      <c r="AR204" s="28" t="s">
        <v>319</v>
      </c>
      <c r="AS204" s="28" t="s">
        <v>319</v>
      </c>
      <c r="AT204" s="28" t="s">
        <v>319</v>
      </c>
      <c r="AU204" s="28" t="s">
        <v>319</v>
      </c>
      <c r="AV204" s="28" t="s">
        <v>319</v>
      </c>
      <c r="AW204" s="28" t="s">
        <v>319</v>
      </c>
      <c r="AX204" s="28" t="s">
        <v>319</v>
      </c>
      <c r="AY204" s="28" t="s">
        <v>319</v>
      </c>
      <c r="AZ204" s="28" t="s">
        <v>319</v>
      </c>
      <c r="BA204" s="28" t="s">
        <v>319</v>
      </c>
      <c r="BB204" s="6" t="s">
        <v>984</v>
      </c>
      <c r="BC204" s="106">
        <v>-104</v>
      </c>
      <c r="BD204" s="106">
        <v>65</v>
      </c>
      <c r="BE204" s="6" t="s">
        <v>1008</v>
      </c>
      <c r="BF204" s="6"/>
      <c r="BG204" s="240">
        <v>12</v>
      </c>
      <c r="BH204" s="28" t="s">
        <v>319</v>
      </c>
      <c r="BI204" s="28" t="s">
        <v>319</v>
      </c>
      <c r="BJ204" s="28" t="s">
        <v>319</v>
      </c>
      <c r="BK204" s="28" t="s">
        <v>319</v>
      </c>
      <c r="BL204" s="28" t="s">
        <v>319</v>
      </c>
      <c r="BM204" s="28" t="s">
        <v>319</v>
      </c>
      <c r="BN204" s="28" t="s">
        <v>319</v>
      </c>
      <c r="BO204" s="28" t="s">
        <v>319</v>
      </c>
      <c r="BP204" s="28" t="s">
        <v>319</v>
      </c>
      <c r="BQ204" s="28" t="s">
        <v>319</v>
      </c>
      <c r="BR204" s="5"/>
      <c r="BS204" s="5"/>
      <c r="BT204" s="6"/>
      <c r="BU204" s="5">
        <v>28.1</v>
      </c>
      <c r="BV204" s="6" t="s">
        <v>1352</v>
      </c>
      <c r="BW204" s="5">
        <v>1.33</v>
      </c>
      <c r="BX204" s="6"/>
      <c r="BY204" s="6"/>
      <c r="BZ204" s="30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9"/>
      <c r="DB204" s="6"/>
      <c r="DC204" s="30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 t="s">
        <v>319</v>
      </c>
      <c r="DO204" s="28" t="s">
        <v>319</v>
      </c>
      <c r="DP204" s="28" t="s">
        <v>319</v>
      </c>
      <c r="DQ204" s="28" t="s">
        <v>319</v>
      </c>
      <c r="DR204" s="28" t="s">
        <v>319</v>
      </c>
      <c r="DS204" s="28" t="s">
        <v>319</v>
      </c>
      <c r="DT204" s="28" t="s">
        <v>319</v>
      </c>
      <c r="DU204" s="28" t="s">
        <v>319</v>
      </c>
      <c r="DV204" s="28" t="s">
        <v>319</v>
      </c>
      <c r="DW204" s="28" t="s">
        <v>319</v>
      </c>
      <c r="DX204" s="28" t="s">
        <v>319</v>
      </c>
      <c r="DY204" s="28" t="s">
        <v>319</v>
      </c>
      <c r="DZ204" s="28" t="s">
        <v>319</v>
      </c>
      <c r="EA204" s="28" t="s">
        <v>319</v>
      </c>
      <c r="EB204" s="28" t="s">
        <v>319</v>
      </c>
      <c r="EC204" s="28" t="s">
        <v>319</v>
      </c>
      <c r="ED204" s="28" t="s">
        <v>319</v>
      </c>
      <c r="EE204" s="28"/>
      <c r="EF204" s="28" t="s">
        <v>319</v>
      </c>
      <c r="EG204" s="28" t="s">
        <v>319</v>
      </c>
      <c r="EH204" s="28" t="s">
        <v>319</v>
      </c>
      <c r="EI204" s="28" t="s">
        <v>319</v>
      </c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7"/>
      <c r="FK204" s="6"/>
      <c r="FL204" s="6"/>
      <c r="FM204" s="94"/>
    </row>
    <row r="205" spans="1:169" s="3" customFormat="1" x14ac:dyDescent="0.4">
      <c r="A205" s="93"/>
      <c r="B205" s="93"/>
      <c r="C205" s="26"/>
      <c r="D205" s="27" t="s">
        <v>319</v>
      </c>
      <c r="E205" s="2" t="s">
        <v>379</v>
      </c>
      <c r="F205" s="28" t="s">
        <v>319</v>
      </c>
      <c r="G205" s="28" t="s">
        <v>319</v>
      </c>
      <c r="H205" s="28" t="s">
        <v>319</v>
      </c>
      <c r="I205" s="6" t="s">
        <v>650</v>
      </c>
      <c r="J205" s="28" t="s">
        <v>319</v>
      </c>
      <c r="K205" s="28" t="s">
        <v>319</v>
      </c>
      <c r="L205" s="28" t="s">
        <v>319</v>
      </c>
      <c r="M205" s="28" t="s">
        <v>319</v>
      </c>
      <c r="N205" s="28" t="s">
        <v>319</v>
      </c>
      <c r="O205" s="28" t="s">
        <v>319</v>
      </c>
      <c r="P205" s="28" t="s">
        <v>319</v>
      </c>
      <c r="Q205" s="5" t="s">
        <v>754</v>
      </c>
      <c r="R205" s="5" t="s">
        <v>667</v>
      </c>
      <c r="S205" s="6" t="s">
        <v>664</v>
      </c>
      <c r="T205" s="5"/>
      <c r="U205" s="6" t="s">
        <v>1350</v>
      </c>
      <c r="V205" s="5"/>
      <c r="W205" s="6" t="s">
        <v>665</v>
      </c>
      <c r="X205" s="5"/>
      <c r="Y205" s="5">
        <v>1.1599999999999999</v>
      </c>
      <c r="Z205" s="5"/>
      <c r="AA205" s="6" t="s">
        <v>955</v>
      </c>
      <c r="AB205" s="6"/>
      <c r="AC205" s="238">
        <v>0.89</v>
      </c>
      <c r="AD205" s="6"/>
      <c r="AE205" s="6" t="s">
        <v>956</v>
      </c>
      <c r="AF205" s="6"/>
      <c r="AG205" s="12">
        <v>-58.7</v>
      </c>
      <c r="AH205" s="6"/>
      <c r="AI205" s="6" t="s">
        <v>957</v>
      </c>
      <c r="AJ205" s="108"/>
      <c r="AK205" s="5">
        <v>2.0099999999999998</v>
      </c>
      <c r="AL205" s="6"/>
      <c r="AM205" s="6" t="s">
        <v>958</v>
      </c>
      <c r="AN205" s="6"/>
      <c r="AO205" s="5"/>
      <c r="AP205" s="6"/>
      <c r="AQ205" s="28" t="s">
        <v>319</v>
      </c>
      <c r="AR205" s="28" t="s">
        <v>319</v>
      </c>
      <c r="AS205" s="28" t="s">
        <v>319</v>
      </c>
      <c r="AT205" s="28" t="s">
        <v>319</v>
      </c>
      <c r="AU205" s="28" t="s">
        <v>319</v>
      </c>
      <c r="AV205" s="28" t="s">
        <v>319</v>
      </c>
      <c r="AW205" s="28" t="s">
        <v>319</v>
      </c>
      <c r="AX205" s="28" t="s">
        <v>319</v>
      </c>
      <c r="AY205" s="28" t="s">
        <v>319</v>
      </c>
      <c r="AZ205" s="28" t="s">
        <v>319</v>
      </c>
      <c r="BA205" s="28" t="s">
        <v>319</v>
      </c>
      <c r="BB205" s="6" t="s">
        <v>984</v>
      </c>
      <c r="BC205" s="106">
        <v>-104</v>
      </c>
      <c r="BD205" s="106">
        <v>65</v>
      </c>
      <c r="BE205" s="6" t="s">
        <v>1008</v>
      </c>
      <c r="BF205" s="6"/>
      <c r="BG205" s="240">
        <v>12</v>
      </c>
      <c r="BH205" s="28" t="s">
        <v>319</v>
      </c>
      <c r="BI205" s="28" t="s">
        <v>319</v>
      </c>
      <c r="BJ205" s="28" t="s">
        <v>319</v>
      </c>
      <c r="BK205" s="28" t="s">
        <v>319</v>
      </c>
      <c r="BL205" s="28" t="s">
        <v>319</v>
      </c>
      <c r="BM205" s="28" t="s">
        <v>319</v>
      </c>
      <c r="BN205" s="28" t="s">
        <v>319</v>
      </c>
      <c r="BO205" s="28" t="s">
        <v>319</v>
      </c>
      <c r="BP205" s="28" t="s">
        <v>319</v>
      </c>
      <c r="BQ205" s="28" t="s">
        <v>319</v>
      </c>
      <c r="BR205" s="5"/>
      <c r="BS205" s="5"/>
      <c r="BT205" s="6"/>
      <c r="BU205" s="5">
        <v>28.1</v>
      </c>
      <c r="BV205" s="6" t="s">
        <v>1352</v>
      </c>
      <c r="BW205" s="5">
        <v>1.33</v>
      </c>
      <c r="BX205" s="6"/>
      <c r="BY205" s="6"/>
      <c r="BZ205" s="30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9"/>
      <c r="DB205" s="6"/>
      <c r="DC205" s="30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 t="s">
        <v>319</v>
      </c>
      <c r="DO205" s="28" t="s">
        <v>319</v>
      </c>
      <c r="DP205" s="28" t="s">
        <v>319</v>
      </c>
      <c r="DQ205" s="28" t="s">
        <v>319</v>
      </c>
      <c r="DR205" s="28" t="s">
        <v>319</v>
      </c>
      <c r="DS205" s="28" t="s">
        <v>319</v>
      </c>
      <c r="DT205" s="28" t="s">
        <v>319</v>
      </c>
      <c r="DU205" s="28" t="s">
        <v>319</v>
      </c>
      <c r="DV205" s="28" t="s">
        <v>319</v>
      </c>
      <c r="DW205" s="28" t="s">
        <v>319</v>
      </c>
      <c r="DX205" s="28" t="s">
        <v>319</v>
      </c>
      <c r="DY205" s="28" t="s">
        <v>319</v>
      </c>
      <c r="DZ205" s="28" t="s">
        <v>319</v>
      </c>
      <c r="EA205" s="28" t="s">
        <v>319</v>
      </c>
      <c r="EB205" s="28" t="s">
        <v>319</v>
      </c>
      <c r="EC205" s="28" t="s">
        <v>319</v>
      </c>
      <c r="ED205" s="28" t="s">
        <v>319</v>
      </c>
      <c r="EE205" s="28"/>
      <c r="EF205" s="28" t="s">
        <v>319</v>
      </c>
      <c r="EG205" s="28" t="s">
        <v>319</v>
      </c>
      <c r="EH205" s="28" t="s">
        <v>319</v>
      </c>
      <c r="EI205" s="28" t="s">
        <v>319</v>
      </c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7"/>
      <c r="FK205" s="6"/>
      <c r="FL205" s="6"/>
      <c r="FM205" s="94"/>
    </row>
    <row r="206" spans="1:169" s="3" customFormat="1" x14ac:dyDescent="0.4">
      <c r="A206" s="93"/>
      <c r="B206" s="93"/>
      <c r="C206" s="26"/>
      <c r="D206" s="27" t="s">
        <v>319</v>
      </c>
      <c r="E206" s="2" t="s">
        <v>379</v>
      </c>
      <c r="F206" s="28" t="s">
        <v>319</v>
      </c>
      <c r="G206" s="28" t="s">
        <v>319</v>
      </c>
      <c r="H206" s="28" t="s">
        <v>319</v>
      </c>
      <c r="I206" s="6" t="s">
        <v>650</v>
      </c>
      <c r="J206" s="28" t="s">
        <v>319</v>
      </c>
      <c r="K206" s="28" t="s">
        <v>319</v>
      </c>
      <c r="L206" s="28" t="s">
        <v>319</v>
      </c>
      <c r="M206" s="28" t="s">
        <v>319</v>
      </c>
      <c r="N206" s="28" t="s">
        <v>319</v>
      </c>
      <c r="O206" s="28" t="s">
        <v>319</v>
      </c>
      <c r="P206" s="28" t="s">
        <v>319</v>
      </c>
      <c r="Q206" s="5" t="s">
        <v>754</v>
      </c>
      <c r="R206" s="5" t="s">
        <v>667</v>
      </c>
      <c r="S206" s="6" t="s">
        <v>664</v>
      </c>
      <c r="T206" s="5"/>
      <c r="U206" s="6" t="s">
        <v>1351</v>
      </c>
      <c r="V206" s="5"/>
      <c r="W206" s="6" t="s">
        <v>665</v>
      </c>
      <c r="X206" s="5"/>
      <c r="Y206" s="5">
        <v>3.85</v>
      </c>
      <c r="Z206" s="5"/>
      <c r="AA206" s="6" t="s">
        <v>955</v>
      </c>
      <c r="AB206" s="6"/>
      <c r="AC206" s="238">
        <v>0.35</v>
      </c>
      <c r="AD206" s="6"/>
      <c r="AE206" s="6" t="s">
        <v>956</v>
      </c>
      <c r="AF206" s="6"/>
      <c r="AG206" s="12">
        <v>-5.6</v>
      </c>
      <c r="AH206" s="6"/>
      <c r="AI206" s="6" t="s">
        <v>957</v>
      </c>
      <c r="AJ206" s="108"/>
      <c r="AK206" s="5">
        <v>3.01</v>
      </c>
      <c r="AL206" s="6"/>
      <c r="AM206" s="6" t="s">
        <v>958</v>
      </c>
      <c r="AN206" s="6"/>
      <c r="AO206" s="5"/>
      <c r="AP206" s="6"/>
      <c r="AQ206" s="28" t="s">
        <v>319</v>
      </c>
      <c r="AR206" s="28" t="s">
        <v>319</v>
      </c>
      <c r="AS206" s="28" t="s">
        <v>319</v>
      </c>
      <c r="AT206" s="28" t="s">
        <v>319</v>
      </c>
      <c r="AU206" s="28" t="s">
        <v>319</v>
      </c>
      <c r="AV206" s="28" t="s">
        <v>319</v>
      </c>
      <c r="AW206" s="28" t="s">
        <v>319</v>
      </c>
      <c r="AX206" s="28" t="s">
        <v>319</v>
      </c>
      <c r="AY206" s="28" t="s">
        <v>319</v>
      </c>
      <c r="AZ206" s="28" t="s">
        <v>319</v>
      </c>
      <c r="BA206" s="28" t="s">
        <v>319</v>
      </c>
      <c r="BB206" s="6" t="s">
        <v>984</v>
      </c>
      <c r="BC206" s="106">
        <v>-104</v>
      </c>
      <c r="BD206" s="106">
        <v>65</v>
      </c>
      <c r="BE206" s="6" t="s">
        <v>1008</v>
      </c>
      <c r="BF206" s="6"/>
      <c r="BG206" s="240">
        <v>12</v>
      </c>
      <c r="BH206" s="28" t="s">
        <v>319</v>
      </c>
      <c r="BI206" s="28" t="s">
        <v>319</v>
      </c>
      <c r="BJ206" s="28" t="s">
        <v>319</v>
      </c>
      <c r="BK206" s="28" t="s">
        <v>319</v>
      </c>
      <c r="BL206" s="28" t="s">
        <v>319</v>
      </c>
      <c r="BM206" s="28" t="s">
        <v>319</v>
      </c>
      <c r="BN206" s="28" t="s">
        <v>319</v>
      </c>
      <c r="BO206" s="28" t="s">
        <v>319</v>
      </c>
      <c r="BP206" s="28" t="s">
        <v>319</v>
      </c>
      <c r="BQ206" s="28" t="s">
        <v>319</v>
      </c>
      <c r="BR206" s="5"/>
      <c r="BS206" s="5"/>
      <c r="BT206" s="6"/>
      <c r="BU206" s="5">
        <v>28.1</v>
      </c>
      <c r="BV206" s="6" t="s">
        <v>1352</v>
      </c>
      <c r="BW206" s="5">
        <v>1.33</v>
      </c>
      <c r="BX206" s="6"/>
      <c r="BY206" s="6"/>
      <c r="BZ206" s="30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9"/>
      <c r="DB206" s="6"/>
      <c r="DC206" s="30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 t="s">
        <v>319</v>
      </c>
      <c r="DO206" s="28" t="s">
        <v>319</v>
      </c>
      <c r="DP206" s="28" t="s">
        <v>319</v>
      </c>
      <c r="DQ206" s="28" t="s">
        <v>319</v>
      </c>
      <c r="DR206" s="28" t="s">
        <v>319</v>
      </c>
      <c r="DS206" s="28" t="s">
        <v>319</v>
      </c>
      <c r="DT206" s="28" t="s">
        <v>319</v>
      </c>
      <c r="DU206" s="28" t="s">
        <v>319</v>
      </c>
      <c r="DV206" s="28" t="s">
        <v>319</v>
      </c>
      <c r="DW206" s="28" t="s">
        <v>319</v>
      </c>
      <c r="DX206" s="28" t="s">
        <v>319</v>
      </c>
      <c r="DY206" s="28" t="s">
        <v>319</v>
      </c>
      <c r="DZ206" s="28" t="s">
        <v>319</v>
      </c>
      <c r="EA206" s="28" t="s">
        <v>319</v>
      </c>
      <c r="EB206" s="28" t="s">
        <v>319</v>
      </c>
      <c r="EC206" s="28" t="s">
        <v>319</v>
      </c>
      <c r="ED206" s="28" t="s">
        <v>319</v>
      </c>
      <c r="EE206" s="28"/>
      <c r="EF206" s="28" t="s">
        <v>319</v>
      </c>
      <c r="EG206" s="28" t="s">
        <v>319</v>
      </c>
      <c r="EH206" s="28" t="s">
        <v>319</v>
      </c>
      <c r="EI206" s="28" t="s">
        <v>319</v>
      </c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7"/>
      <c r="FK206" s="6"/>
      <c r="FL206" s="6"/>
      <c r="FM206" s="94"/>
    </row>
    <row r="207" spans="1:169" s="3" customFormat="1" x14ac:dyDescent="0.4">
      <c r="A207" s="93"/>
      <c r="B207" s="93"/>
      <c r="C207" s="26"/>
      <c r="D207" s="27" t="s">
        <v>319</v>
      </c>
      <c r="E207" s="2" t="s">
        <v>470</v>
      </c>
      <c r="F207" s="28" t="s">
        <v>319</v>
      </c>
      <c r="G207" s="28" t="s">
        <v>319</v>
      </c>
      <c r="H207" s="28" t="s">
        <v>319</v>
      </c>
      <c r="I207" s="6" t="s">
        <v>651</v>
      </c>
      <c r="J207" s="28" t="s">
        <v>319</v>
      </c>
      <c r="K207" s="28" t="s">
        <v>319</v>
      </c>
      <c r="L207" s="28" t="s">
        <v>319</v>
      </c>
      <c r="M207" s="28" t="s">
        <v>319</v>
      </c>
      <c r="N207" s="28" t="s">
        <v>319</v>
      </c>
      <c r="O207" s="28" t="s">
        <v>319</v>
      </c>
      <c r="P207" s="28" t="s">
        <v>319</v>
      </c>
      <c r="Q207" s="5" t="s">
        <v>804</v>
      </c>
      <c r="R207" s="5" t="s">
        <v>663</v>
      </c>
      <c r="S207" s="6" t="s">
        <v>672</v>
      </c>
      <c r="T207" s="5" t="s">
        <v>873</v>
      </c>
      <c r="U207" s="5" t="s">
        <v>874</v>
      </c>
      <c r="V207" s="106">
        <v>78473</v>
      </c>
      <c r="W207" s="6" t="s">
        <v>665</v>
      </c>
      <c r="X207" s="105">
        <v>18.95</v>
      </c>
      <c r="Y207" s="105">
        <v>18.86</v>
      </c>
      <c r="Z207" s="105">
        <v>19.32</v>
      </c>
      <c r="AA207" s="6" t="s">
        <v>963</v>
      </c>
      <c r="AB207" s="6">
        <v>15.459999999999999</v>
      </c>
      <c r="AC207" s="6">
        <v>15.42</v>
      </c>
      <c r="AD207" s="6">
        <v>15.99</v>
      </c>
      <c r="AE207" s="6" t="s">
        <v>956</v>
      </c>
      <c r="AF207" s="6"/>
      <c r="AG207" s="12">
        <v>-47</v>
      </c>
      <c r="AH207" s="6"/>
      <c r="AI207" s="6" t="s">
        <v>965</v>
      </c>
      <c r="AJ207" s="112"/>
      <c r="AK207" s="108">
        <v>7.9000000000000001E-2</v>
      </c>
      <c r="AL207" s="6"/>
      <c r="AM207" s="6" t="s">
        <v>958</v>
      </c>
      <c r="AN207" s="6"/>
      <c r="AO207" s="105">
        <v>11.97</v>
      </c>
      <c r="AP207" s="6"/>
      <c r="AQ207" s="28" t="s">
        <v>319</v>
      </c>
      <c r="AR207" s="28" t="s">
        <v>319</v>
      </c>
      <c r="AS207" s="28" t="s">
        <v>319</v>
      </c>
      <c r="AT207" s="28" t="s">
        <v>319</v>
      </c>
      <c r="AU207" s="28" t="s">
        <v>319</v>
      </c>
      <c r="AV207" s="28" t="s">
        <v>319</v>
      </c>
      <c r="AW207" s="28" t="s">
        <v>319</v>
      </c>
      <c r="AX207" s="28" t="s">
        <v>319</v>
      </c>
      <c r="AY207" s="28" t="s">
        <v>319</v>
      </c>
      <c r="AZ207" s="28" t="s">
        <v>319</v>
      </c>
      <c r="BA207" s="28" t="s">
        <v>319</v>
      </c>
      <c r="BB207" s="6" t="s">
        <v>984</v>
      </c>
      <c r="BC207" s="106">
        <v>-104</v>
      </c>
      <c r="BD207" s="106">
        <v>65</v>
      </c>
      <c r="BE207" s="6" t="s">
        <v>1010</v>
      </c>
      <c r="BF207" s="6"/>
      <c r="BG207" s="12">
        <v>28</v>
      </c>
      <c r="BH207" s="28" t="s">
        <v>319</v>
      </c>
      <c r="BI207" s="28" t="s">
        <v>319</v>
      </c>
      <c r="BJ207" s="28" t="s">
        <v>319</v>
      </c>
      <c r="BK207" s="28" t="s">
        <v>319</v>
      </c>
      <c r="BL207" s="28" t="s">
        <v>319</v>
      </c>
      <c r="BM207" s="28" t="s">
        <v>319</v>
      </c>
      <c r="BN207" s="28" t="s">
        <v>319</v>
      </c>
      <c r="BO207" s="28" t="s">
        <v>319</v>
      </c>
      <c r="BP207" s="28" t="s">
        <v>319</v>
      </c>
      <c r="BQ207" s="28" t="s">
        <v>319</v>
      </c>
      <c r="BR207" s="105">
        <v>51.31</v>
      </c>
      <c r="BS207" s="12">
        <v>474.6</v>
      </c>
      <c r="BT207" s="6"/>
      <c r="BU207" s="5"/>
      <c r="BV207" s="6"/>
      <c r="BW207" s="5"/>
      <c r="BX207" s="6" t="s">
        <v>1052</v>
      </c>
      <c r="BY207" s="6"/>
      <c r="BZ207" s="30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9"/>
      <c r="DB207" s="6"/>
      <c r="DC207" s="30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 t="s">
        <v>319</v>
      </c>
      <c r="DO207" s="28" t="s">
        <v>319</v>
      </c>
      <c r="DP207" s="28" t="s">
        <v>319</v>
      </c>
      <c r="DQ207" s="28" t="s">
        <v>319</v>
      </c>
      <c r="DR207" s="28" t="s">
        <v>319</v>
      </c>
      <c r="DS207" s="28" t="s">
        <v>319</v>
      </c>
      <c r="DT207" s="28" t="s">
        <v>319</v>
      </c>
      <c r="DU207" s="28" t="s">
        <v>319</v>
      </c>
      <c r="DV207" s="28" t="s">
        <v>319</v>
      </c>
      <c r="DW207" s="28" t="s">
        <v>319</v>
      </c>
      <c r="DX207" s="28" t="s">
        <v>319</v>
      </c>
      <c r="DY207" s="28" t="s">
        <v>319</v>
      </c>
      <c r="DZ207" s="28" t="s">
        <v>319</v>
      </c>
      <c r="EA207" s="28" t="s">
        <v>319</v>
      </c>
      <c r="EB207" s="28" t="s">
        <v>319</v>
      </c>
      <c r="EC207" s="28" t="s">
        <v>319</v>
      </c>
      <c r="ED207" s="28" t="s">
        <v>319</v>
      </c>
      <c r="EE207" s="28"/>
      <c r="EF207" s="28" t="s">
        <v>319</v>
      </c>
      <c r="EG207" s="28" t="s">
        <v>319</v>
      </c>
      <c r="EH207" s="28" t="s">
        <v>319</v>
      </c>
      <c r="EI207" s="28" t="s">
        <v>319</v>
      </c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7"/>
      <c r="FK207" s="6"/>
      <c r="FL207" s="6"/>
      <c r="FM207" s="97"/>
    </row>
    <row r="208" spans="1:169" s="22" customFormat="1" x14ac:dyDescent="0.4">
      <c r="A208" s="93"/>
      <c r="B208" s="93"/>
      <c r="C208" s="26"/>
      <c r="D208" s="27" t="s">
        <v>319</v>
      </c>
      <c r="E208" s="2" t="s">
        <v>505</v>
      </c>
      <c r="F208" s="28" t="s">
        <v>319</v>
      </c>
      <c r="G208" s="28" t="s">
        <v>319</v>
      </c>
      <c r="H208" s="28" t="s">
        <v>319</v>
      </c>
      <c r="I208" s="6" t="s">
        <v>652</v>
      </c>
      <c r="J208" s="28" t="s">
        <v>319</v>
      </c>
      <c r="K208" s="28" t="s">
        <v>319</v>
      </c>
      <c r="L208" s="28" t="s">
        <v>319</v>
      </c>
      <c r="M208" s="28" t="s">
        <v>319</v>
      </c>
      <c r="N208" s="28" t="s">
        <v>319</v>
      </c>
      <c r="O208" s="28" t="s">
        <v>319</v>
      </c>
      <c r="P208" s="28" t="s">
        <v>319</v>
      </c>
      <c r="Q208" s="5" t="s">
        <v>754</v>
      </c>
      <c r="R208" s="5" t="s">
        <v>667</v>
      </c>
      <c r="S208" s="6" t="s">
        <v>669</v>
      </c>
      <c r="T208" s="5"/>
      <c r="U208" s="110">
        <f>0.03*483130</f>
        <v>14493.9</v>
      </c>
      <c r="V208" s="5"/>
      <c r="W208" s="6" t="s">
        <v>665</v>
      </c>
      <c r="X208" s="5"/>
      <c r="Y208" s="105">
        <f>3.18+0.5</f>
        <v>3.68</v>
      </c>
      <c r="Z208" s="105"/>
      <c r="AA208" s="6" t="s">
        <v>963</v>
      </c>
      <c r="AB208" s="105"/>
      <c r="AC208" s="6" t="s">
        <v>1082</v>
      </c>
      <c r="AD208" s="105"/>
      <c r="AE208" s="6" t="s">
        <v>956</v>
      </c>
      <c r="AF208" s="6"/>
      <c r="AG208" s="12">
        <v>-75.5</v>
      </c>
      <c r="AH208" s="6"/>
      <c r="AI208" s="6" t="s">
        <v>965</v>
      </c>
      <c r="AJ208" s="6"/>
      <c r="AK208" s="112">
        <v>6.8999999999999999E-3</v>
      </c>
      <c r="AL208" s="6"/>
      <c r="AM208" s="6" t="s">
        <v>1069</v>
      </c>
      <c r="AN208" s="6"/>
      <c r="AO208" s="105"/>
      <c r="AP208" s="6"/>
      <c r="AQ208" s="28" t="s">
        <v>319</v>
      </c>
      <c r="AR208" s="28" t="s">
        <v>319</v>
      </c>
      <c r="AS208" s="28" t="s">
        <v>319</v>
      </c>
      <c r="AT208" s="28" t="s">
        <v>319</v>
      </c>
      <c r="AU208" s="28" t="s">
        <v>319</v>
      </c>
      <c r="AV208" s="28" t="s">
        <v>319</v>
      </c>
      <c r="AW208" s="28" t="s">
        <v>319</v>
      </c>
      <c r="AX208" s="28" t="s">
        <v>319</v>
      </c>
      <c r="AY208" s="28" t="s">
        <v>319</v>
      </c>
      <c r="AZ208" s="28" t="s">
        <v>319</v>
      </c>
      <c r="BA208" s="28" t="s">
        <v>319</v>
      </c>
      <c r="BB208" s="6" t="s">
        <v>984</v>
      </c>
      <c r="BC208" s="106">
        <v>-104</v>
      </c>
      <c r="BD208" s="106">
        <v>65</v>
      </c>
      <c r="BE208" s="6" t="s">
        <v>1010</v>
      </c>
      <c r="BF208" s="6"/>
      <c r="BG208" s="12">
        <v>12</v>
      </c>
      <c r="BH208" s="28" t="s">
        <v>319</v>
      </c>
      <c r="BI208" s="28" t="s">
        <v>319</v>
      </c>
      <c r="BJ208" s="28" t="s">
        <v>319</v>
      </c>
      <c r="BK208" s="28" t="s">
        <v>319</v>
      </c>
      <c r="BL208" s="28" t="s">
        <v>319</v>
      </c>
      <c r="BM208" s="28" t="s">
        <v>319</v>
      </c>
      <c r="BN208" s="28" t="s">
        <v>319</v>
      </c>
      <c r="BO208" s="28" t="s">
        <v>319</v>
      </c>
      <c r="BP208" s="28" t="s">
        <v>319</v>
      </c>
      <c r="BQ208" s="28" t="s">
        <v>319</v>
      </c>
      <c r="BR208" s="5"/>
      <c r="BS208" s="105"/>
      <c r="BT208" s="6"/>
      <c r="BU208" s="12">
        <v>28.1</v>
      </c>
      <c r="BV208" s="6" t="s">
        <v>1042</v>
      </c>
      <c r="BW208" s="105">
        <v>1.36</v>
      </c>
      <c r="BX208" s="6"/>
      <c r="BY208" s="6"/>
      <c r="BZ208" s="30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9"/>
      <c r="DB208" s="6"/>
      <c r="DC208" s="30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 t="s">
        <v>319</v>
      </c>
      <c r="DO208" s="28" t="s">
        <v>319</v>
      </c>
      <c r="DP208" s="28" t="s">
        <v>319</v>
      </c>
      <c r="DQ208" s="28" t="s">
        <v>319</v>
      </c>
      <c r="DR208" s="28" t="s">
        <v>319</v>
      </c>
      <c r="DS208" s="28" t="s">
        <v>319</v>
      </c>
      <c r="DT208" s="28" t="s">
        <v>319</v>
      </c>
      <c r="DU208" s="28" t="s">
        <v>319</v>
      </c>
      <c r="DV208" s="28" t="s">
        <v>319</v>
      </c>
      <c r="DW208" s="28" t="s">
        <v>319</v>
      </c>
      <c r="DX208" s="28" t="s">
        <v>319</v>
      </c>
      <c r="DY208" s="28" t="s">
        <v>319</v>
      </c>
      <c r="DZ208" s="28" t="s">
        <v>319</v>
      </c>
      <c r="EA208" s="28" t="s">
        <v>319</v>
      </c>
      <c r="EB208" s="28" t="s">
        <v>319</v>
      </c>
      <c r="EC208" s="28" t="s">
        <v>319</v>
      </c>
      <c r="ED208" s="28" t="s">
        <v>319</v>
      </c>
      <c r="EE208" s="28"/>
      <c r="EF208" s="28" t="s">
        <v>319</v>
      </c>
      <c r="EG208" s="28" t="s">
        <v>319</v>
      </c>
      <c r="EH208" s="28" t="s">
        <v>319</v>
      </c>
      <c r="EI208" s="28" t="s">
        <v>319</v>
      </c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7"/>
      <c r="FK208" s="6"/>
      <c r="FL208" s="6"/>
      <c r="FM208" s="94"/>
    </row>
    <row r="209" spans="1:169" s="3" customFormat="1" x14ac:dyDescent="0.4">
      <c r="A209" s="93"/>
      <c r="B209" s="93"/>
      <c r="C209" s="26"/>
      <c r="D209" s="27" t="s">
        <v>319</v>
      </c>
      <c r="E209" s="2" t="s">
        <v>543</v>
      </c>
      <c r="F209" s="28" t="s">
        <v>319</v>
      </c>
      <c r="G209" s="28" t="s">
        <v>319</v>
      </c>
      <c r="H209" s="28" t="s">
        <v>319</v>
      </c>
      <c r="I209" s="6" t="s">
        <v>650</v>
      </c>
      <c r="J209" s="28" t="s">
        <v>319</v>
      </c>
      <c r="K209" s="28" t="s">
        <v>319</v>
      </c>
      <c r="L209" s="28" t="s">
        <v>319</v>
      </c>
      <c r="M209" s="28" t="s">
        <v>319</v>
      </c>
      <c r="N209" s="28" t="s">
        <v>319</v>
      </c>
      <c r="O209" s="28" t="s">
        <v>319</v>
      </c>
      <c r="P209" s="28" t="s">
        <v>319</v>
      </c>
      <c r="Q209" s="5" t="s">
        <v>754</v>
      </c>
      <c r="R209" s="5" t="s">
        <v>713</v>
      </c>
      <c r="S209" s="6" t="s">
        <v>669</v>
      </c>
      <c r="T209" s="5"/>
      <c r="U209" s="5">
        <v>20000</v>
      </c>
      <c r="V209" s="5"/>
      <c r="W209" s="6" t="s">
        <v>665</v>
      </c>
      <c r="X209" s="5"/>
      <c r="Y209" s="105">
        <v>23.5</v>
      </c>
      <c r="Z209" s="5"/>
      <c r="AA209" s="6" t="s">
        <v>963</v>
      </c>
      <c r="AB209" s="6"/>
      <c r="AC209" s="6" t="s">
        <v>1001</v>
      </c>
      <c r="AD209" s="6"/>
      <c r="AE209" s="6" t="s">
        <v>956</v>
      </c>
      <c r="AF209" s="6"/>
      <c r="AG209" s="12">
        <v>-30</v>
      </c>
      <c r="AH209" s="6"/>
      <c r="AI209" s="6" t="s">
        <v>993</v>
      </c>
      <c r="AJ209" s="112"/>
      <c r="AK209" s="112">
        <v>6.5000000000000002E-2</v>
      </c>
      <c r="AL209" s="6"/>
      <c r="AM209" s="6" t="s">
        <v>958</v>
      </c>
      <c r="AN209" s="6"/>
      <c r="AO209" s="5">
        <v>19.79</v>
      </c>
      <c r="AP209" s="6"/>
      <c r="AQ209" s="28" t="s">
        <v>319</v>
      </c>
      <c r="AR209" s="28" t="s">
        <v>319</v>
      </c>
      <c r="AS209" s="28" t="s">
        <v>319</v>
      </c>
      <c r="AT209" s="28" t="s">
        <v>319</v>
      </c>
      <c r="AU209" s="28" t="s">
        <v>319</v>
      </c>
      <c r="AV209" s="28" t="s">
        <v>319</v>
      </c>
      <c r="AW209" s="28" t="s">
        <v>319</v>
      </c>
      <c r="AX209" s="28" t="s">
        <v>319</v>
      </c>
      <c r="AY209" s="28" t="s">
        <v>319</v>
      </c>
      <c r="AZ209" s="28" t="s">
        <v>319</v>
      </c>
      <c r="BA209" s="28" t="s">
        <v>319</v>
      </c>
      <c r="BB209" s="6" t="s">
        <v>984</v>
      </c>
      <c r="BC209" s="106">
        <v>-104</v>
      </c>
      <c r="BD209" s="183">
        <v>65</v>
      </c>
      <c r="BE209" s="6" t="s">
        <v>1008</v>
      </c>
      <c r="BF209" s="6"/>
      <c r="BG209" s="12">
        <v>37.5</v>
      </c>
      <c r="BH209" s="28" t="s">
        <v>319</v>
      </c>
      <c r="BI209" s="28" t="s">
        <v>319</v>
      </c>
      <c r="BJ209" s="28" t="s">
        <v>319</v>
      </c>
      <c r="BK209" s="28" t="s">
        <v>319</v>
      </c>
      <c r="BL209" s="28" t="s">
        <v>319</v>
      </c>
      <c r="BM209" s="28" t="s">
        <v>319</v>
      </c>
      <c r="BN209" s="28" t="s">
        <v>319</v>
      </c>
      <c r="BO209" s="28" t="s">
        <v>319</v>
      </c>
      <c r="BP209" s="28" t="s">
        <v>319</v>
      </c>
      <c r="BQ209" s="28" t="s">
        <v>319</v>
      </c>
      <c r="BR209" s="5"/>
      <c r="BS209" s="183">
        <v>507</v>
      </c>
      <c r="BT209" s="6"/>
      <c r="BU209" s="12"/>
      <c r="BV209" s="6"/>
      <c r="BW209" s="105"/>
      <c r="BX209" s="6" t="s">
        <v>1054</v>
      </c>
      <c r="BY209" s="6"/>
      <c r="BZ209" s="30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9"/>
      <c r="DB209" s="6"/>
      <c r="DC209" s="30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 t="s">
        <v>319</v>
      </c>
      <c r="DO209" s="28" t="s">
        <v>319</v>
      </c>
      <c r="DP209" s="28" t="s">
        <v>319</v>
      </c>
      <c r="DQ209" s="28" t="s">
        <v>319</v>
      </c>
      <c r="DR209" s="28" t="s">
        <v>319</v>
      </c>
      <c r="DS209" s="28" t="s">
        <v>319</v>
      </c>
      <c r="DT209" s="28" t="s">
        <v>319</v>
      </c>
      <c r="DU209" s="28" t="s">
        <v>319</v>
      </c>
      <c r="DV209" s="28" t="s">
        <v>319</v>
      </c>
      <c r="DW209" s="28" t="s">
        <v>319</v>
      </c>
      <c r="DX209" s="28" t="s">
        <v>319</v>
      </c>
      <c r="DY209" s="28" t="s">
        <v>319</v>
      </c>
      <c r="DZ209" s="28" t="s">
        <v>319</v>
      </c>
      <c r="EA209" s="28" t="s">
        <v>319</v>
      </c>
      <c r="EB209" s="28" t="s">
        <v>319</v>
      </c>
      <c r="EC209" s="28" t="s">
        <v>319</v>
      </c>
      <c r="ED209" s="28" t="s">
        <v>319</v>
      </c>
      <c r="EE209" s="28"/>
      <c r="EF209" s="28" t="s">
        <v>319</v>
      </c>
      <c r="EG209" s="28" t="s">
        <v>319</v>
      </c>
      <c r="EH209" s="28" t="s">
        <v>319</v>
      </c>
      <c r="EI209" s="28" t="s">
        <v>319</v>
      </c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7"/>
      <c r="FK209" s="6"/>
      <c r="FL209" s="6"/>
      <c r="FM209" s="97"/>
    </row>
    <row r="210" spans="1:169" s="3" customFormat="1" x14ac:dyDescent="0.4">
      <c r="A210" s="93"/>
      <c r="B210" s="93"/>
      <c r="C210" s="26"/>
      <c r="D210" s="27" t="s">
        <v>319</v>
      </c>
      <c r="E210" s="2" t="s">
        <v>380</v>
      </c>
      <c r="F210" s="28" t="s">
        <v>319</v>
      </c>
      <c r="G210" s="28" t="s">
        <v>319</v>
      </c>
      <c r="H210" s="28" t="s">
        <v>319</v>
      </c>
      <c r="I210" s="6" t="s">
        <v>653</v>
      </c>
      <c r="J210" s="28" t="s">
        <v>319</v>
      </c>
      <c r="K210" s="28" t="s">
        <v>319</v>
      </c>
      <c r="L210" s="28" t="s">
        <v>319</v>
      </c>
      <c r="M210" s="28" t="s">
        <v>319</v>
      </c>
      <c r="N210" s="28" t="s">
        <v>319</v>
      </c>
      <c r="O210" s="28" t="s">
        <v>319</v>
      </c>
      <c r="P210" s="28" t="s">
        <v>319</v>
      </c>
      <c r="Q210" s="5" t="s">
        <v>754</v>
      </c>
      <c r="R210" s="5" t="s">
        <v>667</v>
      </c>
      <c r="S210" s="6" t="s">
        <v>678</v>
      </c>
      <c r="T210" s="5"/>
      <c r="U210" s="200" t="s">
        <v>1479</v>
      </c>
      <c r="V210" s="5"/>
      <c r="W210" s="6" t="s">
        <v>665</v>
      </c>
      <c r="X210" s="5"/>
      <c r="Y210" s="238">
        <v>5.7930000000000001</v>
      </c>
      <c r="Z210" s="5"/>
      <c r="AA210" s="6" t="s">
        <v>963</v>
      </c>
      <c r="AB210" s="6"/>
      <c r="AC210" s="238">
        <v>2.46</v>
      </c>
      <c r="AD210" s="6"/>
      <c r="AE210" s="6" t="s">
        <v>956</v>
      </c>
      <c r="AF210" s="6"/>
      <c r="AG210" s="238">
        <v>-28</v>
      </c>
      <c r="AH210" s="6"/>
      <c r="AI210" s="6" t="s">
        <v>965</v>
      </c>
      <c r="AJ210" s="108"/>
      <c r="AK210" s="5">
        <v>0.01</v>
      </c>
      <c r="AL210" s="6"/>
      <c r="AM210" s="6" t="s">
        <v>958</v>
      </c>
      <c r="AN210" s="6"/>
      <c r="AO210" s="5"/>
      <c r="AP210" s="6"/>
      <c r="AQ210" s="28" t="s">
        <v>319</v>
      </c>
      <c r="AR210" s="28" t="s">
        <v>319</v>
      </c>
      <c r="AS210" s="28" t="s">
        <v>319</v>
      </c>
      <c r="AT210" s="28" t="s">
        <v>319</v>
      </c>
      <c r="AU210" s="28" t="s">
        <v>319</v>
      </c>
      <c r="AV210" s="28" t="s">
        <v>319</v>
      </c>
      <c r="AW210" s="28" t="s">
        <v>319</v>
      </c>
      <c r="AX210" s="28" t="s">
        <v>319</v>
      </c>
      <c r="AY210" s="28" t="s">
        <v>319</v>
      </c>
      <c r="AZ210" s="28" t="s">
        <v>319</v>
      </c>
      <c r="BA210" s="28" t="s">
        <v>319</v>
      </c>
      <c r="BB210" s="6" t="s">
        <v>984</v>
      </c>
      <c r="BC210" s="106">
        <v>-104</v>
      </c>
      <c r="BD210" s="106">
        <v>65</v>
      </c>
      <c r="BE210" s="6" t="s">
        <v>1008</v>
      </c>
      <c r="BF210" s="6"/>
      <c r="BG210" s="12">
        <v>14.6</v>
      </c>
      <c r="BH210" s="28" t="s">
        <v>319</v>
      </c>
      <c r="BI210" s="28" t="s">
        <v>319</v>
      </c>
      <c r="BJ210" s="28" t="s">
        <v>319</v>
      </c>
      <c r="BK210" s="28" t="s">
        <v>319</v>
      </c>
      <c r="BL210" s="28" t="s">
        <v>319</v>
      </c>
      <c r="BM210" s="28" t="s">
        <v>319</v>
      </c>
      <c r="BN210" s="28" t="s">
        <v>319</v>
      </c>
      <c r="BO210" s="28" t="s">
        <v>319</v>
      </c>
      <c r="BP210" s="28" t="s">
        <v>319</v>
      </c>
      <c r="BQ210" s="28" t="s">
        <v>319</v>
      </c>
      <c r="BR210" s="5"/>
      <c r="BS210" s="5"/>
      <c r="BT210" s="6"/>
      <c r="BU210" s="5">
        <v>28.1</v>
      </c>
      <c r="BV210" s="6" t="s">
        <v>1357</v>
      </c>
      <c r="BW210" s="5">
        <v>1.39</v>
      </c>
      <c r="BX210" s="6"/>
      <c r="BY210" s="6"/>
      <c r="BZ210" s="30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9"/>
      <c r="DB210" s="6"/>
      <c r="DC210" s="30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 t="s">
        <v>319</v>
      </c>
      <c r="DO210" s="28" t="s">
        <v>319</v>
      </c>
      <c r="DP210" s="28" t="s">
        <v>319</v>
      </c>
      <c r="DQ210" s="28" t="s">
        <v>319</v>
      </c>
      <c r="DR210" s="28" t="s">
        <v>319</v>
      </c>
      <c r="DS210" s="28" t="s">
        <v>319</v>
      </c>
      <c r="DT210" s="28" t="s">
        <v>319</v>
      </c>
      <c r="DU210" s="28" t="s">
        <v>319</v>
      </c>
      <c r="DV210" s="28" t="s">
        <v>319</v>
      </c>
      <c r="DW210" s="28" t="s">
        <v>319</v>
      </c>
      <c r="DX210" s="28" t="s">
        <v>319</v>
      </c>
      <c r="DY210" s="28" t="s">
        <v>319</v>
      </c>
      <c r="DZ210" s="28" t="s">
        <v>319</v>
      </c>
      <c r="EA210" s="28" t="s">
        <v>319</v>
      </c>
      <c r="EB210" s="28" t="s">
        <v>319</v>
      </c>
      <c r="EC210" s="28" t="s">
        <v>319</v>
      </c>
      <c r="ED210" s="28" t="s">
        <v>319</v>
      </c>
      <c r="EE210" s="28"/>
      <c r="EF210" s="28" t="s">
        <v>319</v>
      </c>
      <c r="EG210" s="28" t="s">
        <v>319</v>
      </c>
      <c r="EH210" s="28" t="s">
        <v>319</v>
      </c>
      <c r="EI210" s="28" t="s">
        <v>319</v>
      </c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7"/>
      <c r="FK210" s="6"/>
      <c r="FL210" s="6"/>
      <c r="FM210" s="94"/>
    </row>
    <row r="211" spans="1:169" s="3" customFormat="1" x14ac:dyDescent="0.4">
      <c r="A211" s="93"/>
      <c r="B211" s="93"/>
      <c r="C211" s="26"/>
      <c r="D211" s="27" t="s">
        <v>319</v>
      </c>
      <c r="E211" s="2" t="s">
        <v>380</v>
      </c>
      <c r="F211" s="28" t="s">
        <v>319</v>
      </c>
      <c r="G211" s="28" t="s">
        <v>319</v>
      </c>
      <c r="H211" s="28" t="s">
        <v>319</v>
      </c>
      <c r="I211" s="6" t="s">
        <v>653</v>
      </c>
      <c r="J211" s="28" t="s">
        <v>319</v>
      </c>
      <c r="K211" s="28" t="s">
        <v>319</v>
      </c>
      <c r="L211" s="28" t="s">
        <v>319</v>
      </c>
      <c r="M211" s="28" t="s">
        <v>319</v>
      </c>
      <c r="N211" s="28" t="s">
        <v>319</v>
      </c>
      <c r="O211" s="28" t="s">
        <v>319</v>
      </c>
      <c r="P211" s="28" t="s">
        <v>319</v>
      </c>
      <c r="Q211" s="5" t="s">
        <v>754</v>
      </c>
      <c r="R211" s="5" t="s">
        <v>667</v>
      </c>
      <c r="S211" s="6" t="s">
        <v>664</v>
      </c>
      <c r="T211" s="5"/>
      <c r="U211" s="200" t="s">
        <v>1480</v>
      </c>
      <c r="V211" s="5"/>
      <c r="W211" s="6" t="s">
        <v>665</v>
      </c>
      <c r="X211" s="5"/>
      <c r="Y211" s="238">
        <v>12.113</v>
      </c>
      <c r="Z211" s="5"/>
      <c r="AA211" s="6" t="s">
        <v>955</v>
      </c>
      <c r="AB211" s="6"/>
      <c r="AC211" s="238">
        <v>7.97</v>
      </c>
      <c r="AD211" s="6"/>
      <c r="AE211" s="6" t="s">
        <v>956</v>
      </c>
      <c r="AF211" s="6"/>
      <c r="AG211" s="238">
        <v>9.9</v>
      </c>
      <c r="AH211" s="6"/>
      <c r="AI211" s="6" t="s">
        <v>957</v>
      </c>
      <c r="AJ211" s="108"/>
      <c r="AK211" s="5">
        <v>0.01</v>
      </c>
      <c r="AL211" s="6"/>
      <c r="AM211" s="6" t="s">
        <v>958</v>
      </c>
      <c r="AN211" s="6"/>
      <c r="AO211" s="5"/>
      <c r="AP211" s="6"/>
      <c r="AQ211" s="28" t="s">
        <v>319</v>
      </c>
      <c r="AR211" s="28" t="s">
        <v>319</v>
      </c>
      <c r="AS211" s="28" t="s">
        <v>319</v>
      </c>
      <c r="AT211" s="28" t="s">
        <v>319</v>
      </c>
      <c r="AU211" s="28" t="s">
        <v>319</v>
      </c>
      <c r="AV211" s="28" t="s">
        <v>319</v>
      </c>
      <c r="AW211" s="28" t="s">
        <v>319</v>
      </c>
      <c r="AX211" s="28" t="s">
        <v>319</v>
      </c>
      <c r="AY211" s="28" t="s">
        <v>319</v>
      </c>
      <c r="AZ211" s="28" t="s">
        <v>319</v>
      </c>
      <c r="BA211" s="28" t="s">
        <v>319</v>
      </c>
      <c r="BB211" s="6" t="s">
        <v>984</v>
      </c>
      <c r="BC211" s="106">
        <v>-104</v>
      </c>
      <c r="BD211" s="106">
        <v>65</v>
      </c>
      <c r="BE211" s="6" t="s">
        <v>1008</v>
      </c>
      <c r="BF211" s="6"/>
      <c r="BG211" s="12">
        <v>14.6</v>
      </c>
      <c r="BH211" s="28" t="s">
        <v>319</v>
      </c>
      <c r="BI211" s="28" t="s">
        <v>319</v>
      </c>
      <c r="BJ211" s="28" t="s">
        <v>319</v>
      </c>
      <c r="BK211" s="28" t="s">
        <v>319</v>
      </c>
      <c r="BL211" s="28" t="s">
        <v>319</v>
      </c>
      <c r="BM211" s="28" t="s">
        <v>319</v>
      </c>
      <c r="BN211" s="28" t="s">
        <v>319</v>
      </c>
      <c r="BO211" s="28" t="s">
        <v>319</v>
      </c>
      <c r="BP211" s="28" t="s">
        <v>319</v>
      </c>
      <c r="BQ211" s="28" t="s">
        <v>319</v>
      </c>
      <c r="BR211" s="5"/>
      <c r="BS211" s="5"/>
      <c r="BT211" s="6"/>
      <c r="BU211" s="5">
        <v>28.1</v>
      </c>
      <c r="BV211" s="6" t="s">
        <v>1357</v>
      </c>
      <c r="BW211" s="5">
        <v>1.39</v>
      </c>
      <c r="BX211" s="6"/>
      <c r="BY211" s="6"/>
      <c r="BZ211" s="30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9"/>
      <c r="DB211" s="6"/>
      <c r="DC211" s="30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 t="s">
        <v>319</v>
      </c>
      <c r="DO211" s="28" t="s">
        <v>319</v>
      </c>
      <c r="DP211" s="28" t="s">
        <v>319</v>
      </c>
      <c r="DQ211" s="28" t="s">
        <v>319</v>
      </c>
      <c r="DR211" s="28" t="s">
        <v>319</v>
      </c>
      <c r="DS211" s="28" t="s">
        <v>319</v>
      </c>
      <c r="DT211" s="28" t="s">
        <v>319</v>
      </c>
      <c r="DU211" s="28" t="s">
        <v>319</v>
      </c>
      <c r="DV211" s="28" t="s">
        <v>319</v>
      </c>
      <c r="DW211" s="28" t="s">
        <v>319</v>
      </c>
      <c r="DX211" s="28" t="s">
        <v>319</v>
      </c>
      <c r="DY211" s="28" t="s">
        <v>319</v>
      </c>
      <c r="DZ211" s="28" t="s">
        <v>319</v>
      </c>
      <c r="EA211" s="28" t="s">
        <v>319</v>
      </c>
      <c r="EB211" s="28" t="s">
        <v>319</v>
      </c>
      <c r="EC211" s="28" t="s">
        <v>319</v>
      </c>
      <c r="ED211" s="28" t="s">
        <v>319</v>
      </c>
      <c r="EE211" s="28"/>
      <c r="EF211" s="28" t="s">
        <v>319</v>
      </c>
      <c r="EG211" s="28" t="s">
        <v>319</v>
      </c>
      <c r="EH211" s="28" t="s">
        <v>319</v>
      </c>
      <c r="EI211" s="28" t="s">
        <v>319</v>
      </c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7"/>
      <c r="FK211" s="6"/>
      <c r="FL211" s="6"/>
      <c r="FM211" s="94"/>
    </row>
    <row r="212" spans="1:169" s="3" customFormat="1" x14ac:dyDescent="0.4">
      <c r="A212" s="93"/>
      <c r="B212" s="93"/>
      <c r="C212" s="26"/>
      <c r="D212" s="27" t="s">
        <v>319</v>
      </c>
      <c r="E212" s="2" t="s">
        <v>380</v>
      </c>
      <c r="F212" s="28" t="s">
        <v>319</v>
      </c>
      <c r="G212" s="28" t="s">
        <v>319</v>
      </c>
      <c r="H212" s="28" t="s">
        <v>319</v>
      </c>
      <c r="I212" s="6" t="s">
        <v>653</v>
      </c>
      <c r="J212" s="28" t="s">
        <v>319</v>
      </c>
      <c r="K212" s="28" t="s">
        <v>319</v>
      </c>
      <c r="L212" s="28" t="s">
        <v>319</v>
      </c>
      <c r="M212" s="28" t="s">
        <v>319</v>
      </c>
      <c r="N212" s="28" t="s">
        <v>319</v>
      </c>
      <c r="O212" s="28" t="s">
        <v>319</v>
      </c>
      <c r="P212" s="28" t="s">
        <v>319</v>
      </c>
      <c r="Q212" s="5" t="s">
        <v>754</v>
      </c>
      <c r="R212" s="5" t="s">
        <v>667</v>
      </c>
      <c r="S212" s="6" t="s">
        <v>664</v>
      </c>
      <c r="T212" s="5"/>
      <c r="U212" s="241">
        <f>U210*1.3</f>
        <v>319928.7</v>
      </c>
      <c r="V212" s="5"/>
      <c r="W212" s="6" t="s">
        <v>665</v>
      </c>
      <c r="X212" s="5"/>
      <c r="Y212" s="238">
        <v>5.2629999999999999</v>
      </c>
      <c r="Z212" s="5"/>
      <c r="AA212" s="6" t="s">
        <v>955</v>
      </c>
      <c r="AB212" s="6"/>
      <c r="AC212" s="242">
        <v>1.81</v>
      </c>
      <c r="AD212" s="6"/>
      <c r="AE212" s="6" t="s">
        <v>956</v>
      </c>
      <c r="AF212" s="6"/>
      <c r="AG212" s="238">
        <v>-28</v>
      </c>
      <c r="AH212" s="6"/>
      <c r="AI212" s="6" t="s">
        <v>957</v>
      </c>
      <c r="AJ212" s="108"/>
      <c r="AK212" s="5">
        <v>0.01</v>
      </c>
      <c r="AL212" s="6"/>
      <c r="AM212" s="6" t="s">
        <v>958</v>
      </c>
      <c r="AN212" s="6"/>
      <c r="AO212" s="5"/>
      <c r="AP212" s="6"/>
      <c r="AQ212" s="28" t="s">
        <v>319</v>
      </c>
      <c r="AR212" s="28" t="s">
        <v>319</v>
      </c>
      <c r="AS212" s="28" t="s">
        <v>319</v>
      </c>
      <c r="AT212" s="28" t="s">
        <v>319</v>
      </c>
      <c r="AU212" s="28" t="s">
        <v>319</v>
      </c>
      <c r="AV212" s="28" t="s">
        <v>319</v>
      </c>
      <c r="AW212" s="28" t="s">
        <v>319</v>
      </c>
      <c r="AX212" s="28" t="s">
        <v>319</v>
      </c>
      <c r="AY212" s="28" t="s">
        <v>319</v>
      </c>
      <c r="AZ212" s="28" t="s">
        <v>319</v>
      </c>
      <c r="BA212" s="28" t="s">
        <v>319</v>
      </c>
      <c r="BB212" s="6" t="s">
        <v>984</v>
      </c>
      <c r="BC212" s="106">
        <v>-104</v>
      </c>
      <c r="BD212" s="106">
        <v>65</v>
      </c>
      <c r="BE212" s="6" t="s">
        <v>1008</v>
      </c>
      <c r="BF212" s="6"/>
      <c r="BG212" s="12">
        <v>14.6</v>
      </c>
      <c r="BH212" s="28" t="s">
        <v>319</v>
      </c>
      <c r="BI212" s="28" t="s">
        <v>319</v>
      </c>
      <c r="BJ212" s="28" t="s">
        <v>319</v>
      </c>
      <c r="BK212" s="28" t="s">
        <v>319</v>
      </c>
      <c r="BL212" s="28" t="s">
        <v>319</v>
      </c>
      <c r="BM212" s="28" t="s">
        <v>319</v>
      </c>
      <c r="BN212" s="28" t="s">
        <v>319</v>
      </c>
      <c r="BO212" s="28" t="s">
        <v>319</v>
      </c>
      <c r="BP212" s="28" t="s">
        <v>319</v>
      </c>
      <c r="BQ212" s="28" t="s">
        <v>319</v>
      </c>
      <c r="BR212" s="5"/>
      <c r="BS212" s="5"/>
      <c r="BT212" s="6"/>
      <c r="BU212" s="5">
        <v>28.1</v>
      </c>
      <c r="BV212" s="6" t="s">
        <v>1357</v>
      </c>
      <c r="BW212" s="5">
        <v>1.39</v>
      </c>
      <c r="BX212" s="6"/>
      <c r="BY212" s="6"/>
      <c r="BZ212" s="30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9"/>
      <c r="DB212" s="6"/>
      <c r="DC212" s="30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 t="s">
        <v>319</v>
      </c>
      <c r="DO212" s="28" t="s">
        <v>319</v>
      </c>
      <c r="DP212" s="28" t="s">
        <v>319</v>
      </c>
      <c r="DQ212" s="28" t="s">
        <v>319</v>
      </c>
      <c r="DR212" s="28" t="s">
        <v>319</v>
      </c>
      <c r="DS212" s="28" t="s">
        <v>319</v>
      </c>
      <c r="DT212" s="28" t="s">
        <v>319</v>
      </c>
      <c r="DU212" s="28" t="s">
        <v>319</v>
      </c>
      <c r="DV212" s="28" t="s">
        <v>319</v>
      </c>
      <c r="DW212" s="28" t="s">
        <v>319</v>
      </c>
      <c r="DX212" s="28" t="s">
        <v>319</v>
      </c>
      <c r="DY212" s="28" t="s">
        <v>319</v>
      </c>
      <c r="DZ212" s="28" t="s">
        <v>319</v>
      </c>
      <c r="EA212" s="28" t="s">
        <v>319</v>
      </c>
      <c r="EB212" s="28" t="s">
        <v>319</v>
      </c>
      <c r="EC212" s="28" t="s">
        <v>319</v>
      </c>
      <c r="ED212" s="28" t="s">
        <v>319</v>
      </c>
      <c r="EE212" s="28"/>
      <c r="EF212" s="28" t="s">
        <v>319</v>
      </c>
      <c r="EG212" s="28" t="s">
        <v>319</v>
      </c>
      <c r="EH212" s="28" t="s">
        <v>319</v>
      </c>
      <c r="EI212" s="28" t="s">
        <v>319</v>
      </c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7"/>
      <c r="FK212" s="6"/>
      <c r="FL212" s="6"/>
      <c r="FM212" s="94"/>
    </row>
    <row r="213" spans="1:169" s="3" customFormat="1" x14ac:dyDescent="0.4">
      <c r="A213" s="93"/>
      <c r="B213" s="93"/>
      <c r="C213" s="26"/>
      <c r="D213" s="27" t="s">
        <v>319</v>
      </c>
      <c r="E213" s="2" t="s">
        <v>380</v>
      </c>
      <c r="F213" s="28" t="s">
        <v>319</v>
      </c>
      <c r="G213" s="28" t="s">
        <v>319</v>
      </c>
      <c r="H213" s="28" t="s">
        <v>319</v>
      </c>
      <c r="I213" s="6" t="s">
        <v>653</v>
      </c>
      <c r="J213" s="28" t="s">
        <v>319</v>
      </c>
      <c r="K213" s="28" t="s">
        <v>319</v>
      </c>
      <c r="L213" s="28" t="s">
        <v>319</v>
      </c>
      <c r="M213" s="28" t="s">
        <v>319</v>
      </c>
      <c r="N213" s="28" t="s">
        <v>319</v>
      </c>
      <c r="O213" s="28" t="s">
        <v>319</v>
      </c>
      <c r="P213" s="28" t="s">
        <v>319</v>
      </c>
      <c r="Q213" s="5" t="s">
        <v>754</v>
      </c>
      <c r="R213" s="5" t="s">
        <v>667</v>
      </c>
      <c r="S213" s="6" t="s">
        <v>664</v>
      </c>
      <c r="T213" s="5"/>
      <c r="U213" s="241">
        <f>U211*1.3</f>
        <v>757429.4</v>
      </c>
      <c r="V213" s="5"/>
      <c r="W213" s="6" t="s">
        <v>665</v>
      </c>
      <c r="X213" s="5"/>
      <c r="Y213" s="238">
        <v>10.439</v>
      </c>
      <c r="Z213" s="5"/>
      <c r="AA213" s="6" t="s">
        <v>955</v>
      </c>
      <c r="AB213" s="6"/>
      <c r="AC213" s="238">
        <v>5.74</v>
      </c>
      <c r="AD213" s="6"/>
      <c r="AE213" s="6" t="s">
        <v>956</v>
      </c>
      <c r="AF213" s="6"/>
      <c r="AG213" s="238">
        <v>9.9</v>
      </c>
      <c r="AH213" s="6"/>
      <c r="AI213" s="6" t="s">
        <v>957</v>
      </c>
      <c r="AJ213" s="108"/>
      <c r="AK213" s="5">
        <v>0.01</v>
      </c>
      <c r="AL213" s="6"/>
      <c r="AM213" s="6" t="s">
        <v>958</v>
      </c>
      <c r="AN213" s="6"/>
      <c r="AO213" s="5"/>
      <c r="AP213" s="6"/>
      <c r="AQ213" s="28" t="s">
        <v>319</v>
      </c>
      <c r="AR213" s="28" t="s">
        <v>319</v>
      </c>
      <c r="AS213" s="28" t="s">
        <v>319</v>
      </c>
      <c r="AT213" s="28" t="s">
        <v>319</v>
      </c>
      <c r="AU213" s="28" t="s">
        <v>319</v>
      </c>
      <c r="AV213" s="28" t="s">
        <v>319</v>
      </c>
      <c r="AW213" s="28" t="s">
        <v>319</v>
      </c>
      <c r="AX213" s="28" t="s">
        <v>319</v>
      </c>
      <c r="AY213" s="28" t="s">
        <v>319</v>
      </c>
      <c r="AZ213" s="28" t="s">
        <v>319</v>
      </c>
      <c r="BA213" s="28" t="s">
        <v>319</v>
      </c>
      <c r="BB213" s="6" t="s">
        <v>984</v>
      </c>
      <c r="BC213" s="106">
        <v>-104</v>
      </c>
      <c r="BD213" s="106">
        <v>65</v>
      </c>
      <c r="BE213" s="6" t="s">
        <v>1008</v>
      </c>
      <c r="BF213" s="6"/>
      <c r="BG213" s="12">
        <v>14.6</v>
      </c>
      <c r="BH213" s="28" t="s">
        <v>319</v>
      </c>
      <c r="BI213" s="28" t="s">
        <v>319</v>
      </c>
      <c r="BJ213" s="28" t="s">
        <v>319</v>
      </c>
      <c r="BK213" s="28" t="s">
        <v>319</v>
      </c>
      <c r="BL213" s="28" t="s">
        <v>319</v>
      </c>
      <c r="BM213" s="28" t="s">
        <v>319</v>
      </c>
      <c r="BN213" s="28" t="s">
        <v>319</v>
      </c>
      <c r="BO213" s="28" t="s">
        <v>319</v>
      </c>
      <c r="BP213" s="28" t="s">
        <v>319</v>
      </c>
      <c r="BQ213" s="28" t="s">
        <v>319</v>
      </c>
      <c r="BR213" s="5"/>
      <c r="BS213" s="5"/>
      <c r="BT213" s="6"/>
      <c r="BU213" s="5">
        <v>28.1</v>
      </c>
      <c r="BV213" s="6" t="s">
        <v>1357</v>
      </c>
      <c r="BW213" s="5">
        <v>1.39</v>
      </c>
      <c r="BX213" s="6"/>
      <c r="BY213" s="6"/>
      <c r="BZ213" s="30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9"/>
      <c r="DB213" s="6"/>
      <c r="DC213" s="30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 t="s">
        <v>319</v>
      </c>
      <c r="DO213" s="28" t="s">
        <v>319</v>
      </c>
      <c r="DP213" s="28" t="s">
        <v>319</v>
      </c>
      <c r="DQ213" s="28" t="s">
        <v>319</v>
      </c>
      <c r="DR213" s="28" t="s">
        <v>319</v>
      </c>
      <c r="DS213" s="28" t="s">
        <v>319</v>
      </c>
      <c r="DT213" s="28" t="s">
        <v>319</v>
      </c>
      <c r="DU213" s="28" t="s">
        <v>319</v>
      </c>
      <c r="DV213" s="28" t="s">
        <v>319</v>
      </c>
      <c r="DW213" s="28" t="s">
        <v>319</v>
      </c>
      <c r="DX213" s="28" t="s">
        <v>319</v>
      </c>
      <c r="DY213" s="28" t="s">
        <v>319</v>
      </c>
      <c r="DZ213" s="28" t="s">
        <v>319</v>
      </c>
      <c r="EA213" s="28" t="s">
        <v>319</v>
      </c>
      <c r="EB213" s="28" t="s">
        <v>319</v>
      </c>
      <c r="EC213" s="28" t="s">
        <v>319</v>
      </c>
      <c r="ED213" s="28" t="s">
        <v>319</v>
      </c>
      <c r="EE213" s="28"/>
      <c r="EF213" s="28" t="s">
        <v>319</v>
      </c>
      <c r="EG213" s="28" t="s">
        <v>319</v>
      </c>
      <c r="EH213" s="28" t="s">
        <v>319</v>
      </c>
      <c r="EI213" s="28" t="s">
        <v>319</v>
      </c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7"/>
      <c r="FK213" s="6"/>
      <c r="FL213" s="6"/>
      <c r="FM213" s="94"/>
    </row>
    <row r="214" spans="1:169" s="3" customFormat="1" x14ac:dyDescent="0.4">
      <c r="A214" s="93"/>
      <c r="B214" s="93"/>
      <c r="C214" s="26"/>
      <c r="D214" s="27" t="s">
        <v>319</v>
      </c>
      <c r="E214" s="2" t="s">
        <v>544</v>
      </c>
      <c r="F214" s="28" t="s">
        <v>319</v>
      </c>
      <c r="G214" s="28" t="s">
        <v>319</v>
      </c>
      <c r="H214" s="28" t="s">
        <v>319</v>
      </c>
      <c r="I214" s="6" t="s">
        <v>654</v>
      </c>
      <c r="J214" s="28" t="s">
        <v>319</v>
      </c>
      <c r="K214" s="28" t="s">
        <v>319</v>
      </c>
      <c r="L214" s="28" t="s">
        <v>319</v>
      </c>
      <c r="M214" s="28" t="s">
        <v>319</v>
      </c>
      <c r="N214" s="28" t="s">
        <v>319</v>
      </c>
      <c r="O214" s="28" t="s">
        <v>319</v>
      </c>
      <c r="P214" s="28" t="s">
        <v>319</v>
      </c>
      <c r="Q214" s="5" t="s">
        <v>754</v>
      </c>
      <c r="R214" s="5" t="s">
        <v>667</v>
      </c>
      <c r="S214" s="6" t="s">
        <v>669</v>
      </c>
      <c r="T214" s="245">
        <f>58700*1.1*0.02</f>
        <v>1291.4000000000001</v>
      </c>
      <c r="U214" s="245">
        <f>58700*1.1*0.03</f>
        <v>1937.1000000000001</v>
      </c>
      <c r="V214" s="245">
        <f>58700*1.1*0.1</f>
        <v>6457.0000000000009</v>
      </c>
      <c r="W214" s="6" t="s">
        <v>665</v>
      </c>
      <c r="X214" s="5"/>
      <c r="Y214" s="111">
        <v>11</v>
      </c>
      <c r="Z214" s="5"/>
      <c r="AA214" s="6" t="s">
        <v>982</v>
      </c>
      <c r="AB214" s="6"/>
      <c r="AC214" s="6" t="s">
        <v>1002</v>
      </c>
      <c r="AD214" s="6"/>
      <c r="AE214" s="6" t="s">
        <v>984</v>
      </c>
      <c r="AF214" s="6"/>
      <c r="AG214" s="12">
        <v>-100.3</v>
      </c>
      <c r="AH214" s="6"/>
      <c r="AI214" s="6" t="s">
        <v>965</v>
      </c>
      <c r="AJ214" s="108"/>
      <c r="AK214" s="5">
        <v>0.01</v>
      </c>
      <c r="AL214" s="6"/>
      <c r="AM214" s="6" t="s">
        <v>958</v>
      </c>
      <c r="AN214" s="6"/>
      <c r="AO214" s="5"/>
      <c r="AP214" s="6"/>
      <c r="AQ214" s="28" t="s">
        <v>319</v>
      </c>
      <c r="AR214" s="28" t="s">
        <v>319</v>
      </c>
      <c r="AS214" s="28" t="s">
        <v>319</v>
      </c>
      <c r="AT214" s="28" t="s">
        <v>319</v>
      </c>
      <c r="AU214" s="28" t="s">
        <v>319</v>
      </c>
      <c r="AV214" s="28" t="s">
        <v>319</v>
      </c>
      <c r="AW214" s="28" t="s">
        <v>319</v>
      </c>
      <c r="AX214" s="28" t="s">
        <v>319</v>
      </c>
      <c r="AY214" s="28" t="s">
        <v>319</v>
      </c>
      <c r="AZ214" s="28" t="s">
        <v>319</v>
      </c>
      <c r="BA214" s="28" t="s">
        <v>319</v>
      </c>
      <c r="BB214" s="6" t="s">
        <v>984</v>
      </c>
      <c r="BC214" s="106">
        <v>-104</v>
      </c>
      <c r="BD214" s="106">
        <v>65</v>
      </c>
      <c r="BE214" s="6" t="s">
        <v>1010</v>
      </c>
      <c r="BF214" s="6"/>
      <c r="BG214" s="12">
        <v>12</v>
      </c>
      <c r="BH214" s="28" t="s">
        <v>319</v>
      </c>
      <c r="BI214" s="28" t="s">
        <v>319</v>
      </c>
      <c r="BJ214" s="28" t="s">
        <v>319</v>
      </c>
      <c r="BK214" s="28" t="s">
        <v>319</v>
      </c>
      <c r="BL214" s="28" t="s">
        <v>319</v>
      </c>
      <c r="BM214" s="28" t="s">
        <v>319</v>
      </c>
      <c r="BN214" s="28" t="s">
        <v>319</v>
      </c>
      <c r="BO214" s="28" t="s">
        <v>319</v>
      </c>
      <c r="BP214" s="28" t="s">
        <v>319</v>
      </c>
      <c r="BQ214" s="28" t="s">
        <v>319</v>
      </c>
      <c r="BR214" s="5"/>
      <c r="BS214" s="5"/>
      <c r="BT214" s="6"/>
      <c r="BU214" s="5">
        <v>28.1</v>
      </c>
      <c r="BV214" s="100">
        <v>0.96799999999999997</v>
      </c>
      <c r="BW214" s="5">
        <v>1.33</v>
      </c>
      <c r="BX214" s="6"/>
      <c r="BY214" s="6"/>
      <c r="BZ214" s="30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9"/>
      <c r="DB214" s="6"/>
      <c r="DC214" s="30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 t="s">
        <v>319</v>
      </c>
      <c r="DO214" s="28" t="s">
        <v>319</v>
      </c>
      <c r="DP214" s="28" t="s">
        <v>319</v>
      </c>
      <c r="DQ214" s="28" t="s">
        <v>319</v>
      </c>
      <c r="DR214" s="28" t="s">
        <v>319</v>
      </c>
      <c r="DS214" s="28" t="s">
        <v>319</v>
      </c>
      <c r="DT214" s="28" t="s">
        <v>319</v>
      </c>
      <c r="DU214" s="28" t="s">
        <v>319</v>
      </c>
      <c r="DV214" s="28" t="s">
        <v>319</v>
      </c>
      <c r="DW214" s="28" t="s">
        <v>319</v>
      </c>
      <c r="DX214" s="28" t="s">
        <v>319</v>
      </c>
      <c r="DY214" s="28" t="s">
        <v>319</v>
      </c>
      <c r="DZ214" s="28" t="s">
        <v>319</v>
      </c>
      <c r="EA214" s="28" t="s">
        <v>319</v>
      </c>
      <c r="EB214" s="28" t="s">
        <v>319</v>
      </c>
      <c r="EC214" s="28" t="s">
        <v>319</v>
      </c>
      <c r="ED214" s="28" t="s">
        <v>319</v>
      </c>
      <c r="EE214" s="28"/>
      <c r="EF214" s="28" t="s">
        <v>319</v>
      </c>
      <c r="EG214" s="28" t="s">
        <v>319</v>
      </c>
      <c r="EH214" s="28" t="s">
        <v>319</v>
      </c>
      <c r="EI214" s="28" t="s">
        <v>319</v>
      </c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7"/>
      <c r="FK214" s="6"/>
      <c r="FL214" s="6"/>
      <c r="FM214" s="94"/>
    </row>
    <row r="215" spans="1:169" s="43" customFormat="1" x14ac:dyDescent="0.4">
      <c r="A215" s="116"/>
      <c r="B215" s="116"/>
      <c r="C215" s="26"/>
      <c r="D215" s="27" t="s">
        <v>319</v>
      </c>
      <c r="E215" s="119" t="s">
        <v>545</v>
      </c>
      <c r="F215" s="152" t="s">
        <v>319</v>
      </c>
      <c r="G215" s="152" t="s">
        <v>319</v>
      </c>
      <c r="H215" s="152" t="s">
        <v>319</v>
      </c>
      <c r="I215" s="120" t="s">
        <v>653</v>
      </c>
      <c r="J215" s="152" t="s">
        <v>319</v>
      </c>
      <c r="K215" s="152" t="s">
        <v>319</v>
      </c>
      <c r="L215" s="152" t="s">
        <v>319</v>
      </c>
      <c r="M215" s="152" t="s">
        <v>319</v>
      </c>
      <c r="N215" s="152" t="s">
        <v>319</v>
      </c>
      <c r="O215" s="152" t="s">
        <v>319</v>
      </c>
      <c r="P215" s="152" t="s">
        <v>319</v>
      </c>
      <c r="Q215" s="121" t="s">
        <v>754</v>
      </c>
      <c r="R215" s="121" t="s">
        <v>674</v>
      </c>
      <c r="S215" s="120" t="s">
        <v>672</v>
      </c>
      <c r="T215" s="121"/>
      <c r="U215" s="121">
        <v>20000</v>
      </c>
      <c r="V215" s="121"/>
      <c r="W215" s="120" t="s">
        <v>665</v>
      </c>
      <c r="X215" s="121"/>
      <c r="Y215" s="122">
        <v>23.5</v>
      </c>
      <c r="Z215" s="121"/>
      <c r="AA215" s="120" t="s">
        <v>963</v>
      </c>
      <c r="AB215" s="120"/>
      <c r="AC215" s="120" t="s">
        <v>1003</v>
      </c>
      <c r="AD215" s="120"/>
      <c r="AE215" s="120" t="s">
        <v>956</v>
      </c>
      <c r="AF215" s="120"/>
      <c r="AG215" s="123">
        <v>-30</v>
      </c>
      <c r="AH215" s="120"/>
      <c r="AI215" s="120" t="s">
        <v>965</v>
      </c>
      <c r="AJ215" s="143"/>
      <c r="AK215" s="143">
        <v>6.5000000000000002E-2</v>
      </c>
      <c r="AL215" s="120"/>
      <c r="AM215" s="120" t="s">
        <v>958</v>
      </c>
      <c r="AN215" s="120"/>
      <c r="AO215" s="121">
        <v>19.79</v>
      </c>
      <c r="AP215" s="120"/>
      <c r="AQ215" s="152" t="s">
        <v>319</v>
      </c>
      <c r="AR215" s="152" t="s">
        <v>319</v>
      </c>
      <c r="AS215" s="152" t="s">
        <v>319</v>
      </c>
      <c r="AT215" s="152" t="s">
        <v>319</v>
      </c>
      <c r="AU215" s="152" t="s">
        <v>319</v>
      </c>
      <c r="AV215" s="152" t="s">
        <v>319</v>
      </c>
      <c r="AW215" s="152" t="s">
        <v>319</v>
      </c>
      <c r="AX215" s="152" t="s">
        <v>319</v>
      </c>
      <c r="AY215" s="152" t="s">
        <v>319</v>
      </c>
      <c r="AZ215" s="152" t="s">
        <v>319</v>
      </c>
      <c r="BA215" s="152" t="s">
        <v>319</v>
      </c>
      <c r="BB215" s="120" t="s">
        <v>984</v>
      </c>
      <c r="BC215" s="125">
        <v>-104</v>
      </c>
      <c r="BD215" s="125">
        <v>65</v>
      </c>
      <c r="BE215" s="120" t="s">
        <v>1008</v>
      </c>
      <c r="BF215" s="120"/>
      <c r="BG215" s="123">
        <v>37.5</v>
      </c>
      <c r="BH215" s="152" t="s">
        <v>319</v>
      </c>
      <c r="BI215" s="152" t="s">
        <v>319</v>
      </c>
      <c r="BJ215" s="152" t="s">
        <v>319</v>
      </c>
      <c r="BK215" s="152" t="s">
        <v>319</v>
      </c>
      <c r="BL215" s="152" t="s">
        <v>319</v>
      </c>
      <c r="BM215" s="152" t="s">
        <v>319</v>
      </c>
      <c r="BN215" s="152" t="s">
        <v>319</v>
      </c>
      <c r="BO215" s="152" t="s">
        <v>319</v>
      </c>
      <c r="BP215" s="152" t="s">
        <v>319</v>
      </c>
      <c r="BQ215" s="152" t="s">
        <v>319</v>
      </c>
      <c r="BR215" s="121">
        <v>51.3</v>
      </c>
      <c r="BS215" s="122" t="s">
        <v>670</v>
      </c>
      <c r="BT215" s="120"/>
      <c r="BU215" s="123"/>
      <c r="BV215" s="120"/>
      <c r="BW215" s="122"/>
      <c r="BX215" s="120" t="s">
        <v>1054</v>
      </c>
      <c r="BY215" s="120"/>
      <c r="BZ215" s="153"/>
      <c r="CA215" s="152"/>
      <c r="CB215" s="152"/>
      <c r="CC215" s="152"/>
      <c r="CD215" s="152"/>
      <c r="CE215" s="152"/>
      <c r="CF215" s="152"/>
      <c r="CG215" s="152"/>
      <c r="CH215" s="152"/>
      <c r="CI215" s="152"/>
      <c r="CJ215" s="152"/>
      <c r="CK215" s="152"/>
      <c r="CL215" s="152"/>
      <c r="CM215" s="152"/>
      <c r="CN215" s="152"/>
      <c r="CO215" s="152"/>
      <c r="CP215" s="152"/>
      <c r="CQ215" s="152"/>
      <c r="CR215" s="152"/>
      <c r="CS215" s="152"/>
      <c r="CT215" s="152"/>
      <c r="CU215" s="152"/>
      <c r="CV215" s="152"/>
      <c r="CW215" s="152"/>
      <c r="CX215" s="152"/>
      <c r="CY215" s="152"/>
      <c r="CZ215" s="152"/>
      <c r="DA215" s="154"/>
      <c r="DB215" s="120"/>
      <c r="DC215" s="153"/>
      <c r="DD215" s="152"/>
      <c r="DE215" s="152"/>
      <c r="DF215" s="152"/>
      <c r="DG215" s="152"/>
      <c r="DH215" s="152"/>
      <c r="DI215" s="152"/>
      <c r="DJ215" s="152"/>
      <c r="DK215" s="152"/>
      <c r="DL215" s="152"/>
      <c r="DM215" s="152"/>
      <c r="DN215" s="152" t="s">
        <v>319</v>
      </c>
      <c r="DO215" s="152" t="s">
        <v>319</v>
      </c>
      <c r="DP215" s="152" t="s">
        <v>319</v>
      </c>
      <c r="DQ215" s="152" t="s">
        <v>319</v>
      </c>
      <c r="DR215" s="152" t="s">
        <v>319</v>
      </c>
      <c r="DS215" s="152" t="s">
        <v>319</v>
      </c>
      <c r="DT215" s="152" t="s">
        <v>319</v>
      </c>
      <c r="DU215" s="152" t="s">
        <v>319</v>
      </c>
      <c r="DV215" s="152" t="s">
        <v>319</v>
      </c>
      <c r="DW215" s="152" t="s">
        <v>319</v>
      </c>
      <c r="DX215" s="152" t="s">
        <v>319</v>
      </c>
      <c r="DY215" s="152" t="s">
        <v>319</v>
      </c>
      <c r="DZ215" s="152" t="s">
        <v>319</v>
      </c>
      <c r="EA215" s="152" t="s">
        <v>319</v>
      </c>
      <c r="EB215" s="152" t="s">
        <v>319</v>
      </c>
      <c r="EC215" s="152" t="s">
        <v>319</v>
      </c>
      <c r="ED215" s="152" t="s">
        <v>319</v>
      </c>
      <c r="EE215" s="152"/>
      <c r="EF215" s="152" t="s">
        <v>319</v>
      </c>
      <c r="EG215" s="152" t="s">
        <v>319</v>
      </c>
      <c r="EH215" s="152" t="s">
        <v>319</v>
      </c>
      <c r="EI215" s="152" t="s">
        <v>319</v>
      </c>
      <c r="EJ215" s="152"/>
      <c r="EK215" s="152"/>
      <c r="EL215" s="152"/>
      <c r="EM215" s="152"/>
      <c r="EN215" s="152"/>
      <c r="EO215" s="152"/>
      <c r="EP215" s="152"/>
      <c r="EQ215" s="152"/>
      <c r="ER215" s="152"/>
      <c r="ES215" s="152"/>
      <c r="ET215" s="152"/>
      <c r="EU215" s="152"/>
      <c r="EV215" s="152"/>
      <c r="EW215" s="152"/>
      <c r="EX215" s="152"/>
      <c r="EY215" s="152"/>
      <c r="EZ215" s="152"/>
      <c r="FA215" s="152"/>
      <c r="FB215" s="152"/>
      <c r="FC215" s="152"/>
      <c r="FD215" s="152"/>
      <c r="FE215" s="152"/>
      <c r="FF215" s="152"/>
      <c r="FG215" s="152"/>
      <c r="FH215" s="152"/>
      <c r="FI215" s="152"/>
      <c r="FJ215" s="118"/>
      <c r="FK215" s="120"/>
      <c r="FL215" s="120"/>
      <c r="FM215" s="97"/>
    </row>
    <row r="216" spans="1:169" s="3" customFormat="1" x14ac:dyDescent="0.4">
      <c r="A216" s="93"/>
      <c r="B216" s="93"/>
      <c r="C216" s="26"/>
      <c r="D216" s="27" t="s">
        <v>319</v>
      </c>
      <c r="E216" s="2" t="s">
        <v>381</v>
      </c>
      <c r="F216" s="28" t="s">
        <v>319</v>
      </c>
      <c r="G216" s="28" t="s">
        <v>319</v>
      </c>
      <c r="H216" s="28" t="s">
        <v>319</v>
      </c>
      <c r="I216" s="6" t="s">
        <v>655</v>
      </c>
      <c r="J216" s="28" t="s">
        <v>319</v>
      </c>
      <c r="K216" s="28" t="s">
        <v>319</v>
      </c>
      <c r="L216" s="28" t="s">
        <v>319</v>
      </c>
      <c r="M216" s="28" t="s">
        <v>319</v>
      </c>
      <c r="N216" s="28" t="s">
        <v>319</v>
      </c>
      <c r="O216" s="28" t="s">
        <v>319</v>
      </c>
      <c r="P216" s="28" t="s">
        <v>319</v>
      </c>
      <c r="Q216" s="5" t="s">
        <v>754</v>
      </c>
      <c r="R216" s="5" t="s">
        <v>667</v>
      </c>
      <c r="S216" s="6" t="s">
        <v>672</v>
      </c>
      <c r="T216" s="5"/>
      <c r="U216" s="5">
        <v>580899</v>
      </c>
      <c r="V216" s="5"/>
      <c r="W216" s="6" t="s">
        <v>665</v>
      </c>
      <c r="X216" s="5"/>
      <c r="Y216" s="5">
        <v>11.29</v>
      </c>
      <c r="Z216" s="5"/>
      <c r="AA216" s="6" t="s">
        <v>963</v>
      </c>
      <c r="AB216" s="5"/>
      <c r="AC216" s="238">
        <v>7.35</v>
      </c>
      <c r="AD216" s="5"/>
      <c r="AE216" s="6" t="s">
        <v>956</v>
      </c>
      <c r="AF216" s="6"/>
      <c r="AG216" s="12">
        <v>9.6999999999999993</v>
      </c>
      <c r="AH216" s="6"/>
      <c r="AI216" s="6" t="s">
        <v>965</v>
      </c>
      <c r="AJ216" s="108"/>
      <c r="AK216" s="5">
        <v>0.01</v>
      </c>
      <c r="AL216" s="6"/>
      <c r="AM216" s="6" t="s">
        <v>958</v>
      </c>
      <c r="AN216" s="6"/>
      <c r="AO216" s="5"/>
      <c r="AP216" s="6"/>
      <c r="AQ216" s="28" t="s">
        <v>319</v>
      </c>
      <c r="AR216" s="28" t="s">
        <v>319</v>
      </c>
      <c r="AS216" s="28" t="s">
        <v>319</v>
      </c>
      <c r="AT216" s="28" t="s">
        <v>319</v>
      </c>
      <c r="AU216" s="28" t="s">
        <v>319</v>
      </c>
      <c r="AV216" s="28" t="s">
        <v>319</v>
      </c>
      <c r="AW216" s="28" t="s">
        <v>319</v>
      </c>
      <c r="AX216" s="28" t="s">
        <v>319</v>
      </c>
      <c r="AY216" s="28" t="s">
        <v>319</v>
      </c>
      <c r="AZ216" s="28" t="s">
        <v>319</v>
      </c>
      <c r="BA216" s="28" t="s">
        <v>319</v>
      </c>
      <c r="BB216" s="6" t="s">
        <v>984</v>
      </c>
      <c r="BC216" s="243">
        <v>-104</v>
      </c>
      <c r="BD216" s="106">
        <v>65</v>
      </c>
      <c r="BE216" s="6" t="s">
        <v>1010</v>
      </c>
      <c r="BF216" s="6"/>
      <c r="BG216" s="12">
        <v>28</v>
      </c>
      <c r="BH216" s="28" t="s">
        <v>319</v>
      </c>
      <c r="BI216" s="28" t="s">
        <v>319</v>
      </c>
      <c r="BJ216" s="28" t="s">
        <v>319</v>
      </c>
      <c r="BK216" s="28" t="s">
        <v>319</v>
      </c>
      <c r="BL216" s="28" t="s">
        <v>319</v>
      </c>
      <c r="BM216" s="28" t="s">
        <v>319</v>
      </c>
      <c r="BN216" s="28" t="s">
        <v>319</v>
      </c>
      <c r="BO216" s="28" t="s">
        <v>319</v>
      </c>
      <c r="BP216" s="28" t="s">
        <v>319</v>
      </c>
      <c r="BQ216" s="28" t="s">
        <v>319</v>
      </c>
      <c r="BR216" s="5"/>
      <c r="BS216" s="5"/>
      <c r="BT216" s="6"/>
      <c r="BU216" s="5">
        <v>28.1</v>
      </c>
      <c r="BV216" s="200" t="s">
        <v>1041</v>
      </c>
      <c r="BW216" s="5">
        <v>1.37</v>
      </c>
      <c r="BX216" s="6"/>
      <c r="BY216" s="6"/>
      <c r="BZ216" s="30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9"/>
      <c r="DB216" s="6"/>
      <c r="DC216" s="30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 t="s">
        <v>319</v>
      </c>
      <c r="DO216" s="28" t="s">
        <v>319</v>
      </c>
      <c r="DP216" s="28" t="s">
        <v>319</v>
      </c>
      <c r="DQ216" s="28" t="s">
        <v>319</v>
      </c>
      <c r="DR216" s="28" t="s">
        <v>319</v>
      </c>
      <c r="DS216" s="28" t="s">
        <v>319</v>
      </c>
      <c r="DT216" s="28" t="s">
        <v>319</v>
      </c>
      <c r="DU216" s="28" t="s">
        <v>319</v>
      </c>
      <c r="DV216" s="28" t="s">
        <v>319</v>
      </c>
      <c r="DW216" s="28" t="s">
        <v>319</v>
      </c>
      <c r="DX216" s="28" t="s">
        <v>319</v>
      </c>
      <c r="DY216" s="28" t="s">
        <v>319</v>
      </c>
      <c r="DZ216" s="28" t="s">
        <v>319</v>
      </c>
      <c r="EA216" s="28" t="s">
        <v>319</v>
      </c>
      <c r="EB216" s="28" t="s">
        <v>319</v>
      </c>
      <c r="EC216" s="28" t="s">
        <v>319</v>
      </c>
      <c r="ED216" s="28" t="s">
        <v>319</v>
      </c>
      <c r="EE216" s="28"/>
      <c r="EF216" s="28" t="s">
        <v>319</v>
      </c>
      <c r="EG216" s="28" t="s">
        <v>319</v>
      </c>
      <c r="EH216" s="28" t="s">
        <v>319</v>
      </c>
      <c r="EI216" s="28" t="s">
        <v>319</v>
      </c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7"/>
      <c r="FK216" s="6"/>
      <c r="FL216" s="6"/>
      <c r="FM216" s="94"/>
    </row>
    <row r="217" spans="1:169" s="3" customFormat="1" x14ac:dyDescent="0.4">
      <c r="A217" s="93"/>
      <c r="B217" s="93"/>
      <c r="C217" s="26"/>
      <c r="D217" s="27" t="s">
        <v>319</v>
      </c>
      <c r="E217" s="2" t="s">
        <v>381</v>
      </c>
      <c r="F217" s="28" t="s">
        <v>319</v>
      </c>
      <c r="G217" s="28" t="s">
        <v>319</v>
      </c>
      <c r="H217" s="28" t="s">
        <v>319</v>
      </c>
      <c r="I217" s="6" t="s">
        <v>655</v>
      </c>
      <c r="J217" s="28" t="s">
        <v>319</v>
      </c>
      <c r="K217" s="28" t="s">
        <v>319</v>
      </c>
      <c r="L217" s="28" t="s">
        <v>319</v>
      </c>
      <c r="M217" s="28" t="s">
        <v>319</v>
      </c>
      <c r="N217" s="28" t="s">
        <v>319</v>
      </c>
      <c r="O217" s="28" t="s">
        <v>319</v>
      </c>
      <c r="P217" s="28" t="s">
        <v>319</v>
      </c>
      <c r="Q217" s="5" t="s">
        <v>754</v>
      </c>
      <c r="R217" s="5" t="s">
        <v>667</v>
      </c>
      <c r="S217" s="6" t="s">
        <v>664</v>
      </c>
      <c r="T217" s="5"/>
      <c r="U217" s="5">
        <v>172512</v>
      </c>
      <c r="V217" s="5"/>
      <c r="W217" s="6" t="s">
        <v>665</v>
      </c>
      <c r="X217" s="5"/>
      <c r="Y217" s="5">
        <v>15.57</v>
      </c>
      <c r="Z217" s="5"/>
      <c r="AA217" s="6" t="s">
        <v>955</v>
      </c>
      <c r="AB217" s="5"/>
      <c r="AC217" s="238">
        <v>12.452999999999999</v>
      </c>
      <c r="AD217" s="5"/>
      <c r="AE217" s="6" t="s">
        <v>956</v>
      </c>
      <c r="AF217" s="6"/>
      <c r="AG217" s="12">
        <v>20.399999999999999</v>
      </c>
      <c r="AH217" s="6"/>
      <c r="AI217" s="6" t="s">
        <v>957</v>
      </c>
      <c r="AJ217" s="108"/>
      <c r="AK217" s="5">
        <v>0.01</v>
      </c>
      <c r="AL217" s="6"/>
      <c r="AM217" s="6" t="s">
        <v>958</v>
      </c>
      <c r="AN217" s="6"/>
      <c r="AO217" s="5"/>
      <c r="AP217" s="6"/>
      <c r="AQ217" s="28" t="s">
        <v>319</v>
      </c>
      <c r="AR217" s="28" t="s">
        <v>319</v>
      </c>
      <c r="AS217" s="28" t="s">
        <v>319</v>
      </c>
      <c r="AT217" s="28" t="s">
        <v>319</v>
      </c>
      <c r="AU217" s="28" t="s">
        <v>319</v>
      </c>
      <c r="AV217" s="28" t="s">
        <v>319</v>
      </c>
      <c r="AW217" s="28" t="s">
        <v>319</v>
      </c>
      <c r="AX217" s="28" t="s">
        <v>319</v>
      </c>
      <c r="AY217" s="28" t="s">
        <v>319</v>
      </c>
      <c r="AZ217" s="28" t="s">
        <v>319</v>
      </c>
      <c r="BA217" s="28" t="s">
        <v>319</v>
      </c>
      <c r="BB217" s="6" t="s">
        <v>984</v>
      </c>
      <c r="BC217" s="243">
        <v>-104</v>
      </c>
      <c r="BD217" s="106">
        <v>65</v>
      </c>
      <c r="BE217" s="6" t="s">
        <v>1008</v>
      </c>
      <c r="BF217" s="6"/>
      <c r="BG217" s="12">
        <v>28</v>
      </c>
      <c r="BH217" s="28" t="s">
        <v>319</v>
      </c>
      <c r="BI217" s="28" t="s">
        <v>319</v>
      </c>
      <c r="BJ217" s="28" t="s">
        <v>319</v>
      </c>
      <c r="BK217" s="28" t="s">
        <v>319</v>
      </c>
      <c r="BL217" s="28" t="s">
        <v>319</v>
      </c>
      <c r="BM217" s="28" t="s">
        <v>319</v>
      </c>
      <c r="BN217" s="28" t="s">
        <v>319</v>
      </c>
      <c r="BO217" s="28" t="s">
        <v>319</v>
      </c>
      <c r="BP217" s="28" t="s">
        <v>319</v>
      </c>
      <c r="BQ217" s="28" t="s">
        <v>319</v>
      </c>
      <c r="BR217" s="5"/>
      <c r="BS217" s="5"/>
      <c r="BT217" s="6"/>
      <c r="BU217" s="5">
        <v>28.1</v>
      </c>
      <c r="BV217" s="6" t="s">
        <v>1358</v>
      </c>
      <c r="BW217" s="5">
        <v>1.37</v>
      </c>
      <c r="BX217" s="6"/>
      <c r="BY217" s="6"/>
      <c r="BZ217" s="30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9"/>
      <c r="DB217" s="6"/>
      <c r="DC217" s="30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 t="s">
        <v>319</v>
      </c>
      <c r="DO217" s="28" t="s">
        <v>319</v>
      </c>
      <c r="DP217" s="28" t="s">
        <v>319</v>
      </c>
      <c r="DQ217" s="28" t="s">
        <v>319</v>
      </c>
      <c r="DR217" s="28" t="s">
        <v>319</v>
      </c>
      <c r="DS217" s="28" t="s">
        <v>319</v>
      </c>
      <c r="DT217" s="28" t="s">
        <v>319</v>
      </c>
      <c r="DU217" s="28" t="s">
        <v>319</v>
      </c>
      <c r="DV217" s="28" t="s">
        <v>319</v>
      </c>
      <c r="DW217" s="28" t="s">
        <v>319</v>
      </c>
      <c r="DX217" s="28" t="s">
        <v>319</v>
      </c>
      <c r="DY217" s="28" t="s">
        <v>319</v>
      </c>
      <c r="DZ217" s="28" t="s">
        <v>319</v>
      </c>
      <c r="EA217" s="28" t="s">
        <v>319</v>
      </c>
      <c r="EB217" s="28" t="s">
        <v>319</v>
      </c>
      <c r="EC217" s="28" t="s">
        <v>319</v>
      </c>
      <c r="ED217" s="28" t="s">
        <v>319</v>
      </c>
      <c r="EE217" s="28"/>
      <c r="EF217" s="28" t="s">
        <v>319</v>
      </c>
      <c r="EG217" s="28" t="s">
        <v>319</v>
      </c>
      <c r="EH217" s="28" t="s">
        <v>319</v>
      </c>
      <c r="EI217" s="28" t="s">
        <v>319</v>
      </c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7"/>
      <c r="FK217" s="6"/>
      <c r="FL217" s="6"/>
      <c r="FM217" s="94"/>
    </row>
    <row r="218" spans="1:169" s="3" customFormat="1" x14ac:dyDescent="0.4">
      <c r="A218" s="93"/>
      <c r="B218" s="93"/>
      <c r="C218" s="26"/>
      <c r="D218" s="27" t="s">
        <v>319</v>
      </c>
      <c r="E218" s="2" t="s">
        <v>381</v>
      </c>
      <c r="F218" s="28" t="s">
        <v>319</v>
      </c>
      <c r="G218" s="28" t="s">
        <v>319</v>
      </c>
      <c r="H218" s="28" t="s">
        <v>319</v>
      </c>
      <c r="I218" s="6" t="s">
        <v>655</v>
      </c>
      <c r="J218" s="28" t="s">
        <v>319</v>
      </c>
      <c r="K218" s="28" t="s">
        <v>319</v>
      </c>
      <c r="L218" s="28" t="s">
        <v>319</v>
      </c>
      <c r="M218" s="28" t="s">
        <v>319</v>
      </c>
      <c r="N218" s="28" t="s">
        <v>319</v>
      </c>
      <c r="O218" s="28" t="s">
        <v>319</v>
      </c>
      <c r="P218" s="28" t="s">
        <v>319</v>
      </c>
      <c r="Q218" s="5" t="s">
        <v>754</v>
      </c>
      <c r="R218" s="5" t="s">
        <v>667</v>
      </c>
      <c r="S218" s="6" t="s">
        <v>664</v>
      </c>
      <c r="T218" s="5"/>
      <c r="U218" s="5">
        <v>755169</v>
      </c>
      <c r="V218" s="5"/>
      <c r="W218" s="6" t="s">
        <v>665</v>
      </c>
      <c r="X218" s="5"/>
      <c r="Y218" s="5">
        <v>9.1199999999999992</v>
      </c>
      <c r="Z218" s="5"/>
      <c r="AA218" s="6" t="s">
        <v>955</v>
      </c>
      <c r="AB218" s="5"/>
      <c r="AC218" s="238">
        <v>4.8869999999999996</v>
      </c>
      <c r="AD218" s="5"/>
      <c r="AE218" s="6" t="s">
        <v>956</v>
      </c>
      <c r="AF218" s="6"/>
      <c r="AG218" s="12">
        <v>9.6999999999999993</v>
      </c>
      <c r="AH218" s="6"/>
      <c r="AI218" s="6" t="s">
        <v>957</v>
      </c>
      <c r="AJ218" s="108"/>
      <c r="AK218" s="5">
        <v>0.01</v>
      </c>
      <c r="AL218" s="6"/>
      <c r="AM218" s="6" t="s">
        <v>958</v>
      </c>
      <c r="AN218" s="6"/>
      <c r="AO218" s="5"/>
      <c r="AP218" s="6"/>
      <c r="AQ218" s="28" t="s">
        <v>319</v>
      </c>
      <c r="AR218" s="28" t="s">
        <v>319</v>
      </c>
      <c r="AS218" s="28" t="s">
        <v>319</v>
      </c>
      <c r="AT218" s="28" t="s">
        <v>319</v>
      </c>
      <c r="AU218" s="28" t="s">
        <v>319</v>
      </c>
      <c r="AV218" s="28" t="s">
        <v>319</v>
      </c>
      <c r="AW218" s="28" t="s">
        <v>319</v>
      </c>
      <c r="AX218" s="28" t="s">
        <v>319</v>
      </c>
      <c r="AY218" s="28" t="s">
        <v>319</v>
      </c>
      <c r="AZ218" s="28" t="s">
        <v>319</v>
      </c>
      <c r="BA218" s="28" t="s">
        <v>319</v>
      </c>
      <c r="BB218" s="6" t="s">
        <v>984</v>
      </c>
      <c r="BC218" s="243">
        <v>-104</v>
      </c>
      <c r="BD218" s="106">
        <v>65</v>
      </c>
      <c r="BE218" s="6" t="s">
        <v>1008</v>
      </c>
      <c r="BF218" s="6"/>
      <c r="BG218" s="12">
        <v>28</v>
      </c>
      <c r="BH218" s="28" t="s">
        <v>319</v>
      </c>
      <c r="BI218" s="28" t="s">
        <v>319</v>
      </c>
      <c r="BJ218" s="28" t="s">
        <v>319</v>
      </c>
      <c r="BK218" s="28" t="s">
        <v>319</v>
      </c>
      <c r="BL218" s="28" t="s">
        <v>319</v>
      </c>
      <c r="BM218" s="28" t="s">
        <v>319</v>
      </c>
      <c r="BN218" s="28" t="s">
        <v>319</v>
      </c>
      <c r="BO218" s="28" t="s">
        <v>319</v>
      </c>
      <c r="BP218" s="28" t="s">
        <v>319</v>
      </c>
      <c r="BQ218" s="28" t="s">
        <v>319</v>
      </c>
      <c r="BR218" s="5"/>
      <c r="BS218" s="5"/>
      <c r="BT218" s="6"/>
      <c r="BU218" s="5">
        <v>28.1</v>
      </c>
      <c r="BV218" s="200" t="s">
        <v>1041</v>
      </c>
      <c r="BW218" s="5">
        <v>1.39</v>
      </c>
      <c r="BX218" s="6"/>
      <c r="BY218" s="6"/>
      <c r="BZ218" s="30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9"/>
      <c r="DB218" s="6"/>
      <c r="DC218" s="30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 t="s">
        <v>319</v>
      </c>
      <c r="DO218" s="28" t="s">
        <v>319</v>
      </c>
      <c r="DP218" s="28" t="s">
        <v>319</v>
      </c>
      <c r="DQ218" s="28" t="s">
        <v>319</v>
      </c>
      <c r="DR218" s="28" t="s">
        <v>319</v>
      </c>
      <c r="DS218" s="28" t="s">
        <v>319</v>
      </c>
      <c r="DT218" s="28" t="s">
        <v>319</v>
      </c>
      <c r="DU218" s="28" t="s">
        <v>319</v>
      </c>
      <c r="DV218" s="28" t="s">
        <v>319</v>
      </c>
      <c r="DW218" s="28" t="s">
        <v>319</v>
      </c>
      <c r="DX218" s="28" t="s">
        <v>319</v>
      </c>
      <c r="DY218" s="28" t="s">
        <v>319</v>
      </c>
      <c r="DZ218" s="28" t="s">
        <v>319</v>
      </c>
      <c r="EA218" s="28" t="s">
        <v>319</v>
      </c>
      <c r="EB218" s="28" t="s">
        <v>319</v>
      </c>
      <c r="EC218" s="28" t="s">
        <v>319</v>
      </c>
      <c r="ED218" s="28" t="s">
        <v>319</v>
      </c>
      <c r="EE218" s="28"/>
      <c r="EF218" s="28" t="s">
        <v>319</v>
      </c>
      <c r="EG218" s="28" t="s">
        <v>319</v>
      </c>
      <c r="EH218" s="28" t="s">
        <v>319</v>
      </c>
      <c r="EI218" s="28" t="s">
        <v>319</v>
      </c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7"/>
      <c r="FK218" s="6"/>
      <c r="FL218" s="6"/>
      <c r="FM218" s="94"/>
    </row>
    <row r="219" spans="1:169" s="3" customFormat="1" x14ac:dyDescent="0.4">
      <c r="A219" s="93"/>
      <c r="B219" s="93"/>
      <c r="C219" s="26"/>
      <c r="D219" s="27" t="s">
        <v>319</v>
      </c>
      <c r="E219" s="2" t="s">
        <v>381</v>
      </c>
      <c r="F219" s="28" t="s">
        <v>319</v>
      </c>
      <c r="G219" s="28" t="s">
        <v>319</v>
      </c>
      <c r="H219" s="28" t="s">
        <v>319</v>
      </c>
      <c r="I219" s="6" t="s">
        <v>655</v>
      </c>
      <c r="J219" s="28" t="s">
        <v>319</v>
      </c>
      <c r="K219" s="28" t="s">
        <v>319</v>
      </c>
      <c r="L219" s="28" t="s">
        <v>319</v>
      </c>
      <c r="M219" s="28" t="s">
        <v>319</v>
      </c>
      <c r="N219" s="28" t="s">
        <v>319</v>
      </c>
      <c r="O219" s="28" t="s">
        <v>319</v>
      </c>
      <c r="P219" s="28" t="s">
        <v>319</v>
      </c>
      <c r="Q219" s="5" t="s">
        <v>754</v>
      </c>
      <c r="R219" s="5" t="s">
        <v>667</v>
      </c>
      <c r="S219" s="6" t="s">
        <v>664</v>
      </c>
      <c r="T219" s="5"/>
      <c r="U219" s="5">
        <v>224266</v>
      </c>
      <c r="V219" s="5"/>
      <c r="W219" s="6" t="s">
        <v>665</v>
      </c>
      <c r="X219" s="5"/>
      <c r="Y219" s="5">
        <v>15.38</v>
      </c>
      <c r="Z219" s="5"/>
      <c r="AA219" s="6" t="s">
        <v>955</v>
      </c>
      <c r="AB219" s="5"/>
      <c r="AC219" s="238">
        <v>12.196999999999999</v>
      </c>
      <c r="AD219" s="5"/>
      <c r="AE219" s="6" t="s">
        <v>956</v>
      </c>
      <c r="AF219" s="6"/>
      <c r="AG219" s="12">
        <v>20.399999999999999</v>
      </c>
      <c r="AH219" s="6"/>
      <c r="AI219" s="6" t="s">
        <v>957</v>
      </c>
      <c r="AJ219" s="108"/>
      <c r="AK219" s="5">
        <v>0.01</v>
      </c>
      <c r="AL219" s="6"/>
      <c r="AM219" s="6" t="s">
        <v>958</v>
      </c>
      <c r="AN219" s="6"/>
      <c r="AO219" s="5"/>
      <c r="AP219" s="6"/>
      <c r="AQ219" s="28" t="s">
        <v>319</v>
      </c>
      <c r="AR219" s="28" t="s">
        <v>319</v>
      </c>
      <c r="AS219" s="28" t="s">
        <v>319</v>
      </c>
      <c r="AT219" s="28" t="s">
        <v>319</v>
      </c>
      <c r="AU219" s="28" t="s">
        <v>319</v>
      </c>
      <c r="AV219" s="28" t="s">
        <v>319</v>
      </c>
      <c r="AW219" s="28" t="s">
        <v>319</v>
      </c>
      <c r="AX219" s="28" t="s">
        <v>319</v>
      </c>
      <c r="AY219" s="28" t="s">
        <v>319</v>
      </c>
      <c r="AZ219" s="28" t="s">
        <v>319</v>
      </c>
      <c r="BA219" s="28" t="s">
        <v>319</v>
      </c>
      <c r="BB219" s="6" t="s">
        <v>984</v>
      </c>
      <c r="BC219" s="243">
        <v>-104</v>
      </c>
      <c r="BD219" s="106">
        <v>65</v>
      </c>
      <c r="BE219" s="6" t="s">
        <v>1008</v>
      </c>
      <c r="BF219" s="6"/>
      <c r="BG219" s="12">
        <v>28</v>
      </c>
      <c r="BH219" s="28" t="s">
        <v>319</v>
      </c>
      <c r="BI219" s="28" t="s">
        <v>319</v>
      </c>
      <c r="BJ219" s="28" t="s">
        <v>319</v>
      </c>
      <c r="BK219" s="28" t="s">
        <v>319</v>
      </c>
      <c r="BL219" s="28" t="s">
        <v>319</v>
      </c>
      <c r="BM219" s="28" t="s">
        <v>319</v>
      </c>
      <c r="BN219" s="28" t="s">
        <v>319</v>
      </c>
      <c r="BO219" s="28" t="s">
        <v>319</v>
      </c>
      <c r="BP219" s="28" t="s">
        <v>319</v>
      </c>
      <c r="BQ219" s="28" t="s">
        <v>319</v>
      </c>
      <c r="BR219" s="5"/>
      <c r="BS219" s="5"/>
      <c r="BT219" s="6"/>
      <c r="BU219" s="5">
        <v>28.1</v>
      </c>
      <c r="BV219" s="6" t="s">
        <v>1358</v>
      </c>
      <c r="BW219" s="5">
        <v>1.37</v>
      </c>
      <c r="BX219" s="6"/>
      <c r="BY219" s="6"/>
      <c r="BZ219" s="30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9"/>
      <c r="DB219" s="6"/>
      <c r="DC219" s="30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 t="s">
        <v>319</v>
      </c>
      <c r="DO219" s="28" t="s">
        <v>319</v>
      </c>
      <c r="DP219" s="28" t="s">
        <v>319</v>
      </c>
      <c r="DQ219" s="28" t="s">
        <v>319</v>
      </c>
      <c r="DR219" s="28" t="s">
        <v>319</v>
      </c>
      <c r="DS219" s="28" t="s">
        <v>319</v>
      </c>
      <c r="DT219" s="28" t="s">
        <v>319</v>
      </c>
      <c r="DU219" s="28" t="s">
        <v>319</v>
      </c>
      <c r="DV219" s="28" t="s">
        <v>319</v>
      </c>
      <c r="DW219" s="28" t="s">
        <v>319</v>
      </c>
      <c r="DX219" s="28" t="s">
        <v>319</v>
      </c>
      <c r="DY219" s="28" t="s">
        <v>319</v>
      </c>
      <c r="DZ219" s="28" t="s">
        <v>319</v>
      </c>
      <c r="EA219" s="28" t="s">
        <v>319</v>
      </c>
      <c r="EB219" s="28" t="s">
        <v>319</v>
      </c>
      <c r="EC219" s="28" t="s">
        <v>319</v>
      </c>
      <c r="ED219" s="28" t="s">
        <v>319</v>
      </c>
      <c r="EE219" s="28"/>
      <c r="EF219" s="28" t="s">
        <v>319</v>
      </c>
      <c r="EG219" s="28" t="s">
        <v>319</v>
      </c>
      <c r="EH219" s="28" t="s">
        <v>319</v>
      </c>
      <c r="EI219" s="28" t="s">
        <v>319</v>
      </c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7"/>
      <c r="FK219" s="6"/>
      <c r="FL219" s="6"/>
      <c r="FM219" s="94"/>
    </row>
    <row r="220" spans="1:169" s="22" customFormat="1" x14ac:dyDescent="0.4">
      <c r="A220" s="93"/>
      <c r="B220" s="93"/>
      <c r="C220" s="26"/>
      <c r="D220" s="27"/>
      <c r="E220" s="2" t="s">
        <v>1104</v>
      </c>
      <c r="F220" s="28"/>
      <c r="G220" s="28"/>
      <c r="H220" s="28"/>
      <c r="I220" s="6" t="s">
        <v>655</v>
      </c>
      <c r="J220" s="28"/>
      <c r="K220" s="28"/>
      <c r="L220" s="28"/>
      <c r="M220" s="28"/>
      <c r="N220" s="28"/>
      <c r="O220" s="28"/>
      <c r="P220" s="28"/>
      <c r="Q220" s="5" t="s">
        <v>754</v>
      </c>
      <c r="R220" s="5" t="s">
        <v>667</v>
      </c>
      <c r="S220" s="6" t="s">
        <v>664</v>
      </c>
      <c r="T220" s="5"/>
      <c r="U220" s="5">
        <f>367720*0.1</f>
        <v>36772</v>
      </c>
      <c r="V220" s="5"/>
      <c r="W220" s="6" t="s">
        <v>665</v>
      </c>
      <c r="X220" s="5"/>
      <c r="Y220" s="111">
        <f>20.2+0.5</f>
        <v>20.7</v>
      </c>
      <c r="Z220" s="105"/>
      <c r="AA220" s="6" t="s">
        <v>955</v>
      </c>
      <c r="AB220" s="105"/>
      <c r="AC220" s="111">
        <v>20.399999999999999</v>
      </c>
      <c r="AD220" s="105"/>
      <c r="AE220" s="6" t="s">
        <v>956</v>
      </c>
      <c r="AF220" s="6"/>
      <c r="AG220" s="12">
        <v>33.5</v>
      </c>
      <c r="AH220" s="6"/>
      <c r="AI220" s="6" t="s">
        <v>957</v>
      </c>
      <c r="AJ220" s="6"/>
      <c r="AK220" s="5">
        <v>1.11E-2</v>
      </c>
      <c r="AL220" s="6"/>
      <c r="AM220" s="6" t="s">
        <v>1069</v>
      </c>
      <c r="AN220" s="6"/>
      <c r="AO220" s="105"/>
      <c r="AP220" s="6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6" t="s">
        <v>984</v>
      </c>
      <c r="BC220" s="106">
        <v>-104</v>
      </c>
      <c r="BD220" s="106">
        <v>65</v>
      </c>
      <c r="BE220" s="6" t="s">
        <v>1070</v>
      </c>
      <c r="BF220" s="6"/>
      <c r="BG220" s="12">
        <v>28</v>
      </c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5"/>
      <c r="BS220" s="5"/>
      <c r="BT220" s="6"/>
      <c r="BU220" s="13">
        <v>28.05</v>
      </c>
      <c r="BV220" s="6" t="s">
        <v>1068</v>
      </c>
      <c r="BW220" s="111">
        <v>1.3759999999999999</v>
      </c>
      <c r="BX220" s="6"/>
      <c r="BY220" s="6"/>
      <c r="BZ220" s="30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9"/>
      <c r="DB220" s="6"/>
      <c r="DC220" s="30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7"/>
      <c r="FK220" s="6"/>
      <c r="FL220" s="6"/>
      <c r="FM220" s="94"/>
    </row>
    <row r="221" spans="1:169" s="3" customFormat="1" x14ac:dyDescent="0.4">
      <c r="A221" s="93"/>
      <c r="B221" s="93"/>
      <c r="C221" s="26"/>
      <c r="D221" s="27" t="s">
        <v>319</v>
      </c>
      <c r="E221" s="2" t="s">
        <v>471</v>
      </c>
      <c r="F221" s="28" t="s">
        <v>319</v>
      </c>
      <c r="G221" s="28" t="s">
        <v>319</v>
      </c>
      <c r="H221" s="28" t="s">
        <v>319</v>
      </c>
      <c r="I221" s="6" t="s">
        <v>656</v>
      </c>
      <c r="J221" s="28" t="s">
        <v>319</v>
      </c>
      <c r="K221" s="28" t="s">
        <v>319</v>
      </c>
      <c r="L221" s="28" t="s">
        <v>319</v>
      </c>
      <c r="M221" s="28" t="s">
        <v>319</v>
      </c>
      <c r="N221" s="28" t="s">
        <v>319</v>
      </c>
      <c r="O221" s="28" t="s">
        <v>319</v>
      </c>
      <c r="P221" s="28" t="s">
        <v>319</v>
      </c>
      <c r="Q221" s="5" t="s">
        <v>721</v>
      </c>
      <c r="R221" s="5" t="s">
        <v>663</v>
      </c>
      <c r="S221" s="6" t="s">
        <v>678</v>
      </c>
      <c r="T221" s="5" t="s">
        <v>875</v>
      </c>
      <c r="U221" s="5" t="s">
        <v>876</v>
      </c>
      <c r="V221" s="106">
        <v>64019</v>
      </c>
      <c r="W221" s="6" t="s">
        <v>665</v>
      </c>
      <c r="X221" s="105">
        <v>15.79</v>
      </c>
      <c r="Y221" s="105">
        <v>15.7</v>
      </c>
      <c r="Z221" s="105">
        <v>15.65</v>
      </c>
      <c r="AA221" s="6" t="s">
        <v>963</v>
      </c>
      <c r="AB221" s="6">
        <v>9.879999999999999</v>
      </c>
      <c r="AC221" s="102">
        <v>9.64</v>
      </c>
      <c r="AD221" s="6">
        <v>9.48</v>
      </c>
      <c r="AE221" s="6" t="s">
        <v>956</v>
      </c>
      <c r="AF221" s="6"/>
      <c r="AG221" s="12">
        <v>21.6</v>
      </c>
      <c r="AH221" s="6"/>
      <c r="AI221" s="6" t="s">
        <v>965</v>
      </c>
      <c r="AJ221" s="108"/>
      <c r="AK221" s="108">
        <v>8.6999999999999994E-2</v>
      </c>
      <c r="AL221" s="6"/>
      <c r="AM221" s="6" t="s">
        <v>958</v>
      </c>
      <c r="AN221" s="6"/>
      <c r="AO221" s="105">
        <v>10.81</v>
      </c>
      <c r="AP221" s="6"/>
      <c r="AQ221" s="28" t="s">
        <v>319</v>
      </c>
      <c r="AR221" s="28" t="s">
        <v>319</v>
      </c>
      <c r="AS221" s="28" t="s">
        <v>319</v>
      </c>
      <c r="AT221" s="28" t="s">
        <v>319</v>
      </c>
      <c r="AU221" s="28" t="s">
        <v>319</v>
      </c>
      <c r="AV221" s="28" t="s">
        <v>319</v>
      </c>
      <c r="AW221" s="28" t="s">
        <v>319</v>
      </c>
      <c r="AX221" s="28" t="s">
        <v>319</v>
      </c>
      <c r="AY221" s="28" t="s">
        <v>319</v>
      </c>
      <c r="AZ221" s="28" t="s">
        <v>319</v>
      </c>
      <c r="BA221" s="28" t="s">
        <v>319</v>
      </c>
      <c r="BB221" s="6" t="s">
        <v>984</v>
      </c>
      <c r="BC221" s="106">
        <v>-47</v>
      </c>
      <c r="BD221" s="106">
        <v>100</v>
      </c>
      <c r="BE221" s="6" t="s">
        <v>1008</v>
      </c>
      <c r="BF221" s="6"/>
      <c r="BG221" s="12">
        <v>28.5</v>
      </c>
      <c r="BH221" s="28" t="s">
        <v>319</v>
      </c>
      <c r="BI221" s="28" t="s">
        <v>319</v>
      </c>
      <c r="BJ221" s="28" t="s">
        <v>319</v>
      </c>
      <c r="BK221" s="28" t="s">
        <v>319</v>
      </c>
      <c r="BL221" s="28" t="s">
        <v>319</v>
      </c>
      <c r="BM221" s="28" t="s">
        <v>319</v>
      </c>
      <c r="BN221" s="28" t="s">
        <v>319</v>
      </c>
      <c r="BO221" s="28" t="s">
        <v>319</v>
      </c>
      <c r="BP221" s="28" t="s">
        <v>319</v>
      </c>
      <c r="BQ221" s="28" t="s">
        <v>319</v>
      </c>
      <c r="BR221" s="12">
        <v>47.1</v>
      </c>
      <c r="BS221" s="12">
        <v>512.1</v>
      </c>
      <c r="BT221" s="6"/>
      <c r="BU221" s="5"/>
      <c r="BV221" s="6"/>
      <c r="BW221" s="111"/>
      <c r="BX221" s="6" t="s">
        <v>1054</v>
      </c>
      <c r="BY221" s="6"/>
      <c r="BZ221" s="30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9"/>
      <c r="DB221" s="6"/>
      <c r="DC221" s="30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 t="s">
        <v>319</v>
      </c>
      <c r="DO221" s="28" t="s">
        <v>319</v>
      </c>
      <c r="DP221" s="28" t="s">
        <v>319</v>
      </c>
      <c r="DQ221" s="28" t="s">
        <v>319</v>
      </c>
      <c r="DR221" s="28" t="s">
        <v>319</v>
      </c>
      <c r="DS221" s="28" t="s">
        <v>319</v>
      </c>
      <c r="DT221" s="28" t="s">
        <v>319</v>
      </c>
      <c r="DU221" s="28" t="s">
        <v>319</v>
      </c>
      <c r="DV221" s="28" t="s">
        <v>319</v>
      </c>
      <c r="DW221" s="28" t="s">
        <v>319</v>
      </c>
      <c r="DX221" s="28" t="s">
        <v>319</v>
      </c>
      <c r="DY221" s="28" t="s">
        <v>319</v>
      </c>
      <c r="DZ221" s="28" t="s">
        <v>319</v>
      </c>
      <c r="EA221" s="28" t="s">
        <v>319</v>
      </c>
      <c r="EB221" s="28" t="s">
        <v>319</v>
      </c>
      <c r="EC221" s="28" t="s">
        <v>319</v>
      </c>
      <c r="ED221" s="28" t="s">
        <v>319</v>
      </c>
      <c r="EE221" s="28"/>
      <c r="EF221" s="28" t="s">
        <v>319</v>
      </c>
      <c r="EG221" s="28" t="s">
        <v>319</v>
      </c>
      <c r="EH221" s="28" t="s">
        <v>319</v>
      </c>
      <c r="EI221" s="28" t="s">
        <v>319</v>
      </c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7"/>
      <c r="FK221" s="6"/>
      <c r="FL221" s="6"/>
      <c r="FM221" s="97"/>
    </row>
    <row r="222" spans="1:169" s="3" customFormat="1" x14ac:dyDescent="0.4">
      <c r="A222" s="93"/>
      <c r="B222" s="93"/>
      <c r="C222" s="26"/>
      <c r="D222" s="27" t="s">
        <v>319</v>
      </c>
      <c r="E222" s="2" t="s">
        <v>546</v>
      </c>
      <c r="F222" s="28" t="s">
        <v>319</v>
      </c>
      <c r="G222" s="28" t="s">
        <v>319</v>
      </c>
      <c r="H222" s="28" t="s">
        <v>319</v>
      </c>
      <c r="I222" s="6" t="s">
        <v>657</v>
      </c>
      <c r="J222" s="28" t="s">
        <v>319</v>
      </c>
      <c r="K222" s="28" t="s">
        <v>319</v>
      </c>
      <c r="L222" s="28" t="s">
        <v>319</v>
      </c>
      <c r="M222" s="28" t="s">
        <v>319</v>
      </c>
      <c r="N222" s="28" t="s">
        <v>319</v>
      </c>
      <c r="O222" s="28" t="s">
        <v>319</v>
      </c>
      <c r="P222" s="28" t="s">
        <v>319</v>
      </c>
      <c r="Q222" s="5" t="s">
        <v>666</v>
      </c>
      <c r="R222" s="5" t="s">
        <v>663</v>
      </c>
      <c r="S222" s="6" t="s">
        <v>672</v>
      </c>
      <c r="T222" s="5" t="s">
        <v>877</v>
      </c>
      <c r="U222" s="5" t="s">
        <v>668</v>
      </c>
      <c r="V222" s="5" t="s">
        <v>878</v>
      </c>
      <c r="W222" s="6" t="s">
        <v>665</v>
      </c>
      <c r="X222" s="105">
        <v>13.5</v>
      </c>
      <c r="Y222" s="105">
        <v>12.5</v>
      </c>
      <c r="Z222" s="105">
        <v>11.99</v>
      </c>
      <c r="AA222" s="6" t="s">
        <v>963</v>
      </c>
      <c r="AB222" s="225">
        <f>2.88+0.33</f>
        <v>3.21</v>
      </c>
      <c r="AC222" s="225">
        <f>1.46+0.33</f>
        <v>1.79</v>
      </c>
      <c r="AD222" s="225">
        <f>0.7+0.33</f>
        <v>1.03</v>
      </c>
      <c r="AE222" s="6" t="s">
        <v>956</v>
      </c>
      <c r="AF222" s="6"/>
      <c r="AG222" s="12">
        <v>-53.5</v>
      </c>
      <c r="AH222" s="6"/>
      <c r="AI222" s="6" t="s">
        <v>965</v>
      </c>
      <c r="AJ222" s="108"/>
      <c r="AK222" s="108">
        <v>0.109</v>
      </c>
      <c r="AL222" s="6"/>
      <c r="AM222" s="6" t="s">
        <v>958</v>
      </c>
      <c r="AN222" s="6"/>
      <c r="AO222" s="105">
        <v>4.97</v>
      </c>
      <c r="AP222" s="6"/>
      <c r="AQ222" s="28" t="s">
        <v>319</v>
      </c>
      <c r="AR222" s="28" t="s">
        <v>319</v>
      </c>
      <c r="AS222" s="28" t="s">
        <v>319</v>
      </c>
      <c r="AT222" s="28" t="s">
        <v>319</v>
      </c>
      <c r="AU222" s="28" t="s">
        <v>319</v>
      </c>
      <c r="AV222" s="28" t="s">
        <v>319</v>
      </c>
      <c r="AW222" s="28" t="s">
        <v>319</v>
      </c>
      <c r="AX222" s="28" t="s">
        <v>319</v>
      </c>
      <c r="AY222" s="28" t="s">
        <v>319</v>
      </c>
      <c r="AZ222" s="28" t="s">
        <v>319</v>
      </c>
      <c r="BA222" s="28" t="s">
        <v>319</v>
      </c>
      <c r="BB222" s="6" t="s">
        <v>984</v>
      </c>
      <c r="BC222" s="106">
        <v>-104</v>
      </c>
      <c r="BD222" s="106">
        <v>65</v>
      </c>
      <c r="BE222" s="6" t="s">
        <v>1008</v>
      </c>
      <c r="BF222" s="6"/>
      <c r="BG222" s="12">
        <v>22.5</v>
      </c>
      <c r="BH222" s="28" t="s">
        <v>319</v>
      </c>
      <c r="BI222" s="28" t="s">
        <v>319</v>
      </c>
      <c r="BJ222" s="28" t="s">
        <v>319</v>
      </c>
      <c r="BK222" s="28" t="s">
        <v>319</v>
      </c>
      <c r="BL222" s="28" t="s">
        <v>319</v>
      </c>
      <c r="BM222" s="28" t="s">
        <v>319</v>
      </c>
      <c r="BN222" s="28" t="s">
        <v>319</v>
      </c>
      <c r="BO222" s="28" t="s">
        <v>319</v>
      </c>
      <c r="BP222" s="28" t="s">
        <v>319</v>
      </c>
      <c r="BQ222" s="28" t="s">
        <v>319</v>
      </c>
      <c r="BR222" s="105">
        <v>51.31</v>
      </c>
      <c r="BS222" s="12">
        <v>496.5</v>
      </c>
      <c r="BT222" s="6"/>
      <c r="BU222" s="5"/>
      <c r="BV222" s="6"/>
      <c r="BW222" s="111"/>
      <c r="BX222" s="6"/>
      <c r="BY222" s="6"/>
      <c r="BZ222" s="30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9"/>
      <c r="DB222" s="6"/>
      <c r="DC222" s="30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 t="s">
        <v>319</v>
      </c>
      <c r="DO222" s="28" t="s">
        <v>319</v>
      </c>
      <c r="DP222" s="28" t="s">
        <v>319</v>
      </c>
      <c r="DQ222" s="28" t="s">
        <v>319</v>
      </c>
      <c r="DR222" s="28" t="s">
        <v>319</v>
      </c>
      <c r="DS222" s="28" t="s">
        <v>319</v>
      </c>
      <c r="DT222" s="28" t="s">
        <v>319</v>
      </c>
      <c r="DU222" s="28" t="s">
        <v>319</v>
      </c>
      <c r="DV222" s="28" t="s">
        <v>319</v>
      </c>
      <c r="DW222" s="28" t="s">
        <v>319</v>
      </c>
      <c r="DX222" s="28" t="s">
        <v>319</v>
      </c>
      <c r="DY222" s="28" t="s">
        <v>319</v>
      </c>
      <c r="DZ222" s="28" t="s">
        <v>319</v>
      </c>
      <c r="EA222" s="28" t="s">
        <v>319</v>
      </c>
      <c r="EB222" s="28" t="s">
        <v>319</v>
      </c>
      <c r="EC222" s="28" t="s">
        <v>319</v>
      </c>
      <c r="ED222" s="28" t="s">
        <v>319</v>
      </c>
      <c r="EE222" s="28"/>
      <c r="EF222" s="28" t="s">
        <v>319</v>
      </c>
      <c r="EG222" s="28" t="s">
        <v>319</v>
      </c>
      <c r="EH222" s="28" t="s">
        <v>319</v>
      </c>
      <c r="EI222" s="28" t="s">
        <v>319</v>
      </c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7"/>
      <c r="FK222" s="6"/>
      <c r="FL222" s="6"/>
      <c r="FM222" s="97"/>
    </row>
    <row r="223" spans="1:169" s="3" customFormat="1" x14ac:dyDescent="0.4">
      <c r="A223" s="93"/>
      <c r="B223" s="93"/>
      <c r="C223" s="26"/>
      <c r="D223" s="27" t="s">
        <v>319</v>
      </c>
      <c r="E223" s="2" t="s">
        <v>382</v>
      </c>
      <c r="F223" s="28" t="s">
        <v>319</v>
      </c>
      <c r="G223" s="28" t="s">
        <v>319</v>
      </c>
      <c r="H223" s="28" t="s">
        <v>319</v>
      </c>
      <c r="I223" s="6" t="s">
        <v>658</v>
      </c>
      <c r="J223" s="28" t="s">
        <v>319</v>
      </c>
      <c r="K223" s="28" t="s">
        <v>319</v>
      </c>
      <c r="L223" s="28" t="s">
        <v>319</v>
      </c>
      <c r="M223" s="28" t="s">
        <v>319</v>
      </c>
      <c r="N223" s="28" t="s">
        <v>319</v>
      </c>
      <c r="O223" s="28" t="s">
        <v>319</v>
      </c>
      <c r="P223" s="28" t="s">
        <v>319</v>
      </c>
      <c r="Q223" s="5" t="s">
        <v>754</v>
      </c>
      <c r="R223" s="5" t="s">
        <v>663</v>
      </c>
      <c r="S223" s="6" t="s">
        <v>669</v>
      </c>
      <c r="T223" s="5"/>
      <c r="U223" s="5"/>
      <c r="V223" s="232">
        <f>62*441</f>
        <v>27342</v>
      </c>
      <c r="W223" s="6" t="s">
        <v>665</v>
      </c>
      <c r="X223" s="5"/>
      <c r="Y223" s="111"/>
      <c r="Z223" s="105">
        <v>26.76</v>
      </c>
      <c r="AA223" s="6" t="s">
        <v>963</v>
      </c>
      <c r="AB223" s="6"/>
      <c r="AC223" s="102"/>
      <c r="AD223" s="219" t="s">
        <v>1465</v>
      </c>
      <c r="AE223" s="6" t="s">
        <v>960</v>
      </c>
      <c r="AF223" s="6"/>
      <c r="AG223" s="12">
        <v>-31</v>
      </c>
      <c r="AH223" s="6"/>
      <c r="AI223" s="6" t="s">
        <v>965</v>
      </c>
      <c r="AJ223" s="112"/>
      <c r="AK223" s="108">
        <v>6.6000000000000003E-2</v>
      </c>
      <c r="AL223" s="6"/>
      <c r="AM223" s="6" t="s">
        <v>958</v>
      </c>
      <c r="AN223" s="6"/>
      <c r="AO223" s="105">
        <v>19.239999999999998</v>
      </c>
      <c r="AP223" s="6"/>
      <c r="AQ223" s="28" t="s">
        <v>319</v>
      </c>
      <c r="AR223" s="28" t="s">
        <v>319</v>
      </c>
      <c r="AS223" s="28" t="s">
        <v>319</v>
      </c>
      <c r="AT223" s="28" t="s">
        <v>319</v>
      </c>
      <c r="AU223" s="28" t="s">
        <v>319</v>
      </c>
      <c r="AV223" s="28" t="s">
        <v>319</v>
      </c>
      <c r="AW223" s="28" t="s">
        <v>319</v>
      </c>
      <c r="AX223" s="28" t="s">
        <v>319</v>
      </c>
      <c r="AY223" s="28" t="s">
        <v>319</v>
      </c>
      <c r="AZ223" s="28" t="s">
        <v>319</v>
      </c>
      <c r="BA223" s="28" t="s">
        <v>319</v>
      </c>
      <c r="BB223" s="6" t="s">
        <v>984</v>
      </c>
      <c r="BC223" s="106">
        <v>-104</v>
      </c>
      <c r="BD223" s="106">
        <v>65</v>
      </c>
      <c r="BE223" s="6" t="s">
        <v>1008</v>
      </c>
      <c r="BF223" s="6"/>
      <c r="BG223" s="12">
        <v>36</v>
      </c>
      <c r="BH223" s="28" t="s">
        <v>319</v>
      </c>
      <c r="BI223" s="28" t="s">
        <v>319</v>
      </c>
      <c r="BJ223" s="28" t="s">
        <v>319</v>
      </c>
      <c r="BK223" s="28" t="s">
        <v>319</v>
      </c>
      <c r="BL223" s="28" t="s">
        <v>319</v>
      </c>
      <c r="BM223" s="28" t="s">
        <v>319</v>
      </c>
      <c r="BN223" s="28" t="s">
        <v>319</v>
      </c>
      <c r="BO223" s="28" t="s">
        <v>319</v>
      </c>
      <c r="BP223" s="28" t="s">
        <v>319</v>
      </c>
      <c r="BQ223" s="28" t="s">
        <v>319</v>
      </c>
      <c r="BR223" s="105">
        <v>51.31</v>
      </c>
      <c r="BS223" s="12">
        <v>441.4</v>
      </c>
      <c r="BT223" s="6"/>
      <c r="BU223" s="5"/>
      <c r="BV223" s="6"/>
      <c r="BW223" s="111"/>
      <c r="BX223" s="6"/>
      <c r="BY223" s="6"/>
      <c r="BZ223" s="30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9"/>
      <c r="DB223" s="6"/>
      <c r="DC223" s="30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 t="s">
        <v>319</v>
      </c>
      <c r="DO223" s="28" t="s">
        <v>319</v>
      </c>
      <c r="DP223" s="28" t="s">
        <v>319</v>
      </c>
      <c r="DQ223" s="28" t="s">
        <v>319</v>
      </c>
      <c r="DR223" s="28" t="s">
        <v>319</v>
      </c>
      <c r="DS223" s="28" t="s">
        <v>319</v>
      </c>
      <c r="DT223" s="28" t="s">
        <v>319</v>
      </c>
      <c r="DU223" s="28" t="s">
        <v>319</v>
      </c>
      <c r="DV223" s="28" t="s">
        <v>319</v>
      </c>
      <c r="DW223" s="28" t="s">
        <v>319</v>
      </c>
      <c r="DX223" s="28" t="s">
        <v>319</v>
      </c>
      <c r="DY223" s="28" t="s">
        <v>319</v>
      </c>
      <c r="DZ223" s="28" t="s">
        <v>319</v>
      </c>
      <c r="EA223" s="28" t="s">
        <v>319</v>
      </c>
      <c r="EB223" s="28" t="s">
        <v>319</v>
      </c>
      <c r="EC223" s="28" t="s">
        <v>319</v>
      </c>
      <c r="ED223" s="28" t="s">
        <v>319</v>
      </c>
      <c r="EE223" s="28"/>
      <c r="EF223" s="28" t="s">
        <v>319</v>
      </c>
      <c r="EG223" s="28" t="s">
        <v>319</v>
      </c>
      <c r="EH223" s="28" t="s">
        <v>319</v>
      </c>
      <c r="EI223" s="28" t="s">
        <v>319</v>
      </c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7"/>
      <c r="FK223" s="6"/>
      <c r="FL223" s="6"/>
      <c r="FM223" s="97"/>
    </row>
    <row r="224" spans="1:169" s="22" customFormat="1" x14ac:dyDescent="0.4">
      <c r="A224" s="93"/>
      <c r="B224" s="93"/>
      <c r="C224" s="26"/>
      <c r="D224" s="27"/>
      <c r="E224" s="2" t="s">
        <v>1076</v>
      </c>
      <c r="F224" s="28"/>
      <c r="G224" s="28"/>
      <c r="H224" s="28"/>
      <c r="I224" s="6" t="s">
        <v>1071</v>
      </c>
      <c r="J224" s="28"/>
      <c r="K224" s="28"/>
      <c r="L224" s="28"/>
      <c r="M224" s="28"/>
      <c r="N224" s="28"/>
      <c r="O224" s="28"/>
      <c r="P224" s="28"/>
      <c r="Q224" s="5" t="s">
        <v>1072</v>
      </c>
      <c r="R224" s="5" t="s">
        <v>1073</v>
      </c>
      <c r="S224" s="6" t="s">
        <v>1074</v>
      </c>
      <c r="T224" s="5"/>
      <c r="U224" s="226">
        <v>1000</v>
      </c>
      <c r="V224" s="5"/>
      <c r="W224" s="6" t="s">
        <v>665</v>
      </c>
      <c r="X224" s="5"/>
      <c r="Y224" s="111">
        <v>20</v>
      </c>
      <c r="Z224" s="105"/>
      <c r="AA224" s="6" t="s">
        <v>955</v>
      </c>
      <c r="AB224" s="105"/>
      <c r="AC224" s="111">
        <v>19.7</v>
      </c>
      <c r="AD224" s="105"/>
      <c r="AE224" s="6" t="s">
        <v>956</v>
      </c>
      <c r="AF224" s="6"/>
      <c r="AG224" s="12">
        <v>-31</v>
      </c>
      <c r="AH224" s="6"/>
      <c r="AI224" s="6" t="s">
        <v>1075</v>
      </c>
      <c r="AJ224" s="6"/>
      <c r="AK224" s="5">
        <v>9.9000000000000008E-3</v>
      </c>
      <c r="AL224" s="6"/>
      <c r="AM224" s="6" t="s">
        <v>1069</v>
      </c>
      <c r="AN224" s="6"/>
      <c r="AO224" s="105"/>
      <c r="AP224" s="6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6" t="s">
        <v>984</v>
      </c>
      <c r="BC224" s="106">
        <v>-104</v>
      </c>
      <c r="BD224" s="106">
        <v>65</v>
      </c>
      <c r="BE224" s="6" t="s">
        <v>1070</v>
      </c>
      <c r="BF224" s="6"/>
      <c r="BG224" s="12">
        <v>28</v>
      </c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5"/>
      <c r="BS224" s="5"/>
      <c r="BT224" s="6"/>
      <c r="BU224" s="13">
        <v>28.05</v>
      </c>
      <c r="BV224" s="6" t="s">
        <v>1068</v>
      </c>
      <c r="BW224" s="111">
        <v>1.5</v>
      </c>
      <c r="BX224" s="6"/>
      <c r="BY224" s="6"/>
      <c r="BZ224" s="30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9"/>
      <c r="DB224" s="6"/>
      <c r="DC224" s="30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7"/>
      <c r="FK224" s="6"/>
      <c r="FL224" s="6"/>
      <c r="FM224" s="94"/>
    </row>
    <row r="225" spans="1:169" s="3" customFormat="1" x14ac:dyDescent="0.4">
      <c r="A225" s="93"/>
      <c r="B225" s="93"/>
      <c r="C225" s="26"/>
      <c r="D225" s="27" t="s">
        <v>319</v>
      </c>
      <c r="E225" s="2" t="s">
        <v>472</v>
      </c>
      <c r="F225" s="28" t="s">
        <v>319</v>
      </c>
      <c r="G225" s="28" t="s">
        <v>319</v>
      </c>
      <c r="H225" s="28" t="s">
        <v>319</v>
      </c>
      <c r="I225" s="6" t="s">
        <v>658</v>
      </c>
      <c r="J225" s="28" t="s">
        <v>319</v>
      </c>
      <c r="K225" s="28" t="s">
        <v>319</v>
      </c>
      <c r="L225" s="28" t="s">
        <v>319</v>
      </c>
      <c r="M225" s="28" t="s">
        <v>319</v>
      </c>
      <c r="N225" s="28" t="s">
        <v>319</v>
      </c>
      <c r="O225" s="28" t="s">
        <v>319</v>
      </c>
      <c r="P225" s="28" t="s">
        <v>319</v>
      </c>
      <c r="Q225" s="5" t="s">
        <v>721</v>
      </c>
      <c r="R225" s="5" t="s">
        <v>663</v>
      </c>
      <c r="S225" s="6" t="s">
        <v>669</v>
      </c>
      <c r="T225" s="5" t="s">
        <v>879</v>
      </c>
      <c r="U225" s="5" t="s">
        <v>880</v>
      </c>
      <c r="V225" s="106">
        <v>441353</v>
      </c>
      <c r="W225" s="6" t="s">
        <v>665</v>
      </c>
      <c r="X225" s="105">
        <v>3.49</v>
      </c>
      <c r="Y225" s="105">
        <v>3.32</v>
      </c>
      <c r="Z225" s="105">
        <v>3.13</v>
      </c>
      <c r="AA225" s="6" t="s">
        <v>963</v>
      </c>
      <c r="AB225" s="6">
        <v>2.2800000000000002</v>
      </c>
      <c r="AC225" s="6">
        <v>2.08</v>
      </c>
      <c r="AD225" s="6">
        <v>1.92</v>
      </c>
      <c r="AE225" s="6" t="s">
        <v>956</v>
      </c>
      <c r="AF225" s="6"/>
      <c r="AG225" s="12">
        <v>-14.4</v>
      </c>
      <c r="AH225" s="6"/>
      <c r="AI225" s="6" t="s">
        <v>965</v>
      </c>
      <c r="AJ225" s="5"/>
      <c r="AK225" s="108">
        <v>0.124</v>
      </c>
      <c r="AL225" s="6"/>
      <c r="AM225" s="6" t="s">
        <v>958</v>
      </c>
      <c r="AN225" s="6"/>
      <c r="AO225" s="105">
        <v>3.77</v>
      </c>
      <c r="AP225" s="6"/>
      <c r="AQ225" s="28" t="s">
        <v>319</v>
      </c>
      <c r="AR225" s="28" t="s">
        <v>319</v>
      </c>
      <c r="AS225" s="28" t="s">
        <v>319</v>
      </c>
      <c r="AT225" s="28" t="s">
        <v>319</v>
      </c>
      <c r="AU225" s="28" t="s">
        <v>319</v>
      </c>
      <c r="AV225" s="28" t="s">
        <v>319</v>
      </c>
      <c r="AW225" s="28" t="s">
        <v>319</v>
      </c>
      <c r="AX225" s="28" t="s">
        <v>319</v>
      </c>
      <c r="AY225" s="28" t="s">
        <v>319</v>
      </c>
      <c r="AZ225" s="28" t="s">
        <v>319</v>
      </c>
      <c r="BA225" s="28" t="s">
        <v>319</v>
      </c>
      <c r="BB225" s="6" t="s">
        <v>984</v>
      </c>
      <c r="BC225" s="106">
        <v>-47</v>
      </c>
      <c r="BD225" s="106">
        <v>65</v>
      </c>
      <c r="BE225" s="6" t="s">
        <v>1008</v>
      </c>
      <c r="BF225" s="6"/>
      <c r="BG225" s="12">
        <v>18</v>
      </c>
      <c r="BH225" s="28" t="s">
        <v>319</v>
      </c>
      <c r="BI225" s="28" t="s">
        <v>319</v>
      </c>
      <c r="BJ225" s="28" t="s">
        <v>319</v>
      </c>
      <c r="BK225" s="28" t="s">
        <v>319</v>
      </c>
      <c r="BL225" s="28" t="s">
        <v>319</v>
      </c>
      <c r="BM225" s="28" t="s">
        <v>319</v>
      </c>
      <c r="BN225" s="28" t="s">
        <v>319</v>
      </c>
      <c r="BO225" s="28" t="s">
        <v>319</v>
      </c>
      <c r="BP225" s="28" t="s">
        <v>319</v>
      </c>
      <c r="BQ225" s="28" t="s">
        <v>319</v>
      </c>
      <c r="BR225" s="12">
        <v>47.1</v>
      </c>
      <c r="BS225" s="12">
        <v>566.1</v>
      </c>
      <c r="BT225" s="6"/>
      <c r="BU225" s="5"/>
      <c r="BV225" s="6"/>
      <c r="BW225" s="111"/>
      <c r="BX225" s="6" t="s">
        <v>1054</v>
      </c>
      <c r="BY225" s="6"/>
      <c r="BZ225" s="30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9"/>
      <c r="DB225" s="6"/>
      <c r="DC225" s="30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 t="s">
        <v>319</v>
      </c>
      <c r="DO225" s="28" t="s">
        <v>319</v>
      </c>
      <c r="DP225" s="28" t="s">
        <v>319</v>
      </c>
      <c r="DQ225" s="28" t="s">
        <v>319</v>
      </c>
      <c r="DR225" s="28" t="s">
        <v>319</v>
      </c>
      <c r="DS225" s="28" t="s">
        <v>319</v>
      </c>
      <c r="DT225" s="28" t="s">
        <v>319</v>
      </c>
      <c r="DU225" s="28" t="s">
        <v>319</v>
      </c>
      <c r="DV225" s="28" t="s">
        <v>319</v>
      </c>
      <c r="DW225" s="28" t="s">
        <v>319</v>
      </c>
      <c r="DX225" s="28" t="s">
        <v>319</v>
      </c>
      <c r="DY225" s="28" t="s">
        <v>319</v>
      </c>
      <c r="DZ225" s="28" t="s">
        <v>319</v>
      </c>
      <c r="EA225" s="28" t="s">
        <v>319</v>
      </c>
      <c r="EB225" s="28" t="s">
        <v>319</v>
      </c>
      <c r="EC225" s="28" t="s">
        <v>319</v>
      </c>
      <c r="ED225" s="28" t="s">
        <v>319</v>
      </c>
      <c r="EE225" s="28"/>
      <c r="EF225" s="28" t="s">
        <v>319</v>
      </c>
      <c r="EG225" s="28" t="s">
        <v>319</v>
      </c>
      <c r="EH225" s="28" t="s">
        <v>319</v>
      </c>
      <c r="EI225" s="28" t="s">
        <v>319</v>
      </c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7"/>
      <c r="FK225" s="6"/>
      <c r="FL225" s="6"/>
      <c r="FM225" s="97"/>
    </row>
    <row r="226" spans="1:169" s="3" customFormat="1" x14ac:dyDescent="0.4">
      <c r="A226" s="93"/>
      <c r="B226" s="93"/>
      <c r="C226" s="26"/>
      <c r="D226" s="27" t="s">
        <v>319</v>
      </c>
      <c r="E226" s="2" t="s">
        <v>506</v>
      </c>
      <c r="F226" s="28" t="s">
        <v>319</v>
      </c>
      <c r="G226" s="28" t="s">
        <v>319</v>
      </c>
      <c r="H226" s="28" t="s">
        <v>319</v>
      </c>
      <c r="I226" s="6" t="s">
        <v>659</v>
      </c>
      <c r="J226" s="28" t="s">
        <v>319</v>
      </c>
      <c r="K226" s="28" t="s">
        <v>319</v>
      </c>
      <c r="L226" s="28" t="s">
        <v>319</v>
      </c>
      <c r="M226" s="28" t="s">
        <v>319</v>
      </c>
      <c r="N226" s="28" t="s">
        <v>319</v>
      </c>
      <c r="O226" s="28" t="s">
        <v>319</v>
      </c>
      <c r="P226" s="28" t="s">
        <v>319</v>
      </c>
      <c r="Q226" s="5" t="s">
        <v>754</v>
      </c>
      <c r="R226" s="5" t="s">
        <v>663</v>
      </c>
      <c r="S226" s="6" t="s">
        <v>678</v>
      </c>
      <c r="T226" s="5" t="s">
        <v>881</v>
      </c>
      <c r="U226" s="5" t="s">
        <v>882</v>
      </c>
      <c r="V226" s="106">
        <v>437943</v>
      </c>
      <c r="W226" s="6" t="s">
        <v>665</v>
      </c>
      <c r="X226" s="105">
        <v>19.32</v>
      </c>
      <c r="Y226" s="105">
        <v>19.2</v>
      </c>
      <c r="Z226" s="105">
        <v>19.82</v>
      </c>
      <c r="AA226" s="6" t="s">
        <v>963</v>
      </c>
      <c r="AB226" s="6">
        <v>0.32000000000000028</v>
      </c>
      <c r="AC226" s="6">
        <v>0.18999999999999773</v>
      </c>
      <c r="AD226" s="6">
        <v>0.10999999999999943</v>
      </c>
      <c r="AE226" s="6" t="s">
        <v>956</v>
      </c>
      <c r="AF226" s="6"/>
      <c r="AG226" s="12">
        <v>-31</v>
      </c>
      <c r="AH226" s="6"/>
      <c r="AI226" s="6" t="s">
        <v>965</v>
      </c>
      <c r="AJ226" s="108"/>
      <c r="AK226" s="108">
        <v>6.6000000000000003E-2</v>
      </c>
      <c r="AL226" s="6"/>
      <c r="AM226" s="6" t="s">
        <v>958</v>
      </c>
      <c r="AN226" s="6"/>
      <c r="AO226" s="105">
        <v>19.239999999999998</v>
      </c>
      <c r="AP226" s="6"/>
      <c r="AQ226" s="28" t="s">
        <v>319</v>
      </c>
      <c r="AR226" s="28" t="s">
        <v>319</v>
      </c>
      <c r="AS226" s="28" t="s">
        <v>319</v>
      </c>
      <c r="AT226" s="28" t="s">
        <v>319</v>
      </c>
      <c r="AU226" s="28" t="s">
        <v>319</v>
      </c>
      <c r="AV226" s="28" t="s">
        <v>319</v>
      </c>
      <c r="AW226" s="28" t="s">
        <v>319</v>
      </c>
      <c r="AX226" s="28" t="s">
        <v>319</v>
      </c>
      <c r="AY226" s="28" t="s">
        <v>319</v>
      </c>
      <c r="AZ226" s="28" t="s">
        <v>319</v>
      </c>
      <c r="BA226" s="28" t="s">
        <v>319</v>
      </c>
      <c r="BB226" s="6" t="s">
        <v>984</v>
      </c>
      <c r="BC226" s="106">
        <v>-104</v>
      </c>
      <c r="BD226" s="106">
        <v>65</v>
      </c>
      <c r="BE226" s="6" t="s">
        <v>1010</v>
      </c>
      <c r="BF226" s="6"/>
      <c r="BG226" s="12">
        <v>28</v>
      </c>
      <c r="BH226" s="28" t="s">
        <v>319</v>
      </c>
      <c r="BI226" s="28" t="s">
        <v>319</v>
      </c>
      <c r="BJ226" s="28" t="s">
        <v>319</v>
      </c>
      <c r="BK226" s="28" t="s">
        <v>319</v>
      </c>
      <c r="BL226" s="28" t="s">
        <v>319</v>
      </c>
      <c r="BM226" s="28" t="s">
        <v>319</v>
      </c>
      <c r="BN226" s="28" t="s">
        <v>319</v>
      </c>
      <c r="BO226" s="28" t="s">
        <v>319</v>
      </c>
      <c r="BP226" s="28" t="s">
        <v>319</v>
      </c>
      <c r="BQ226" s="28" t="s">
        <v>319</v>
      </c>
      <c r="BR226" s="105">
        <v>51.31</v>
      </c>
      <c r="BS226" s="12">
        <v>441.3</v>
      </c>
      <c r="BT226" s="6"/>
      <c r="BU226" s="5"/>
      <c r="BV226" s="6"/>
      <c r="BW226" s="111"/>
      <c r="BX226" s="6"/>
      <c r="BY226" s="6"/>
      <c r="BZ226" s="30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9"/>
      <c r="DB226" s="6"/>
      <c r="DC226" s="30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 t="s">
        <v>319</v>
      </c>
      <c r="DO226" s="28" t="s">
        <v>319</v>
      </c>
      <c r="DP226" s="28" t="s">
        <v>319</v>
      </c>
      <c r="DQ226" s="28" t="s">
        <v>319</v>
      </c>
      <c r="DR226" s="28" t="s">
        <v>319</v>
      </c>
      <c r="DS226" s="28" t="s">
        <v>319</v>
      </c>
      <c r="DT226" s="28" t="s">
        <v>319</v>
      </c>
      <c r="DU226" s="28" t="s">
        <v>319</v>
      </c>
      <c r="DV226" s="28" t="s">
        <v>319</v>
      </c>
      <c r="DW226" s="28" t="s">
        <v>319</v>
      </c>
      <c r="DX226" s="28" t="s">
        <v>319</v>
      </c>
      <c r="DY226" s="28" t="s">
        <v>319</v>
      </c>
      <c r="DZ226" s="28" t="s">
        <v>319</v>
      </c>
      <c r="EA226" s="28" t="s">
        <v>319</v>
      </c>
      <c r="EB226" s="28" t="s">
        <v>319</v>
      </c>
      <c r="EC226" s="28" t="s">
        <v>319</v>
      </c>
      <c r="ED226" s="28" t="s">
        <v>319</v>
      </c>
      <c r="EE226" s="28"/>
      <c r="EF226" s="28" t="s">
        <v>319</v>
      </c>
      <c r="EG226" s="28" t="s">
        <v>319</v>
      </c>
      <c r="EH226" s="28" t="s">
        <v>319</v>
      </c>
      <c r="EI226" s="28" t="s">
        <v>319</v>
      </c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7"/>
      <c r="FK226" s="6"/>
      <c r="FL226" s="6"/>
      <c r="FM226" s="97"/>
    </row>
    <row r="227" spans="1:169" s="3" customFormat="1" x14ac:dyDescent="0.4">
      <c r="A227" s="93"/>
      <c r="B227" s="93"/>
      <c r="C227" s="26"/>
      <c r="D227" s="27" t="s">
        <v>319</v>
      </c>
      <c r="E227" s="2" t="s">
        <v>1386</v>
      </c>
      <c r="F227" s="28" t="s">
        <v>319</v>
      </c>
      <c r="G227" s="28" t="s">
        <v>319</v>
      </c>
      <c r="H227" s="28" t="s">
        <v>319</v>
      </c>
      <c r="I227" s="6" t="s">
        <v>435</v>
      </c>
      <c r="J227" s="28" t="s">
        <v>319</v>
      </c>
      <c r="K227" s="28" t="s">
        <v>319</v>
      </c>
      <c r="L227" s="28" t="s">
        <v>319</v>
      </c>
      <c r="M227" s="28" t="s">
        <v>319</v>
      </c>
      <c r="N227" s="28" t="s">
        <v>319</v>
      </c>
      <c r="O227" s="28" t="s">
        <v>319</v>
      </c>
      <c r="P227" s="28" t="s">
        <v>319</v>
      </c>
      <c r="Q227" s="5" t="s">
        <v>883</v>
      </c>
      <c r="R227" s="5" t="s">
        <v>667</v>
      </c>
      <c r="S227" s="6" t="s">
        <v>678</v>
      </c>
      <c r="T227" s="5"/>
      <c r="U227" s="106" t="s">
        <v>884</v>
      </c>
      <c r="V227" s="5"/>
      <c r="W227" s="6" t="s">
        <v>665</v>
      </c>
      <c r="X227" s="5"/>
      <c r="Y227" s="105">
        <v>18.8</v>
      </c>
      <c r="Z227" s="5"/>
      <c r="AA227" s="6" t="s">
        <v>963</v>
      </c>
      <c r="AB227" s="6"/>
      <c r="AC227" s="6" t="s">
        <v>1004</v>
      </c>
      <c r="AD227" s="6"/>
      <c r="AE227" s="6" t="s">
        <v>956</v>
      </c>
      <c r="AF227" s="6"/>
      <c r="AG227" s="12">
        <v>-31</v>
      </c>
      <c r="AH227" s="6"/>
      <c r="AI227" s="6" t="s">
        <v>965</v>
      </c>
      <c r="AJ227" s="112"/>
      <c r="AK227" s="108">
        <v>9.9000000000000008E-3</v>
      </c>
      <c r="AL227" s="6"/>
      <c r="AM227" s="6" t="s">
        <v>958</v>
      </c>
      <c r="AN227" s="6"/>
      <c r="AO227" s="105"/>
      <c r="AP227" s="6"/>
      <c r="AQ227" s="28" t="s">
        <v>319</v>
      </c>
      <c r="AR227" s="28" t="s">
        <v>319</v>
      </c>
      <c r="AS227" s="28" t="s">
        <v>319</v>
      </c>
      <c r="AT227" s="28" t="s">
        <v>319</v>
      </c>
      <c r="AU227" s="28" t="s">
        <v>319</v>
      </c>
      <c r="AV227" s="28" t="s">
        <v>319</v>
      </c>
      <c r="AW227" s="28" t="s">
        <v>319</v>
      </c>
      <c r="AX227" s="28" t="s">
        <v>319</v>
      </c>
      <c r="AY227" s="28" t="s">
        <v>319</v>
      </c>
      <c r="AZ227" s="28" t="s">
        <v>319</v>
      </c>
      <c r="BA227" s="28" t="s">
        <v>319</v>
      </c>
      <c r="BB227" s="6" t="s">
        <v>984</v>
      </c>
      <c r="BC227" s="106">
        <v>-104</v>
      </c>
      <c r="BD227" s="106">
        <v>65</v>
      </c>
      <c r="BE227" s="6" t="s">
        <v>1008</v>
      </c>
      <c r="BF227" s="6"/>
      <c r="BG227" s="12">
        <v>28</v>
      </c>
      <c r="BH227" s="28" t="s">
        <v>319</v>
      </c>
      <c r="BI227" s="28" t="s">
        <v>319</v>
      </c>
      <c r="BJ227" s="28" t="s">
        <v>319</v>
      </c>
      <c r="BK227" s="28" t="s">
        <v>319</v>
      </c>
      <c r="BL227" s="28" t="s">
        <v>319</v>
      </c>
      <c r="BM227" s="28" t="s">
        <v>319</v>
      </c>
      <c r="BN227" s="28" t="s">
        <v>319</v>
      </c>
      <c r="BO227" s="28" t="s">
        <v>319</v>
      </c>
      <c r="BP227" s="28" t="s">
        <v>319</v>
      </c>
      <c r="BQ227" s="28" t="s">
        <v>319</v>
      </c>
      <c r="BR227" s="105"/>
      <c r="BS227" s="12"/>
      <c r="BT227" s="155"/>
      <c r="BU227" s="13">
        <v>28.05</v>
      </c>
      <c r="BV227" s="6" t="s">
        <v>1068</v>
      </c>
      <c r="BW227" s="105">
        <v>1.5</v>
      </c>
      <c r="BX227" s="6"/>
      <c r="BY227" s="6"/>
      <c r="BZ227" s="30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9"/>
      <c r="DB227" s="6"/>
      <c r="DC227" s="30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 t="s">
        <v>319</v>
      </c>
      <c r="DO227" s="28" t="s">
        <v>319</v>
      </c>
      <c r="DP227" s="28" t="s">
        <v>319</v>
      </c>
      <c r="DQ227" s="28" t="s">
        <v>319</v>
      </c>
      <c r="DR227" s="28" t="s">
        <v>319</v>
      </c>
      <c r="DS227" s="28" t="s">
        <v>319</v>
      </c>
      <c r="DT227" s="28" t="s">
        <v>319</v>
      </c>
      <c r="DU227" s="28" t="s">
        <v>319</v>
      </c>
      <c r="DV227" s="28" t="s">
        <v>319</v>
      </c>
      <c r="DW227" s="28" t="s">
        <v>319</v>
      </c>
      <c r="DX227" s="28" t="s">
        <v>319</v>
      </c>
      <c r="DY227" s="28" t="s">
        <v>319</v>
      </c>
      <c r="DZ227" s="28" t="s">
        <v>319</v>
      </c>
      <c r="EA227" s="28" t="s">
        <v>319</v>
      </c>
      <c r="EB227" s="28" t="s">
        <v>319</v>
      </c>
      <c r="EC227" s="28" t="s">
        <v>319</v>
      </c>
      <c r="ED227" s="28" t="s">
        <v>319</v>
      </c>
      <c r="EE227" s="28"/>
      <c r="EF227" s="28" t="s">
        <v>319</v>
      </c>
      <c r="EG227" s="28" t="s">
        <v>319</v>
      </c>
      <c r="EH227" s="28" t="s">
        <v>319</v>
      </c>
      <c r="EI227" s="28" t="s">
        <v>319</v>
      </c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7"/>
      <c r="FK227" s="6"/>
      <c r="FL227" s="6"/>
      <c r="FM227" s="94"/>
    </row>
    <row r="228" spans="1:169" s="3" customFormat="1" x14ac:dyDescent="0.4">
      <c r="A228" s="93"/>
      <c r="B228" s="93"/>
      <c r="C228" s="26"/>
      <c r="D228" s="27" t="s">
        <v>319</v>
      </c>
      <c r="E228" s="2" t="s">
        <v>473</v>
      </c>
      <c r="F228" s="28" t="s">
        <v>319</v>
      </c>
      <c r="G228" s="28" t="s">
        <v>319</v>
      </c>
      <c r="H228" s="28" t="s">
        <v>319</v>
      </c>
      <c r="I228" s="6" t="s">
        <v>660</v>
      </c>
      <c r="J228" s="28" t="s">
        <v>319</v>
      </c>
      <c r="K228" s="28" t="s">
        <v>319</v>
      </c>
      <c r="L228" s="28" t="s">
        <v>319</v>
      </c>
      <c r="M228" s="28" t="s">
        <v>319</v>
      </c>
      <c r="N228" s="28" t="s">
        <v>319</v>
      </c>
      <c r="O228" s="28" t="s">
        <v>319</v>
      </c>
      <c r="P228" s="28" t="s">
        <v>319</v>
      </c>
      <c r="Q228" s="5" t="s">
        <v>754</v>
      </c>
      <c r="R228" s="5" t="s">
        <v>663</v>
      </c>
      <c r="S228" s="6" t="s">
        <v>678</v>
      </c>
      <c r="T228" s="5"/>
      <c r="U228" s="5" t="s">
        <v>885</v>
      </c>
      <c r="V228" s="5"/>
      <c r="W228" s="6" t="s">
        <v>665</v>
      </c>
      <c r="X228" s="5"/>
      <c r="Y228" s="105">
        <v>18.8</v>
      </c>
      <c r="Z228" s="5"/>
      <c r="AA228" s="6" t="s">
        <v>963</v>
      </c>
      <c r="AB228" s="6"/>
      <c r="AC228" s="6">
        <v>18.3</v>
      </c>
      <c r="AD228" s="6"/>
      <c r="AE228" s="6" t="s">
        <v>956</v>
      </c>
      <c r="AF228" s="6"/>
      <c r="AG228" s="12">
        <v>-31</v>
      </c>
      <c r="AH228" s="6"/>
      <c r="AI228" s="6" t="s">
        <v>993</v>
      </c>
      <c r="AJ228" s="112"/>
      <c r="AK228" s="108">
        <v>6.6000000000000003E-2</v>
      </c>
      <c r="AL228" s="6"/>
      <c r="AM228" s="6" t="s">
        <v>958</v>
      </c>
      <c r="AN228" s="6"/>
      <c r="AO228" s="105">
        <v>19.239999999999998</v>
      </c>
      <c r="AP228" s="6"/>
      <c r="AQ228" s="28" t="s">
        <v>319</v>
      </c>
      <c r="AR228" s="28" t="s">
        <v>319</v>
      </c>
      <c r="AS228" s="28" t="s">
        <v>319</v>
      </c>
      <c r="AT228" s="28" t="s">
        <v>319</v>
      </c>
      <c r="AU228" s="28" t="s">
        <v>319</v>
      </c>
      <c r="AV228" s="28" t="s">
        <v>319</v>
      </c>
      <c r="AW228" s="28" t="s">
        <v>319</v>
      </c>
      <c r="AX228" s="28" t="s">
        <v>319</v>
      </c>
      <c r="AY228" s="28" t="s">
        <v>319</v>
      </c>
      <c r="AZ228" s="28" t="s">
        <v>319</v>
      </c>
      <c r="BA228" s="28" t="s">
        <v>319</v>
      </c>
      <c r="BB228" s="6" t="s">
        <v>984</v>
      </c>
      <c r="BC228" s="106">
        <v>-104</v>
      </c>
      <c r="BD228" s="106">
        <v>65</v>
      </c>
      <c r="BE228" s="6" t="s">
        <v>1008</v>
      </c>
      <c r="BF228" s="6"/>
      <c r="BG228" s="12">
        <v>28</v>
      </c>
      <c r="BH228" s="28" t="s">
        <v>319</v>
      </c>
      <c r="BI228" s="28" t="s">
        <v>319</v>
      </c>
      <c r="BJ228" s="28" t="s">
        <v>319</v>
      </c>
      <c r="BK228" s="28" t="s">
        <v>319</v>
      </c>
      <c r="BL228" s="28" t="s">
        <v>319</v>
      </c>
      <c r="BM228" s="28" t="s">
        <v>319</v>
      </c>
      <c r="BN228" s="28" t="s">
        <v>319</v>
      </c>
      <c r="BO228" s="28" t="s">
        <v>319</v>
      </c>
      <c r="BP228" s="28" t="s">
        <v>319</v>
      </c>
      <c r="BQ228" s="28" t="s">
        <v>319</v>
      </c>
      <c r="BR228" s="105">
        <v>51.31</v>
      </c>
      <c r="BS228" s="12">
        <v>441.4</v>
      </c>
      <c r="BT228" s="6"/>
      <c r="BU228" s="5"/>
      <c r="BV228" s="6"/>
      <c r="BW228" s="111"/>
      <c r="BX228" s="6" t="s">
        <v>1052</v>
      </c>
      <c r="BY228" s="6"/>
      <c r="BZ228" s="30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9"/>
      <c r="DB228" s="6"/>
      <c r="DC228" s="30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 t="s">
        <v>319</v>
      </c>
      <c r="DO228" s="28" t="s">
        <v>319</v>
      </c>
      <c r="DP228" s="28" t="s">
        <v>319</v>
      </c>
      <c r="DQ228" s="28" t="s">
        <v>319</v>
      </c>
      <c r="DR228" s="28" t="s">
        <v>319</v>
      </c>
      <c r="DS228" s="28" t="s">
        <v>319</v>
      </c>
      <c r="DT228" s="28" t="s">
        <v>319</v>
      </c>
      <c r="DU228" s="28" t="s">
        <v>319</v>
      </c>
      <c r="DV228" s="28" t="s">
        <v>319</v>
      </c>
      <c r="DW228" s="28" t="s">
        <v>319</v>
      </c>
      <c r="DX228" s="28" t="s">
        <v>319</v>
      </c>
      <c r="DY228" s="28" t="s">
        <v>319</v>
      </c>
      <c r="DZ228" s="28" t="s">
        <v>319</v>
      </c>
      <c r="EA228" s="28" t="s">
        <v>319</v>
      </c>
      <c r="EB228" s="28" t="s">
        <v>319</v>
      </c>
      <c r="EC228" s="28" t="s">
        <v>319</v>
      </c>
      <c r="ED228" s="28" t="s">
        <v>319</v>
      </c>
      <c r="EE228" s="28"/>
      <c r="EF228" s="28" t="s">
        <v>319</v>
      </c>
      <c r="EG228" s="28" t="s">
        <v>319</v>
      </c>
      <c r="EH228" s="28" t="s">
        <v>319</v>
      </c>
      <c r="EI228" s="28" t="s">
        <v>319</v>
      </c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7"/>
      <c r="FK228" s="6"/>
      <c r="FL228" s="6"/>
      <c r="FM228" s="97"/>
    </row>
    <row r="229" spans="1:169" s="3" customFormat="1" x14ac:dyDescent="0.4">
      <c r="A229" s="93"/>
      <c r="B229" s="93"/>
      <c r="C229" s="26"/>
      <c r="D229" s="27" t="s">
        <v>319</v>
      </c>
      <c r="E229" s="2" t="s">
        <v>383</v>
      </c>
      <c r="F229" s="28" t="s">
        <v>319</v>
      </c>
      <c r="G229" s="28" t="s">
        <v>319</v>
      </c>
      <c r="H229" s="28" t="s">
        <v>319</v>
      </c>
      <c r="I229" s="6" t="s">
        <v>384</v>
      </c>
      <c r="J229" s="28" t="s">
        <v>319</v>
      </c>
      <c r="K229" s="28" t="s">
        <v>319</v>
      </c>
      <c r="L229" s="28" t="s">
        <v>319</v>
      </c>
      <c r="M229" s="28" t="s">
        <v>319</v>
      </c>
      <c r="N229" s="28" t="s">
        <v>319</v>
      </c>
      <c r="O229" s="28" t="s">
        <v>319</v>
      </c>
      <c r="P229" s="28" t="s">
        <v>319</v>
      </c>
      <c r="Q229" s="5" t="s">
        <v>754</v>
      </c>
      <c r="R229" s="5" t="s">
        <v>663</v>
      </c>
      <c r="S229" s="6" t="s">
        <v>672</v>
      </c>
      <c r="T229" s="106">
        <v>37789</v>
      </c>
      <c r="U229" s="106">
        <v>62982</v>
      </c>
      <c r="V229" s="106">
        <v>138560</v>
      </c>
      <c r="W229" s="6" t="s">
        <v>665</v>
      </c>
      <c r="X229" s="105">
        <v>26.52</v>
      </c>
      <c r="Y229" s="105">
        <v>25.81</v>
      </c>
      <c r="Z229" s="105">
        <v>25.51</v>
      </c>
      <c r="AA229" s="6" t="s">
        <v>972</v>
      </c>
      <c r="AB229" s="225">
        <f>0.7+0.21</f>
        <v>0.90999999999999992</v>
      </c>
      <c r="AC229" s="225">
        <f>0.7+0.21</f>
        <v>0.90999999999999992</v>
      </c>
      <c r="AD229" s="225">
        <f>0.7+0.21</f>
        <v>0.90999999999999992</v>
      </c>
      <c r="AE229" s="6" t="s">
        <v>956</v>
      </c>
      <c r="AF229" s="6"/>
      <c r="AG229" s="12">
        <v>-31</v>
      </c>
      <c r="AH229" s="6"/>
      <c r="AI229" s="6" t="s">
        <v>965</v>
      </c>
      <c r="AJ229" s="5"/>
      <c r="AK229" s="108">
        <v>6.6000000000000003E-2</v>
      </c>
      <c r="AL229" s="6"/>
      <c r="AM229" s="6" t="s">
        <v>958</v>
      </c>
      <c r="AN229" s="6"/>
      <c r="AO229" s="105">
        <v>19.239999999999998</v>
      </c>
      <c r="AP229" s="6"/>
      <c r="AQ229" s="28" t="s">
        <v>319</v>
      </c>
      <c r="AR229" s="28" t="s">
        <v>319</v>
      </c>
      <c r="AS229" s="28" t="s">
        <v>319</v>
      </c>
      <c r="AT229" s="28" t="s">
        <v>319</v>
      </c>
      <c r="AU229" s="28" t="s">
        <v>319</v>
      </c>
      <c r="AV229" s="28" t="s">
        <v>319</v>
      </c>
      <c r="AW229" s="28" t="s">
        <v>319</v>
      </c>
      <c r="AX229" s="28" t="s">
        <v>319</v>
      </c>
      <c r="AY229" s="28" t="s">
        <v>319</v>
      </c>
      <c r="AZ229" s="28" t="s">
        <v>319</v>
      </c>
      <c r="BA229" s="28" t="s">
        <v>319</v>
      </c>
      <c r="BB229" s="6" t="s">
        <v>984</v>
      </c>
      <c r="BC229" s="106">
        <v>-104</v>
      </c>
      <c r="BD229" s="106">
        <v>65</v>
      </c>
      <c r="BE229" s="6" t="s">
        <v>1010</v>
      </c>
      <c r="BF229" s="6"/>
      <c r="BG229" s="12">
        <v>36</v>
      </c>
      <c r="BH229" s="28" t="s">
        <v>319</v>
      </c>
      <c r="BI229" s="28" t="s">
        <v>319</v>
      </c>
      <c r="BJ229" s="28" t="s">
        <v>319</v>
      </c>
      <c r="BK229" s="28" t="s">
        <v>319</v>
      </c>
      <c r="BL229" s="28" t="s">
        <v>319</v>
      </c>
      <c r="BM229" s="28" t="s">
        <v>319</v>
      </c>
      <c r="BN229" s="28" t="s">
        <v>319</v>
      </c>
      <c r="BO229" s="28" t="s">
        <v>319</v>
      </c>
      <c r="BP229" s="28" t="s">
        <v>319</v>
      </c>
      <c r="BQ229" s="28" t="s">
        <v>319</v>
      </c>
      <c r="BR229" s="105">
        <v>51.31</v>
      </c>
      <c r="BS229" s="12">
        <v>441.4</v>
      </c>
      <c r="BT229" s="6"/>
      <c r="BU229" s="5"/>
      <c r="BV229" s="6"/>
      <c r="BW229" s="111"/>
      <c r="BX229" s="6"/>
      <c r="BY229" s="6"/>
      <c r="BZ229" s="30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9"/>
      <c r="DB229" s="6"/>
      <c r="DC229" s="30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 t="s">
        <v>319</v>
      </c>
      <c r="DO229" s="28" t="s">
        <v>319</v>
      </c>
      <c r="DP229" s="28" t="s">
        <v>319</v>
      </c>
      <c r="DQ229" s="28" t="s">
        <v>319</v>
      </c>
      <c r="DR229" s="28" t="s">
        <v>319</v>
      </c>
      <c r="DS229" s="28" t="s">
        <v>319</v>
      </c>
      <c r="DT229" s="28" t="s">
        <v>319</v>
      </c>
      <c r="DU229" s="28" t="s">
        <v>319</v>
      </c>
      <c r="DV229" s="28" t="s">
        <v>319</v>
      </c>
      <c r="DW229" s="28" t="s">
        <v>319</v>
      </c>
      <c r="DX229" s="28" t="s">
        <v>319</v>
      </c>
      <c r="DY229" s="28" t="s">
        <v>319</v>
      </c>
      <c r="DZ229" s="28" t="s">
        <v>319</v>
      </c>
      <c r="EA229" s="28" t="s">
        <v>319</v>
      </c>
      <c r="EB229" s="28" t="s">
        <v>319</v>
      </c>
      <c r="EC229" s="28" t="s">
        <v>319</v>
      </c>
      <c r="ED229" s="28" t="s">
        <v>319</v>
      </c>
      <c r="EE229" s="28"/>
      <c r="EF229" s="28" t="s">
        <v>319</v>
      </c>
      <c r="EG229" s="28" t="s">
        <v>319</v>
      </c>
      <c r="EH229" s="28" t="s">
        <v>319</v>
      </c>
      <c r="EI229" s="28" t="s">
        <v>319</v>
      </c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7"/>
      <c r="FK229" s="6"/>
      <c r="FL229" s="6"/>
      <c r="FM229" s="97"/>
    </row>
    <row r="230" spans="1:169" s="3" customFormat="1" x14ac:dyDescent="0.4">
      <c r="A230" s="93"/>
      <c r="B230" s="93"/>
      <c r="C230" s="26"/>
      <c r="D230" s="27" t="s">
        <v>319</v>
      </c>
      <c r="E230" s="2" t="s">
        <v>486</v>
      </c>
      <c r="F230" s="28" t="s">
        <v>319</v>
      </c>
      <c r="G230" s="28" t="s">
        <v>319</v>
      </c>
      <c r="H230" s="28" t="s">
        <v>319</v>
      </c>
      <c r="I230" s="6" t="s">
        <v>384</v>
      </c>
      <c r="J230" s="28" t="s">
        <v>319</v>
      </c>
      <c r="K230" s="28" t="s">
        <v>319</v>
      </c>
      <c r="L230" s="28" t="s">
        <v>319</v>
      </c>
      <c r="M230" s="28" t="s">
        <v>319</v>
      </c>
      <c r="N230" s="28" t="s">
        <v>319</v>
      </c>
      <c r="O230" s="28" t="s">
        <v>319</v>
      </c>
      <c r="P230" s="28" t="s">
        <v>319</v>
      </c>
      <c r="Q230" s="5" t="s">
        <v>754</v>
      </c>
      <c r="R230" s="5" t="s">
        <v>663</v>
      </c>
      <c r="S230" s="6" t="s">
        <v>672</v>
      </c>
      <c r="T230" s="106">
        <v>41250</v>
      </c>
      <c r="U230" s="106">
        <v>68750</v>
      </c>
      <c r="V230" s="106">
        <v>75625</v>
      </c>
      <c r="W230" s="6" t="s">
        <v>665</v>
      </c>
      <c r="X230" s="105">
        <v>19.43</v>
      </c>
      <c r="Y230" s="105">
        <v>19.309999999999999</v>
      </c>
      <c r="Z230" s="105">
        <v>19.27</v>
      </c>
      <c r="AA230" s="6" t="s">
        <v>963</v>
      </c>
      <c r="AB230" s="6">
        <v>0.76999999999999957</v>
      </c>
      <c r="AC230" s="6">
        <v>0.80999999999999872</v>
      </c>
      <c r="AD230" s="6">
        <v>0.82000000000000028</v>
      </c>
      <c r="AE230" s="6" t="s">
        <v>980</v>
      </c>
      <c r="AF230" s="6"/>
      <c r="AG230" s="12">
        <v>-99</v>
      </c>
      <c r="AH230" s="6"/>
      <c r="AI230" s="6" t="s">
        <v>965</v>
      </c>
      <c r="AJ230" s="5"/>
      <c r="AK230" s="108">
        <v>0.154</v>
      </c>
      <c r="AL230" s="6"/>
      <c r="AM230" s="6" t="s">
        <v>958</v>
      </c>
      <c r="AN230" s="6"/>
      <c r="AO230" s="5">
        <v>0.438</v>
      </c>
      <c r="AP230" s="6"/>
      <c r="AQ230" s="28" t="s">
        <v>319</v>
      </c>
      <c r="AR230" s="28" t="s">
        <v>319</v>
      </c>
      <c r="AS230" s="28" t="s">
        <v>319</v>
      </c>
      <c r="AT230" s="28" t="s">
        <v>319</v>
      </c>
      <c r="AU230" s="28" t="s">
        <v>319</v>
      </c>
      <c r="AV230" s="28" t="s">
        <v>319</v>
      </c>
      <c r="AW230" s="28" t="s">
        <v>319</v>
      </c>
      <c r="AX230" s="28" t="s">
        <v>319</v>
      </c>
      <c r="AY230" s="28" t="s">
        <v>319</v>
      </c>
      <c r="AZ230" s="28" t="s">
        <v>319</v>
      </c>
      <c r="BA230" s="28" t="s">
        <v>319</v>
      </c>
      <c r="BB230" s="6" t="s">
        <v>984</v>
      </c>
      <c r="BC230" s="106">
        <v>-104</v>
      </c>
      <c r="BD230" s="106">
        <v>65</v>
      </c>
      <c r="BE230" s="6" t="s">
        <v>1008</v>
      </c>
      <c r="BF230" s="6"/>
      <c r="BG230" s="12">
        <v>28</v>
      </c>
      <c r="BH230" s="28" t="s">
        <v>319</v>
      </c>
      <c r="BI230" s="28" t="s">
        <v>319</v>
      </c>
      <c r="BJ230" s="28" t="s">
        <v>319</v>
      </c>
      <c r="BK230" s="28" t="s">
        <v>319</v>
      </c>
      <c r="BL230" s="28" t="s">
        <v>319</v>
      </c>
      <c r="BM230" s="28" t="s">
        <v>319</v>
      </c>
      <c r="BN230" s="28" t="s">
        <v>319</v>
      </c>
      <c r="BO230" s="28" t="s">
        <v>319</v>
      </c>
      <c r="BP230" s="28" t="s">
        <v>319</v>
      </c>
      <c r="BQ230" s="28" t="s">
        <v>319</v>
      </c>
      <c r="BR230" s="12">
        <v>51.3</v>
      </c>
      <c r="BS230" s="12">
        <v>559.6</v>
      </c>
      <c r="BT230" s="6"/>
      <c r="BU230" s="5"/>
      <c r="BV230" s="6"/>
      <c r="BW230" s="111"/>
      <c r="BX230" s="6"/>
      <c r="BY230" s="6"/>
      <c r="BZ230" s="30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9"/>
      <c r="DB230" s="6"/>
      <c r="DC230" s="30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 t="s">
        <v>319</v>
      </c>
      <c r="DO230" s="28" t="s">
        <v>319</v>
      </c>
      <c r="DP230" s="28" t="s">
        <v>319</v>
      </c>
      <c r="DQ230" s="28" t="s">
        <v>319</v>
      </c>
      <c r="DR230" s="28" t="s">
        <v>319</v>
      </c>
      <c r="DS230" s="28" t="s">
        <v>319</v>
      </c>
      <c r="DT230" s="28" t="s">
        <v>319</v>
      </c>
      <c r="DU230" s="28" t="s">
        <v>319</v>
      </c>
      <c r="DV230" s="28" t="s">
        <v>319</v>
      </c>
      <c r="DW230" s="28" t="s">
        <v>319</v>
      </c>
      <c r="DX230" s="28" t="s">
        <v>319</v>
      </c>
      <c r="DY230" s="28" t="s">
        <v>319</v>
      </c>
      <c r="DZ230" s="28" t="s">
        <v>319</v>
      </c>
      <c r="EA230" s="28" t="s">
        <v>319</v>
      </c>
      <c r="EB230" s="28" t="s">
        <v>319</v>
      </c>
      <c r="EC230" s="28" t="s">
        <v>319</v>
      </c>
      <c r="ED230" s="28" t="s">
        <v>319</v>
      </c>
      <c r="EE230" s="28"/>
      <c r="EF230" s="28" t="s">
        <v>319</v>
      </c>
      <c r="EG230" s="28" t="s">
        <v>319</v>
      </c>
      <c r="EH230" s="28" t="s">
        <v>319</v>
      </c>
      <c r="EI230" s="28" t="s">
        <v>319</v>
      </c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7"/>
      <c r="FK230" s="6"/>
      <c r="FL230" s="6"/>
      <c r="FM230" s="97"/>
    </row>
    <row r="231" spans="1:169" s="3" customFormat="1" x14ac:dyDescent="0.4">
      <c r="A231" s="93"/>
      <c r="B231" s="93"/>
      <c r="C231" s="26"/>
      <c r="D231" s="27" t="s">
        <v>319</v>
      </c>
      <c r="E231" s="2" t="s">
        <v>507</v>
      </c>
      <c r="F231" s="28" t="s">
        <v>319</v>
      </c>
      <c r="G231" s="28" t="s">
        <v>319</v>
      </c>
      <c r="H231" s="28" t="s">
        <v>319</v>
      </c>
      <c r="I231" s="6" t="s">
        <v>384</v>
      </c>
      <c r="J231" s="28" t="s">
        <v>319</v>
      </c>
      <c r="K231" s="28" t="s">
        <v>319</v>
      </c>
      <c r="L231" s="28" t="s">
        <v>319</v>
      </c>
      <c r="M231" s="28" t="s">
        <v>319</v>
      </c>
      <c r="N231" s="28" t="s">
        <v>319</v>
      </c>
      <c r="O231" s="28" t="s">
        <v>319</v>
      </c>
      <c r="P231" s="28" t="s">
        <v>319</v>
      </c>
      <c r="Q231" s="5" t="s">
        <v>754</v>
      </c>
      <c r="R231" s="5" t="s">
        <v>667</v>
      </c>
      <c r="S231" s="6" t="s">
        <v>678</v>
      </c>
      <c r="T231" s="5"/>
      <c r="U231" s="106">
        <v>10000</v>
      </c>
      <c r="V231" s="5"/>
      <c r="W231" s="6" t="s">
        <v>665</v>
      </c>
      <c r="X231" s="5"/>
      <c r="Y231" s="111">
        <v>28</v>
      </c>
      <c r="Z231" s="5"/>
      <c r="AA231" s="6" t="s">
        <v>963</v>
      </c>
      <c r="AB231" s="6"/>
      <c r="AC231" s="13">
        <v>26</v>
      </c>
      <c r="AD231" s="6"/>
      <c r="AE231" s="6" t="s">
        <v>956</v>
      </c>
      <c r="AF231" s="6"/>
      <c r="AG231" s="5">
        <v>40</v>
      </c>
      <c r="AH231" s="6"/>
      <c r="AI231" s="6" t="s">
        <v>965</v>
      </c>
      <c r="AJ231" s="5"/>
      <c r="AK231" s="5">
        <v>9.9000000000000008E-3</v>
      </c>
      <c r="AL231" s="6"/>
      <c r="AM231" s="6" t="s">
        <v>1259</v>
      </c>
      <c r="AN231" s="6"/>
      <c r="AO231" s="5"/>
      <c r="AP231" s="6"/>
      <c r="AQ231" s="28" t="s">
        <v>319</v>
      </c>
      <c r="AR231" s="28" t="s">
        <v>319</v>
      </c>
      <c r="AS231" s="28" t="s">
        <v>319</v>
      </c>
      <c r="AT231" s="28" t="s">
        <v>319</v>
      </c>
      <c r="AU231" s="28" t="s">
        <v>319</v>
      </c>
      <c r="AV231" s="28" t="s">
        <v>319</v>
      </c>
      <c r="AW231" s="28" t="s">
        <v>319</v>
      </c>
      <c r="AX231" s="28" t="s">
        <v>319</v>
      </c>
      <c r="AY231" s="28" t="s">
        <v>319</v>
      </c>
      <c r="AZ231" s="28" t="s">
        <v>319</v>
      </c>
      <c r="BA231" s="28" t="s">
        <v>319</v>
      </c>
      <c r="BB231" s="6" t="s">
        <v>984</v>
      </c>
      <c r="BC231" s="5">
        <v>-104</v>
      </c>
      <c r="BD231" s="106">
        <v>65</v>
      </c>
      <c r="BE231" s="6" t="s">
        <v>1010</v>
      </c>
      <c r="BF231" s="6"/>
      <c r="BG231" s="12">
        <v>42.5</v>
      </c>
      <c r="BH231" s="28" t="s">
        <v>319</v>
      </c>
      <c r="BI231" s="28" t="s">
        <v>319</v>
      </c>
      <c r="BJ231" s="28" t="s">
        <v>319</v>
      </c>
      <c r="BK231" s="28" t="s">
        <v>319</v>
      </c>
      <c r="BL231" s="28" t="s">
        <v>319</v>
      </c>
      <c r="BM231" s="28" t="s">
        <v>319</v>
      </c>
      <c r="BN231" s="28" t="s">
        <v>319</v>
      </c>
      <c r="BO231" s="28" t="s">
        <v>319</v>
      </c>
      <c r="BP231" s="28" t="s">
        <v>319</v>
      </c>
      <c r="BQ231" s="28" t="s">
        <v>319</v>
      </c>
      <c r="BR231" s="5"/>
      <c r="BS231" s="12"/>
      <c r="BT231" s="155"/>
      <c r="BU231" s="12">
        <v>28.1</v>
      </c>
      <c r="BV231" s="6" t="s">
        <v>1041</v>
      </c>
      <c r="BW231" s="105">
        <v>1.37</v>
      </c>
      <c r="BX231" s="6"/>
      <c r="BY231" s="6"/>
      <c r="BZ231" s="30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9"/>
      <c r="DB231" s="6"/>
      <c r="DC231" s="30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 t="s">
        <v>319</v>
      </c>
      <c r="DO231" s="28" t="s">
        <v>319</v>
      </c>
      <c r="DP231" s="28" t="s">
        <v>319</v>
      </c>
      <c r="DQ231" s="28" t="s">
        <v>319</v>
      </c>
      <c r="DR231" s="28" t="s">
        <v>319</v>
      </c>
      <c r="DS231" s="28" t="s">
        <v>319</v>
      </c>
      <c r="DT231" s="28" t="s">
        <v>319</v>
      </c>
      <c r="DU231" s="28" t="s">
        <v>319</v>
      </c>
      <c r="DV231" s="28" t="s">
        <v>319</v>
      </c>
      <c r="DW231" s="28" t="s">
        <v>319</v>
      </c>
      <c r="DX231" s="28" t="s">
        <v>319</v>
      </c>
      <c r="DY231" s="28" t="s">
        <v>319</v>
      </c>
      <c r="DZ231" s="28" t="s">
        <v>319</v>
      </c>
      <c r="EA231" s="28" t="s">
        <v>319</v>
      </c>
      <c r="EB231" s="28" t="s">
        <v>319</v>
      </c>
      <c r="EC231" s="28" t="s">
        <v>319</v>
      </c>
      <c r="ED231" s="28" t="s">
        <v>319</v>
      </c>
      <c r="EE231" s="28"/>
      <c r="EF231" s="28" t="s">
        <v>319</v>
      </c>
      <c r="EG231" s="28" t="s">
        <v>319</v>
      </c>
      <c r="EH231" s="28" t="s">
        <v>319</v>
      </c>
      <c r="EI231" s="28" t="s">
        <v>319</v>
      </c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7"/>
      <c r="FK231" s="6"/>
      <c r="FL231" s="6"/>
      <c r="FM231" s="94"/>
    </row>
    <row r="232" spans="1:169" s="3" customFormat="1" ht="34.799999999999997" x14ac:dyDescent="0.4">
      <c r="A232" s="93"/>
      <c r="B232" s="93"/>
      <c r="C232" s="26"/>
      <c r="D232" s="27" t="s">
        <v>319</v>
      </c>
      <c r="E232" s="2" t="s">
        <v>385</v>
      </c>
      <c r="F232" s="28" t="s">
        <v>319</v>
      </c>
      <c r="G232" s="28" t="s">
        <v>319</v>
      </c>
      <c r="H232" s="28" t="s">
        <v>319</v>
      </c>
      <c r="I232" s="6" t="s">
        <v>386</v>
      </c>
      <c r="J232" s="28" t="s">
        <v>319</v>
      </c>
      <c r="K232" s="28" t="s">
        <v>319</v>
      </c>
      <c r="L232" s="28" t="s">
        <v>319</v>
      </c>
      <c r="M232" s="28" t="s">
        <v>319</v>
      </c>
      <c r="N232" s="28" t="s">
        <v>319</v>
      </c>
      <c r="O232" s="28" t="s">
        <v>319</v>
      </c>
      <c r="P232" s="28" t="s">
        <v>319</v>
      </c>
      <c r="Q232" s="5" t="s">
        <v>1384</v>
      </c>
      <c r="R232" s="5" t="s">
        <v>663</v>
      </c>
      <c r="S232" s="6" t="s">
        <v>669</v>
      </c>
      <c r="T232" s="106">
        <v>34998</v>
      </c>
      <c r="U232" s="106">
        <v>58330</v>
      </c>
      <c r="V232" s="106">
        <v>64163</v>
      </c>
      <c r="W232" s="6" t="s">
        <v>665</v>
      </c>
      <c r="X232" s="108">
        <v>19.361000000000001</v>
      </c>
      <c r="Y232" s="108">
        <v>19.207999999999998</v>
      </c>
      <c r="Z232" s="108">
        <v>19.158999999999999</v>
      </c>
      <c r="AA232" s="6" t="s">
        <v>968</v>
      </c>
      <c r="AB232" s="6">
        <v>0.69999999999999929</v>
      </c>
      <c r="AC232" s="6">
        <v>0.69999999999999929</v>
      </c>
      <c r="AD232" s="6">
        <v>0.69999999999999929</v>
      </c>
      <c r="AE232" s="6" t="s">
        <v>956</v>
      </c>
      <c r="AF232" s="6"/>
      <c r="AG232" s="12">
        <v>-97</v>
      </c>
      <c r="AH232" s="6"/>
      <c r="AI232" s="6" t="s">
        <v>965</v>
      </c>
      <c r="AJ232" s="112"/>
      <c r="AK232" s="108">
        <v>0.14899999999999999</v>
      </c>
      <c r="AL232" s="6"/>
      <c r="AM232" s="6" t="s">
        <v>958</v>
      </c>
      <c r="AN232" s="6"/>
      <c r="AO232" s="105">
        <v>19.239999999999998</v>
      </c>
      <c r="AP232" s="6"/>
      <c r="AQ232" s="28" t="s">
        <v>319</v>
      </c>
      <c r="AR232" s="28" t="s">
        <v>319</v>
      </c>
      <c r="AS232" s="28" t="s">
        <v>319</v>
      </c>
      <c r="AT232" s="28" t="s">
        <v>319</v>
      </c>
      <c r="AU232" s="28" t="s">
        <v>319</v>
      </c>
      <c r="AV232" s="28" t="s">
        <v>319</v>
      </c>
      <c r="AW232" s="28" t="s">
        <v>319</v>
      </c>
      <c r="AX232" s="28" t="s">
        <v>319</v>
      </c>
      <c r="AY232" s="28" t="s">
        <v>319</v>
      </c>
      <c r="AZ232" s="28" t="s">
        <v>319</v>
      </c>
      <c r="BA232" s="28" t="s">
        <v>319</v>
      </c>
      <c r="BB232" s="6" t="s">
        <v>984</v>
      </c>
      <c r="BC232" s="106">
        <v>-104</v>
      </c>
      <c r="BD232" s="106">
        <v>65</v>
      </c>
      <c r="BE232" s="6" t="s">
        <v>1008</v>
      </c>
      <c r="BF232" s="6"/>
      <c r="BG232" s="12">
        <v>28</v>
      </c>
      <c r="BH232" s="28" t="s">
        <v>319</v>
      </c>
      <c r="BI232" s="28" t="s">
        <v>319</v>
      </c>
      <c r="BJ232" s="28" t="s">
        <v>319</v>
      </c>
      <c r="BK232" s="28" t="s">
        <v>319</v>
      </c>
      <c r="BL232" s="28" t="s">
        <v>319</v>
      </c>
      <c r="BM232" s="28" t="s">
        <v>319</v>
      </c>
      <c r="BN232" s="28" t="s">
        <v>319</v>
      </c>
      <c r="BO232" s="28" t="s">
        <v>319</v>
      </c>
      <c r="BP232" s="28" t="s">
        <v>319</v>
      </c>
      <c r="BQ232" s="28" t="s">
        <v>319</v>
      </c>
      <c r="BR232" s="105">
        <v>51.31</v>
      </c>
      <c r="BS232" s="12">
        <v>556.70000000000005</v>
      </c>
      <c r="BT232" s="6"/>
      <c r="BU232" s="5"/>
      <c r="BV232" s="6"/>
      <c r="BW232" s="111"/>
      <c r="BX232" s="6"/>
      <c r="BY232" s="6"/>
      <c r="BZ232" s="30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9"/>
      <c r="DB232" s="6"/>
      <c r="DC232" s="30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 t="s">
        <v>319</v>
      </c>
      <c r="DO232" s="28" t="s">
        <v>319</v>
      </c>
      <c r="DP232" s="28" t="s">
        <v>319</v>
      </c>
      <c r="DQ232" s="28" t="s">
        <v>319</v>
      </c>
      <c r="DR232" s="28" t="s">
        <v>319</v>
      </c>
      <c r="DS232" s="28" t="s">
        <v>319</v>
      </c>
      <c r="DT232" s="28" t="s">
        <v>319</v>
      </c>
      <c r="DU232" s="28" t="s">
        <v>319</v>
      </c>
      <c r="DV232" s="28" t="s">
        <v>319</v>
      </c>
      <c r="DW232" s="28" t="s">
        <v>319</v>
      </c>
      <c r="DX232" s="28" t="s">
        <v>319</v>
      </c>
      <c r="DY232" s="28" t="s">
        <v>319</v>
      </c>
      <c r="DZ232" s="28" t="s">
        <v>319</v>
      </c>
      <c r="EA232" s="28" t="s">
        <v>319</v>
      </c>
      <c r="EB232" s="28" t="s">
        <v>319</v>
      </c>
      <c r="EC232" s="28" t="s">
        <v>319</v>
      </c>
      <c r="ED232" s="28" t="s">
        <v>319</v>
      </c>
      <c r="EE232" s="28"/>
      <c r="EF232" s="28" t="s">
        <v>319</v>
      </c>
      <c r="EG232" s="28" t="s">
        <v>319</v>
      </c>
      <c r="EH232" s="28" t="s">
        <v>319</v>
      </c>
      <c r="EI232" s="28" t="s">
        <v>319</v>
      </c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7"/>
      <c r="FK232" s="6"/>
      <c r="FL232" s="6"/>
      <c r="FM232" s="97"/>
    </row>
    <row r="233" spans="1:169" s="3" customFormat="1" ht="34.799999999999997" x14ac:dyDescent="0.4">
      <c r="A233" s="93"/>
      <c r="B233" s="93"/>
      <c r="C233" s="26"/>
      <c r="D233" s="27" t="s">
        <v>319</v>
      </c>
      <c r="E233" s="2" t="s">
        <v>474</v>
      </c>
      <c r="F233" s="28" t="s">
        <v>319</v>
      </c>
      <c r="G233" s="28" t="s">
        <v>319</v>
      </c>
      <c r="H233" s="28" t="s">
        <v>319</v>
      </c>
      <c r="I233" s="6" t="s">
        <v>386</v>
      </c>
      <c r="J233" s="28" t="s">
        <v>319</v>
      </c>
      <c r="K233" s="28" t="s">
        <v>319</v>
      </c>
      <c r="L233" s="28" t="s">
        <v>319</v>
      </c>
      <c r="M233" s="28" t="s">
        <v>319</v>
      </c>
      <c r="N233" s="28" t="s">
        <v>319</v>
      </c>
      <c r="O233" s="28" t="s">
        <v>319</v>
      </c>
      <c r="P233" s="28" t="s">
        <v>319</v>
      </c>
      <c r="Q233" s="5" t="s">
        <v>1384</v>
      </c>
      <c r="R233" s="5" t="s">
        <v>663</v>
      </c>
      <c r="S233" s="6" t="s">
        <v>669</v>
      </c>
      <c r="T233" s="106">
        <v>11023</v>
      </c>
      <c r="U233" s="106">
        <v>18371</v>
      </c>
      <c r="V233" s="106">
        <v>20208</v>
      </c>
      <c r="W233" s="6" t="s">
        <v>665</v>
      </c>
      <c r="X233" s="108">
        <v>19.542000000000002</v>
      </c>
      <c r="Y233" s="108">
        <v>19.376999999999999</v>
      </c>
      <c r="Z233" s="108">
        <v>19.323</v>
      </c>
      <c r="AA233" s="6" t="s">
        <v>963</v>
      </c>
      <c r="AB233" s="6">
        <v>16.145000000000003</v>
      </c>
      <c r="AC233" s="6">
        <v>15.93</v>
      </c>
      <c r="AD233" s="6">
        <v>15.859</v>
      </c>
      <c r="AE233" s="6" t="s">
        <v>956</v>
      </c>
      <c r="AF233" s="6"/>
      <c r="AG233" s="12">
        <v>-47</v>
      </c>
      <c r="AH233" s="6"/>
      <c r="AI233" s="6" t="s">
        <v>965</v>
      </c>
      <c r="AJ233" s="112"/>
      <c r="AK233" s="108">
        <v>7.9000000000000001E-2</v>
      </c>
      <c r="AL233" s="6"/>
      <c r="AM233" s="6" t="s">
        <v>958</v>
      </c>
      <c r="AN233" s="6"/>
      <c r="AO233" s="105">
        <v>11.97</v>
      </c>
      <c r="AP233" s="6"/>
      <c r="AQ233" s="28" t="s">
        <v>319</v>
      </c>
      <c r="AR233" s="28" t="s">
        <v>319</v>
      </c>
      <c r="AS233" s="28" t="s">
        <v>319</v>
      </c>
      <c r="AT233" s="28" t="s">
        <v>319</v>
      </c>
      <c r="AU233" s="28" t="s">
        <v>319</v>
      </c>
      <c r="AV233" s="28" t="s">
        <v>319</v>
      </c>
      <c r="AW233" s="28" t="s">
        <v>319</v>
      </c>
      <c r="AX233" s="28" t="s">
        <v>319</v>
      </c>
      <c r="AY233" s="28" t="s">
        <v>319</v>
      </c>
      <c r="AZ233" s="28" t="s">
        <v>319</v>
      </c>
      <c r="BA233" s="28" t="s">
        <v>319</v>
      </c>
      <c r="BB233" s="6" t="s">
        <v>984</v>
      </c>
      <c r="BC233" s="106">
        <v>-104</v>
      </c>
      <c r="BD233" s="106">
        <v>65</v>
      </c>
      <c r="BE233" s="6" t="s">
        <v>1010</v>
      </c>
      <c r="BF233" s="6"/>
      <c r="BG233" s="12">
        <v>28</v>
      </c>
      <c r="BH233" s="28" t="s">
        <v>319</v>
      </c>
      <c r="BI233" s="28" t="s">
        <v>319</v>
      </c>
      <c r="BJ233" s="28" t="s">
        <v>319</v>
      </c>
      <c r="BK233" s="28" t="s">
        <v>319</v>
      </c>
      <c r="BL233" s="28" t="s">
        <v>319</v>
      </c>
      <c r="BM233" s="28" t="s">
        <v>319</v>
      </c>
      <c r="BN233" s="28" t="s">
        <v>319</v>
      </c>
      <c r="BO233" s="28" t="s">
        <v>319</v>
      </c>
      <c r="BP233" s="28" t="s">
        <v>319</v>
      </c>
      <c r="BQ233" s="28" t="s">
        <v>319</v>
      </c>
      <c r="BR233" s="105">
        <v>51.31</v>
      </c>
      <c r="BS233" s="12">
        <v>474.6</v>
      </c>
      <c r="BT233" s="6"/>
      <c r="BU233" s="5"/>
      <c r="BV233" s="6"/>
      <c r="BW233" s="111"/>
      <c r="BX233" s="6" t="s">
        <v>1054</v>
      </c>
      <c r="BY233" s="6"/>
      <c r="BZ233" s="30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9"/>
      <c r="DB233" s="6"/>
      <c r="DC233" s="30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 t="s">
        <v>319</v>
      </c>
      <c r="DO233" s="28" t="s">
        <v>319</v>
      </c>
      <c r="DP233" s="28" t="s">
        <v>319</v>
      </c>
      <c r="DQ233" s="28" t="s">
        <v>319</v>
      </c>
      <c r="DR233" s="28" t="s">
        <v>319</v>
      </c>
      <c r="DS233" s="28" t="s">
        <v>319</v>
      </c>
      <c r="DT233" s="28" t="s">
        <v>319</v>
      </c>
      <c r="DU233" s="28" t="s">
        <v>319</v>
      </c>
      <c r="DV233" s="28" t="s">
        <v>319</v>
      </c>
      <c r="DW233" s="28" t="s">
        <v>319</v>
      </c>
      <c r="DX233" s="28" t="s">
        <v>319</v>
      </c>
      <c r="DY233" s="28" t="s">
        <v>319</v>
      </c>
      <c r="DZ233" s="28" t="s">
        <v>319</v>
      </c>
      <c r="EA233" s="28" t="s">
        <v>319</v>
      </c>
      <c r="EB233" s="28" t="s">
        <v>319</v>
      </c>
      <c r="EC233" s="28" t="s">
        <v>319</v>
      </c>
      <c r="ED233" s="28" t="s">
        <v>319</v>
      </c>
      <c r="EE233" s="28"/>
      <c r="EF233" s="28" t="s">
        <v>319</v>
      </c>
      <c r="EG233" s="28" t="s">
        <v>319</v>
      </c>
      <c r="EH233" s="28" t="s">
        <v>319</v>
      </c>
      <c r="EI233" s="28" t="s">
        <v>319</v>
      </c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7"/>
      <c r="FK233" s="6"/>
      <c r="FL233" s="6"/>
      <c r="FM233" s="97"/>
    </row>
    <row r="234" spans="1:169" s="3" customFormat="1" ht="34.799999999999997" x14ac:dyDescent="0.4">
      <c r="A234" s="93"/>
      <c r="B234" s="93"/>
      <c r="C234" s="26"/>
      <c r="D234" s="27" t="s">
        <v>319</v>
      </c>
      <c r="E234" s="2" t="s">
        <v>475</v>
      </c>
      <c r="F234" s="28" t="s">
        <v>319</v>
      </c>
      <c r="G234" s="28" t="s">
        <v>319</v>
      </c>
      <c r="H234" s="28" t="s">
        <v>319</v>
      </c>
      <c r="I234" s="6" t="s">
        <v>386</v>
      </c>
      <c r="J234" s="28" t="s">
        <v>319</v>
      </c>
      <c r="K234" s="28" t="s">
        <v>319</v>
      </c>
      <c r="L234" s="28" t="s">
        <v>319</v>
      </c>
      <c r="M234" s="28" t="s">
        <v>319</v>
      </c>
      <c r="N234" s="28" t="s">
        <v>319</v>
      </c>
      <c r="O234" s="28" t="s">
        <v>319</v>
      </c>
      <c r="P234" s="28" t="s">
        <v>319</v>
      </c>
      <c r="Q234" s="5" t="s">
        <v>1384</v>
      </c>
      <c r="R234" s="5" t="s">
        <v>663</v>
      </c>
      <c r="S234" s="6" t="s">
        <v>678</v>
      </c>
      <c r="T234" s="106">
        <v>5282</v>
      </c>
      <c r="U234" s="106">
        <v>8803</v>
      </c>
      <c r="V234" s="106">
        <v>9684</v>
      </c>
      <c r="W234" s="6" t="s">
        <v>665</v>
      </c>
      <c r="X234" s="105">
        <v>3.29</v>
      </c>
      <c r="Y234" s="105">
        <v>3.07</v>
      </c>
      <c r="Z234" s="105">
        <v>3</v>
      </c>
      <c r="AA234" s="6" t="s">
        <v>963</v>
      </c>
      <c r="AB234" s="6">
        <v>2.77</v>
      </c>
      <c r="AC234" s="6">
        <v>2.4899999999999998</v>
      </c>
      <c r="AD234" s="6">
        <v>2.41</v>
      </c>
      <c r="AE234" s="6" t="s">
        <v>956</v>
      </c>
      <c r="AF234" s="6"/>
      <c r="AG234" s="12">
        <v>-75.5</v>
      </c>
      <c r="AH234" s="6"/>
      <c r="AI234" s="6" t="s">
        <v>977</v>
      </c>
      <c r="AJ234" s="108"/>
      <c r="AK234" s="108">
        <v>0.112</v>
      </c>
      <c r="AL234" s="6"/>
      <c r="AM234" s="6" t="s">
        <v>958</v>
      </c>
      <c r="AN234" s="6"/>
      <c r="AO234" s="105">
        <v>4.22</v>
      </c>
      <c r="AP234" s="6"/>
      <c r="AQ234" s="28" t="s">
        <v>319</v>
      </c>
      <c r="AR234" s="28" t="s">
        <v>319</v>
      </c>
      <c r="AS234" s="28" t="s">
        <v>319</v>
      </c>
      <c r="AT234" s="28" t="s">
        <v>319</v>
      </c>
      <c r="AU234" s="28" t="s">
        <v>319</v>
      </c>
      <c r="AV234" s="28" t="s">
        <v>319</v>
      </c>
      <c r="AW234" s="28" t="s">
        <v>319</v>
      </c>
      <c r="AX234" s="28" t="s">
        <v>319</v>
      </c>
      <c r="AY234" s="28" t="s">
        <v>319</v>
      </c>
      <c r="AZ234" s="28" t="s">
        <v>319</v>
      </c>
      <c r="BA234" s="28" t="s">
        <v>319</v>
      </c>
      <c r="BB234" s="6" t="s">
        <v>984</v>
      </c>
      <c r="BC234" s="106">
        <v>-104</v>
      </c>
      <c r="BD234" s="106">
        <v>65</v>
      </c>
      <c r="BE234" s="6" t="s">
        <v>1010</v>
      </c>
      <c r="BF234" s="6"/>
      <c r="BG234" s="12">
        <v>12</v>
      </c>
      <c r="BH234" s="28" t="s">
        <v>319</v>
      </c>
      <c r="BI234" s="28" t="s">
        <v>319</v>
      </c>
      <c r="BJ234" s="28" t="s">
        <v>319</v>
      </c>
      <c r="BK234" s="28" t="s">
        <v>319</v>
      </c>
      <c r="BL234" s="28" t="s">
        <v>319</v>
      </c>
      <c r="BM234" s="28" t="s">
        <v>319</v>
      </c>
      <c r="BN234" s="28" t="s">
        <v>319</v>
      </c>
      <c r="BO234" s="28" t="s">
        <v>319</v>
      </c>
      <c r="BP234" s="28" t="s">
        <v>319</v>
      </c>
      <c r="BQ234" s="28" t="s">
        <v>319</v>
      </c>
      <c r="BR234" s="105">
        <v>51.31</v>
      </c>
      <c r="BS234" s="12">
        <v>524.29999999999995</v>
      </c>
      <c r="BT234" s="6"/>
      <c r="BU234" s="5"/>
      <c r="BV234" s="6"/>
      <c r="BW234" s="111"/>
      <c r="BX234" s="6" t="s">
        <v>1054</v>
      </c>
      <c r="BY234" s="6"/>
      <c r="BZ234" s="30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9"/>
      <c r="DB234" s="6"/>
      <c r="DC234" s="30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 t="s">
        <v>319</v>
      </c>
      <c r="DO234" s="28" t="s">
        <v>319</v>
      </c>
      <c r="DP234" s="28" t="s">
        <v>319</v>
      </c>
      <c r="DQ234" s="28" t="s">
        <v>319</v>
      </c>
      <c r="DR234" s="28" t="s">
        <v>319</v>
      </c>
      <c r="DS234" s="28" t="s">
        <v>319</v>
      </c>
      <c r="DT234" s="28" t="s">
        <v>319</v>
      </c>
      <c r="DU234" s="28" t="s">
        <v>319</v>
      </c>
      <c r="DV234" s="28" t="s">
        <v>319</v>
      </c>
      <c r="DW234" s="28" t="s">
        <v>319</v>
      </c>
      <c r="DX234" s="28" t="s">
        <v>319</v>
      </c>
      <c r="DY234" s="28" t="s">
        <v>319</v>
      </c>
      <c r="DZ234" s="28" t="s">
        <v>319</v>
      </c>
      <c r="EA234" s="28" t="s">
        <v>319</v>
      </c>
      <c r="EB234" s="28" t="s">
        <v>319</v>
      </c>
      <c r="EC234" s="28" t="s">
        <v>319</v>
      </c>
      <c r="ED234" s="28" t="s">
        <v>319</v>
      </c>
      <c r="EE234" s="28"/>
      <c r="EF234" s="28" t="s">
        <v>319</v>
      </c>
      <c r="EG234" s="28" t="s">
        <v>319</v>
      </c>
      <c r="EH234" s="28" t="s">
        <v>319</v>
      </c>
      <c r="EI234" s="28" t="s">
        <v>319</v>
      </c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7"/>
      <c r="FK234" s="6"/>
      <c r="FL234" s="6"/>
      <c r="FM234" s="97"/>
    </row>
    <row r="235" spans="1:169" s="43" customFormat="1" x14ac:dyDescent="0.4">
      <c r="C235" s="45"/>
      <c r="D235" s="32" t="s">
        <v>319</v>
      </c>
      <c r="E235" s="33" t="s">
        <v>547</v>
      </c>
      <c r="F235" s="34" t="s">
        <v>319</v>
      </c>
      <c r="G235" s="34" t="s">
        <v>319</v>
      </c>
      <c r="H235" s="34" t="s">
        <v>319</v>
      </c>
      <c r="I235" s="35" t="s">
        <v>661</v>
      </c>
      <c r="J235" s="34" t="s">
        <v>319</v>
      </c>
      <c r="K235" s="34" t="s">
        <v>319</v>
      </c>
      <c r="L235" s="34" t="s">
        <v>319</v>
      </c>
      <c r="M235" s="34" t="s">
        <v>319</v>
      </c>
      <c r="N235" s="34" t="s">
        <v>319</v>
      </c>
      <c r="O235" s="34" t="s">
        <v>319</v>
      </c>
      <c r="P235" s="34" t="s">
        <v>319</v>
      </c>
      <c r="Q235" s="36" t="s">
        <v>676</v>
      </c>
      <c r="R235" s="36" t="s">
        <v>663</v>
      </c>
      <c r="S235" s="35" t="s">
        <v>678</v>
      </c>
      <c r="T235" s="36"/>
      <c r="U235" s="36"/>
      <c r="V235" s="40">
        <f>92471.5*0.4</f>
        <v>36988.6</v>
      </c>
      <c r="W235" s="35" t="s">
        <v>665</v>
      </c>
      <c r="X235" s="36"/>
      <c r="Y235" s="37">
        <v>8.82</v>
      </c>
      <c r="Z235" s="171" t="s">
        <v>1284</v>
      </c>
      <c r="AA235" s="35" t="s">
        <v>971</v>
      </c>
      <c r="AB235" s="35"/>
      <c r="AC235" s="166">
        <v>8.5299999999999994</v>
      </c>
      <c r="AD235" s="172" t="s">
        <v>1297</v>
      </c>
      <c r="AE235" s="35" t="s">
        <v>956</v>
      </c>
      <c r="AF235" s="35"/>
      <c r="AG235" s="38">
        <v>49</v>
      </c>
      <c r="AH235" s="35"/>
      <c r="AI235" s="35" t="s">
        <v>965</v>
      </c>
      <c r="AJ235" s="36"/>
      <c r="AK235" s="39">
        <v>0.55640000000000001</v>
      </c>
      <c r="AL235" s="35"/>
      <c r="AM235" s="35" t="s">
        <v>958</v>
      </c>
      <c r="AN235" s="35"/>
      <c r="AO235" s="37">
        <v>0.12</v>
      </c>
      <c r="AP235" s="35"/>
      <c r="AQ235" s="34" t="s">
        <v>319</v>
      </c>
      <c r="AR235" s="34" t="s">
        <v>319</v>
      </c>
      <c r="AS235" s="34" t="s">
        <v>319</v>
      </c>
      <c r="AT235" s="34" t="s">
        <v>319</v>
      </c>
      <c r="AU235" s="34" t="s">
        <v>319</v>
      </c>
      <c r="AV235" s="34" t="s">
        <v>319</v>
      </c>
      <c r="AW235" s="34" t="s">
        <v>319</v>
      </c>
      <c r="AX235" s="34" t="s">
        <v>319</v>
      </c>
      <c r="AY235" s="34" t="s">
        <v>319</v>
      </c>
      <c r="AZ235" s="34" t="s">
        <v>319</v>
      </c>
      <c r="BA235" s="34" t="s">
        <v>319</v>
      </c>
      <c r="BB235" s="35" t="s">
        <v>984</v>
      </c>
      <c r="BC235" s="36" t="s">
        <v>1011</v>
      </c>
      <c r="BD235" s="40">
        <v>150</v>
      </c>
      <c r="BE235" s="35" t="s">
        <v>1010</v>
      </c>
      <c r="BF235" s="35"/>
      <c r="BG235" s="164">
        <v>14.5</v>
      </c>
      <c r="BH235" s="34" t="s">
        <v>319</v>
      </c>
      <c r="BI235" s="34" t="s">
        <v>319</v>
      </c>
      <c r="BJ235" s="34" t="s">
        <v>319</v>
      </c>
      <c r="BK235" s="34" t="s">
        <v>319</v>
      </c>
      <c r="BL235" s="34" t="s">
        <v>319</v>
      </c>
      <c r="BM235" s="34" t="s">
        <v>319</v>
      </c>
      <c r="BN235" s="34" t="s">
        <v>319</v>
      </c>
      <c r="BO235" s="34" t="s">
        <v>319</v>
      </c>
      <c r="BP235" s="34" t="s">
        <v>319</v>
      </c>
      <c r="BQ235" s="34" t="s">
        <v>319</v>
      </c>
      <c r="BR235" s="38">
        <v>225.5</v>
      </c>
      <c r="BS235" s="37">
        <v>988.78</v>
      </c>
      <c r="BT235" s="35"/>
      <c r="BU235" s="36"/>
      <c r="BV235" s="35"/>
      <c r="BW235" s="47"/>
      <c r="BX235" s="35"/>
      <c r="BY235" s="35"/>
      <c r="BZ235" s="42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41"/>
      <c r="DB235" s="35"/>
      <c r="DC235" s="42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 t="s">
        <v>319</v>
      </c>
      <c r="DO235" s="34" t="s">
        <v>319</v>
      </c>
      <c r="DP235" s="34" t="s">
        <v>319</v>
      </c>
      <c r="DQ235" s="34" t="s">
        <v>319</v>
      </c>
      <c r="DR235" s="34" t="s">
        <v>319</v>
      </c>
      <c r="DS235" s="34" t="s">
        <v>319</v>
      </c>
      <c r="DT235" s="34" t="s">
        <v>319</v>
      </c>
      <c r="DU235" s="34" t="s">
        <v>319</v>
      </c>
      <c r="DV235" s="34" t="s">
        <v>319</v>
      </c>
      <c r="DW235" s="34" t="s">
        <v>319</v>
      </c>
      <c r="DX235" s="34" t="s">
        <v>319</v>
      </c>
      <c r="DY235" s="34" t="s">
        <v>319</v>
      </c>
      <c r="DZ235" s="34" t="s">
        <v>319</v>
      </c>
      <c r="EA235" s="34" t="s">
        <v>319</v>
      </c>
      <c r="EB235" s="34" t="s">
        <v>319</v>
      </c>
      <c r="EC235" s="34" t="s">
        <v>319</v>
      </c>
      <c r="ED235" s="34" t="s">
        <v>319</v>
      </c>
      <c r="EE235" s="34"/>
      <c r="EF235" s="34" t="s">
        <v>319</v>
      </c>
      <c r="EG235" s="34" t="s">
        <v>319</v>
      </c>
      <c r="EH235" s="34" t="s">
        <v>319</v>
      </c>
      <c r="EI235" s="34" t="s">
        <v>319</v>
      </c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2"/>
      <c r="FK235" s="35"/>
      <c r="FL235" s="35"/>
      <c r="FM235" s="86"/>
    </row>
    <row r="236" spans="1:169" s="43" customFormat="1" x14ac:dyDescent="0.4">
      <c r="C236" s="45"/>
      <c r="D236" s="32" t="s">
        <v>319</v>
      </c>
      <c r="E236" s="33" t="s">
        <v>548</v>
      </c>
      <c r="F236" s="34" t="s">
        <v>319</v>
      </c>
      <c r="G236" s="34" t="s">
        <v>319</v>
      </c>
      <c r="H236" s="34" t="s">
        <v>319</v>
      </c>
      <c r="I236" s="35" t="s">
        <v>661</v>
      </c>
      <c r="J236" s="34" t="s">
        <v>319</v>
      </c>
      <c r="K236" s="34" t="s">
        <v>319</v>
      </c>
      <c r="L236" s="34" t="s">
        <v>319</v>
      </c>
      <c r="M236" s="34" t="s">
        <v>319</v>
      </c>
      <c r="N236" s="34" t="s">
        <v>319</v>
      </c>
      <c r="O236" s="34" t="s">
        <v>319</v>
      </c>
      <c r="P236" s="34" t="s">
        <v>319</v>
      </c>
      <c r="Q236" s="36" t="s">
        <v>676</v>
      </c>
      <c r="R236" s="36" t="s">
        <v>663</v>
      </c>
      <c r="S236" s="35" t="s">
        <v>672</v>
      </c>
      <c r="T236" s="36"/>
      <c r="U236" s="168">
        <f>56.1*989</f>
        <v>55482.9</v>
      </c>
      <c r="V236" s="168">
        <f>93.5*989</f>
        <v>92471.5</v>
      </c>
      <c r="W236" s="35" t="s">
        <v>665</v>
      </c>
      <c r="X236" s="36"/>
      <c r="Y236" s="37">
        <v>8.3800000000000008</v>
      </c>
      <c r="Z236" s="37">
        <v>6.98</v>
      </c>
      <c r="AA236" s="35" t="s">
        <v>963</v>
      </c>
      <c r="AB236" s="35"/>
      <c r="AC236" s="35" t="s">
        <v>1296</v>
      </c>
      <c r="AD236" s="172" t="s">
        <v>1297</v>
      </c>
      <c r="AE236" s="35" t="s">
        <v>956</v>
      </c>
      <c r="AF236" s="35"/>
      <c r="AG236" s="38">
        <v>49</v>
      </c>
      <c r="AH236" s="35"/>
      <c r="AI236" s="35" t="s">
        <v>965</v>
      </c>
      <c r="AJ236" s="36"/>
      <c r="AK236" s="39">
        <v>0.55640000000000001</v>
      </c>
      <c r="AL236" s="35"/>
      <c r="AM236" s="35" t="s">
        <v>958</v>
      </c>
      <c r="AN236" s="35"/>
      <c r="AO236" s="37">
        <v>0.12</v>
      </c>
      <c r="AP236" s="35"/>
      <c r="AQ236" s="34" t="s">
        <v>319</v>
      </c>
      <c r="AR236" s="34" t="s">
        <v>319</v>
      </c>
      <c r="AS236" s="34" t="s">
        <v>319</v>
      </c>
      <c r="AT236" s="34" t="s">
        <v>319</v>
      </c>
      <c r="AU236" s="34" t="s">
        <v>319</v>
      </c>
      <c r="AV236" s="34" t="s">
        <v>319</v>
      </c>
      <c r="AW236" s="34" t="s">
        <v>319</v>
      </c>
      <c r="AX236" s="34" t="s">
        <v>319</v>
      </c>
      <c r="AY236" s="34" t="s">
        <v>319</v>
      </c>
      <c r="AZ236" s="34" t="s">
        <v>319</v>
      </c>
      <c r="BA236" s="34" t="s">
        <v>319</v>
      </c>
      <c r="BB236" s="35" t="s">
        <v>984</v>
      </c>
      <c r="BC236" s="36" t="s">
        <v>1011</v>
      </c>
      <c r="BD236" s="40">
        <v>150</v>
      </c>
      <c r="BE236" s="35" t="s">
        <v>1013</v>
      </c>
      <c r="BF236" s="35"/>
      <c r="BG236" s="164">
        <v>14.5</v>
      </c>
      <c r="BH236" s="34" t="s">
        <v>319</v>
      </c>
      <c r="BI236" s="34" t="s">
        <v>319</v>
      </c>
      <c r="BJ236" s="34" t="s">
        <v>319</v>
      </c>
      <c r="BK236" s="34" t="s">
        <v>319</v>
      </c>
      <c r="BL236" s="34" t="s">
        <v>319</v>
      </c>
      <c r="BM236" s="34" t="s">
        <v>319</v>
      </c>
      <c r="BN236" s="34" t="s">
        <v>319</v>
      </c>
      <c r="BO236" s="34" t="s">
        <v>319</v>
      </c>
      <c r="BP236" s="34" t="s">
        <v>319</v>
      </c>
      <c r="BQ236" s="34" t="s">
        <v>319</v>
      </c>
      <c r="BR236" s="38">
        <v>225.5</v>
      </c>
      <c r="BS236" s="37">
        <v>988.78</v>
      </c>
      <c r="BT236" s="35"/>
      <c r="BU236" s="36"/>
      <c r="BV236" s="35"/>
      <c r="BW236" s="47"/>
      <c r="BX236" s="35"/>
      <c r="BY236" s="35"/>
      <c r="BZ236" s="42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41"/>
      <c r="DB236" s="35"/>
      <c r="DC236" s="42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 t="s">
        <v>319</v>
      </c>
      <c r="DO236" s="34" t="s">
        <v>319</v>
      </c>
      <c r="DP236" s="34" t="s">
        <v>319</v>
      </c>
      <c r="DQ236" s="34" t="s">
        <v>319</v>
      </c>
      <c r="DR236" s="34" t="s">
        <v>319</v>
      </c>
      <c r="DS236" s="34" t="s">
        <v>319</v>
      </c>
      <c r="DT236" s="34" t="s">
        <v>319</v>
      </c>
      <c r="DU236" s="34" t="s">
        <v>319</v>
      </c>
      <c r="DV236" s="34" t="s">
        <v>319</v>
      </c>
      <c r="DW236" s="34" t="s">
        <v>319</v>
      </c>
      <c r="DX236" s="34" t="s">
        <v>319</v>
      </c>
      <c r="DY236" s="34" t="s">
        <v>319</v>
      </c>
      <c r="DZ236" s="34" t="s">
        <v>319</v>
      </c>
      <c r="EA236" s="34" t="s">
        <v>319</v>
      </c>
      <c r="EB236" s="34" t="s">
        <v>319</v>
      </c>
      <c r="EC236" s="34" t="s">
        <v>319</v>
      </c>
      <c r="ED236" s="34" t="s">
        <v>319</v>
      </c>
      <c r="EE236" s="34"/>
      <c r="EF236" s="34" t="s">
        <v>319</v>
      </c>
      <c r="EG236" s="34" t="s">
        <v>319</v>
      </c>
      <c r="EH236" s="34" t="s">
        <v>319</v>
      </c>
      <c r="EI236" s="34" t="s">
        <v>319</v>
      </c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2"/>
      <c r="FK236" s="35"/>
      <c r="FL236" s="35"/>
      <c r="FM236" s="86"/>
    </row>
    <row r="237" spans="1:169" s="22" customFormat="1" x14ac:dyDescent="0.4">
      <c r="C237" s="44"/>
      <c r="D237" s="17" t="s">
        <v>319</v>
      </c>
      <c r="E237" s="16" t="s">
        <v>1396</v>
      </c>
      <c r="F237" s="18" t="s">
        <v>319</v>
      </c>
      <c r="G237" s="18" t="s">
        <v>319</v>
      </c>
      <c r="H237" s="18" t="s">
        <v>319</v>
      </c>
      <c r="I237" s="8" t="s">
        <v>661</v>
      </c>
      <c r="J237" s="18" t="s">
        <v>319</v>
      </c>
      <c r="K237" s="18" t="s">
        <v>319</v>
      </c>
      <c r="L237" s="18" t="s">
        <v>319</v>
      </c>
      <c r="M237" s="18" t="s">
        <v>319</v>
      </c>
      <c r="N237" s="18" t="s">
        <v>319</v>
      </c>
      <c r="O237" s="18" t="s">
        <v>319</v>
      </c>
      <c r="P237" s="18" t="s">
        <v>319</v>
      </c>
      <c r="Q237" s="7" t="s">
        <v>676</v>
      </c>
      <c r="R237" s="7" t="s">
        <v>663</v>
      </c>
      <c r="S237" s="8" t="s">
        <v>664</v>
      </c>
      <c r="T237" s="7"/>
      <c r="U237" s="7"/>
      <c r="V237" s="232">
        <f>30*989</f>
        <v>29670</v>
      </c>
      <c r="W237" s="8" t="s">
        <v>665</v>
      </c>
      <c r="X237" s="7"/>
      <c r="Y237" s="218"/>
      <c r="Z237" s="254">
        <v>9.77</v>
      </c>
      <c r="AA237" s="8" t="s">
        <v>955</v>
      </c>
      <c r="AB237" s="8"/>
      <c r="AC237" s="252"/>
      <c r="AD237" s="253" t="s">
        <v>1487</v>
      </c>
      <c r="AE237" s="8" t="s">
        <v>956</v>
      </c>
      <c r="AF237" s="8"/>
      <c r="AG237" s="11">
        <v>49</v>
      </c>
      <c r="AH237" s="8"/>
      <c r="AI237" s="8" t="s">
        <v>957</v>
      </c>
      <c r="AJ237" s="7"/>
      <c r="AK237" s="23">
        <v>0.55640000000000001</v>
      </c>
      <c r="AL237" s="8"/>
      <c r="AM237" s="8" t="s">
        <v>958</v>
      </c>
      <c r="AN237" s="8"/>
      <c r="AO237" s="14">
        <v>0.12</v>
      </c>
      <c r="AP237" s="8"/>
      <c r="AQ237" s="18" t="s">
        <v>319</v>
      </c>
      <c r="AR237" s="18" t="s">
        <v>319</v>
      </c>
      <c r="AS237" s="18" t="s">
        <v>319</v>
      </c>
      <c r="AT237" s="18" t="s">
        <v>319</v>
      </c>
      <c r="AU237" s="18" t="s">
        <v>319</v>
      </c>
      <c r="AV237" s="18" t="s">
        <v>319</v>
      </c>
      <c r="AW237" s="18" t="s">
        <v>319</v>
      </c>
      <c r="AX237" s="18" t="s">
        <v>319</v>
      </c>
      <c r="AY237" s="18" t="s">
        <v>319</v>
      </c>
      <c r="AZ237" s="18" t="s">
        <v>319</v>
      </c>
      <c r="BA237" s="18" t="s">
        <v>319</v>
      </c>
      <c r="BB237" s="8" t="s">
        <v>984</v>
      </c>
      <c r="BC237" s="7" t="s">
        <v>680</v>
      </c>
      <c r="BD237" s="9">
        <v>150</v>
      </c>
      <c r="BE237" s="8" t="s">
        <v>1008</v>
      </c>
      <c r="BF237" s="8"/>
      <c r="BG237" s="173">
        <v>14.5</v>
      </c>
      <c r="BH237" s="18" t="s">
        <v>319</v>
      </c>
      <c r="BI237" s="18" t="s">
        <v>319</v>
      </c>
      <c r="BJ237" s="18" t="s">
        <v>319</v>
      </c>
      <c r="BK237" s="18" t="s">
        <v>319</v>
      </c>
      <c r="BL237" s="18" t="s">
        <v>319</v>
      </c>
      <c r="BM237" s="18" t="s">
        <v>319</v>
      </c>
      <c r="BN237" s="18" t="s">
        <v>319</v>
      </c>
      <c r="BO237" s="18" t="s">
        <v>319</v>
      </c>
      <c r="BP237" s="18" t="s">
        <v>319</v>
      </c>
      <c r="BQ237" s="18" t="s">
        <v>319</v>
      </c>
      <c r="BR237" s="11">
        <v>225.5</v>
      </c>
      <c r="BS237" s="14">
        <v>988.78</v>
      </c>
      <c r="BT237" s="8"/>
      <c r="BU237" s="7"/>
      <c r="BV237" s="8"/>
      <c r="BW237" s="31"/>
      <c r="BX237" s="8"/>
      <c r="BY237" s="8"/>
      <c r="BZ237" s="20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9"/>
      <c r="DB237" s="8"/>
      <c r="DC237" s="20"/>
      <c r="DD237" s="18"/>
      <c r="DE237" s="18"/>
      <c r="DF237" s="18"/>
      <c r="DG237" s="18"/>
      <c r="DH237" s="18"/>
      <c r="DI237" s="18"/>
      <c r="DJ237" s="18"/>
      <c r="DK237" s="18"/>
      <c r="DL237" s="18"/>
      <c r="DM237" s="18"/>
      <c r="DN237" s="18" t="s">
        <v>319</v>
      </c>
      <c r="DO237" s="18" t="s">
        <v>319</v>
      </c>
      <c r="DP237" s="18" t="s">
        <v>319</v>
      </c>
      <c r="DQ237" s="18" t="s">
        <v>319</v>
      </c>
      <c r="DR237" s="18" t="s">
        <v>319</v>
      </c>
      <c r="DS237" s="18" t="s">
        <v>319</v>
      </c>
      <c r="DT237" s="18" t="s">
        <v>319</v>
      </c>
      <c r="DU237" s="18" t="s">
        <v>319</v>
      </c>
      <c r="DV237" s="18" t="s">
        <v>319</v>
      </c>
      <c r="DW237" s="18" t="s">
        <v>319</v>
      </c>
      <c r="DX237" s="18" t="s">
        <v>319</v>
      </c>
      <c r="DY237" s="18" t="s">
        <v>319</v>
      </c>
      <c r="DZ237" s="18" t="s">
        <v>319</v>
      </c>
      <c r="EA237" s="18" t="s">
        <v>319</v>
      </c>
      <c r="EB237" s="18" t="s">
        <v>319</v>
      </c>
      <c r="EC237" s="18" t="s">
        <v>319</v>
      </c>
      <c r="ED237" s="18" t="s">
        <v>319</v>
      </c>
      <c r="EE237" s="18"/>
      <c r="EF237" s="18" t="s">
        <v>319</v>
      </c>
      <c r="EG237" s="18" t="s">
        <v>319</v>
      </c>
      <c r="EH237" s="18" t="s">
        <v>319</v>
      </c>
      <c r="EI237" s="18" t="s">
        <v>319</v>
      </c>
      <c r="EJ237" s="18"/>
      <c r="EK237" s="18"/>
      <c r="EL237" s="18"/>
      <c r="EM237" s="18"/>
      <c r="EN237" s="18"/>
      <c r="EO237" s="18"/>
      <c r="EP237" s="18"/>
      <c r="EQ237" s="18"/>
      <c r="ER237" s="18"/>
      <c r="ES237" s="18"/>
      <c r="ET237" s="18"/>
      <c r="EU237" s="18"/>
      <c r="EV237" s="18"/>
      <c r="EW237" s="18"/>
      <c r="EX237" s="18"/>
      <c r="EY237" s="18"/>
      <c r="EZ237" s="18"/>
      <c r="FA237" s="18"/>
      <c r="FB237" s="18"/>
      <c r="FC237" s="18"/>
      <c r="FD237" s="18"/>
      <c r="FE237" s="18"/>
      <c r="FF237" s="18"/>
      <c r="FG237" s="18"/>
      <c r="FH237" s="18"/>
      <c r="FI237" s="18"/>
      <c r="FJ237" s="17"/>
      <c r="FK237" s="8"/>
      <c r="FL237" s="8"/>
      <c r="FM237" s="174"/>
    </row>
    <row r="238" spans="1:169" s="22" customFormat="1" x14ac:dyDescent="0.4">
      <c r="C238" s="44"/>
      <c r="D238" s="17" t="s">
        <v>319</v>
      </c>
      <c r="E238" s="16" t="s">
        <v>1397</v>
      </c>
      <c r="F238" s="18" t="s">
        <v>319</v>
      </c>
      <c r="G238" s="18" t="s">
        <v>319</v>
      </c>
      <c r="H238" s="18" t="s">
        <v>319</v>
      </c>
      <c r="I238" s="8" t="s">
        <v>661</v>
      </c>
      <c r="J238" s="18" t="s">
        <v>319</v>
      </c>
      <c r="K238" s="18" t="s">
        <v>319</v>
      </c>
      <c r="L238" s="18" t="s">
        <v>319</v>
      </c>
      <c r="M238" s="18" t="s">
        <v>319</v>
      </c>
      <c r="N238" s="18" t="s">
        <v>319</v>
      </c>
      <c r="O238" s="18" t="s">
        <v>319</v>
      </c>
      <c r="P238" s="18" t="s">
        <v>319</v>
      </c>
      <c r="Q238" s="7" t="s">
        <v>676</v>
      </c>
      <c r="R238" s="7" t="s">
        <v>663</v>
      </c>
      <c r="S238" s="8" t="s">
        <v>664</v>
      </c>
      <c r="T238" s="7"/>
      <c r="U238" s="25">
        <f>56.1*989</f>
        <v>55482.9</v>
      </c>
      <c r="V238" s="25">
        <f>93.5*989</f>
        <v>92471.5</v>
      </c>
      <c r="W238" s="8" t="s">
        <v>665</v>
      </c>
      <c r="X238" s="7"/>
      <c r="Y238" s="14">
        <v>8.3800000000000008</v>
      </c>
      <c r="Z238" s="14">
        <v>6.98</v>
      </c>
      <c r="AA238" s="8" t="s">
        <v>955</v>
      </c>
      <c r="AB238" s="8"/>
      <c r="AC238" s="230">
        <v>3.57</v>
      </c>
      <c r="AD238" s="225">
        <f>0.7+0.98</f>
        <v>1.68</v>
      </c>
      <c r="AE238" s="8" t="s">
        <v>956</v>
      </c>
      <c r="AF238" s="8"/>
      <c r="AG238" s="11">
        <v>49</v>
      </c>
      <c r="AH238" s="8"/>
      <c r="AI238" s="8" t="s">
        <v>957</v>
      </c>
      <c r="AJ238" s="7"/>
      <c r="AK238" s="23">
        <v>0.55640000000000001</v>
      </c>
      <c r="AL238" s="8"/>
      <c r="AM238" s="8" t="s">
        <v>958</v>
      </c>
      <c r="AN238" s="8"/>
      <c r="AO238" s="14">
        <v>0.12</v>
      </c>
      <c r="AP238" s="8"/>
      <c r="AQ238" s="18" t="s">
        <v>319</v>
      </c>
      <c r="AR238" s="18" t="s">
        <v>319</v>
      </c>
      <c r="AS238" s="18" t="s">
        <v>319</v>
      </c>
      <c r="AT238" s="18" t="s">
        <v>319</v>
      </c>
      <c r="AU238" s="18" t="s">
        <v>319</v>
      </c>
      <c r="AV238" s="18" t="s">
        <v>319</v>
      </c>
      <c r="AW238" s="18" t="s">
        <v>319</v>
      </c>
      <c r="AX238" s="18" t="s">
        <v>319</v>
      </c>
      <c r="AY238" s="18" t="s">
        <v>319</v>
      </c>
      <c r="AZ238" s="18" t="s">
        <v>319</v>
      </c>
      <c r="BA238" s="18" t="s">
        <v>319</v>
      </c>
      <c r="BB238" s="8" t="s">
        <v>984</v>
      </c>
      <c r="BC238" s="7" t="s">
        <v>680</v>
      </c>
      <c r="BD238" s="9">
        <v>150</v>
      </c>
      <c r="BE238" s="8" t="s">
        <v>1008</v>
      </c>
      <c r="BF238" s="8"/>
      <c r="BG238" s="173">
        <v>14.5</v>
      </c>
      <c r="BH238" s="18" t="s">
        <v>319</v>
      </c>
      <c r="BI238" s="18" t="s">
        <v>319</v>
      </c>
      <c r="BJ238" s="18" t="s">
        <v>319</v>
      </c>
      <c r="BK238" s="18" t="s">
        <v>319</v>
      </c>
      <c r="BL238" s="18" t="s">
        <v>319</v>
      </c>
      <c r="BM238" s="18" t="s">
        <v>319</v>
      </c>
      <c r="BN238" s="18" t="s">
        <v>319</v>
      </c>
      <c r="BO238" s="18" t="s">
        <v>319</v>
      </c>
      <c r="BP238" s="18" t="s">
        <v>319</v>
      </c>
      <c r="BQ238" s="18" t="s">
        <v>319</v>
      </c>
      <c r="BR238" s="11">
        <v>225.5</v>
      </c>
      <c r="BS238" s="14">
        <v>988.78</v>
      </c>
      <c r="BT238" s="8"/>
      <c r="BU238" s="7"/>
      <c r="BV238" s="8"/>
      <c r="BW238" s="31"/>
      <c r="BX238" s="8"/>
      <c r="BY238" s="8"/>
      <c r="BZ238" s="20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9"/>
      <c r="DB238" s="8"/>
      <c r="DC238" s="20"/>
      <c r="DD238" s="18"/>
      <c r="DE238" s="18"/>
      <c r="DF238" s="18"/>
      <c r="DG238" s="18"/>
      <c r="DH238" s="18"/>
      <c r="DI238" s="18"/>
      <c r="DJ238" s="18"/>
      <c r="DK238" s="18"/>
      <c r="DL238" s="18"/>
      <c r="DM238" s="18"/>
      <c r="DN238" s="18" t="s">
        <v>319</v>
      </c>
      <c r="DO238" s="18" t="s">
        <v>319</v>
      </c>
      <c r="DP238" s="18" t="s">
        <v>319</v>
      </c>
      <c r="DQ238" s="18" t="s">
        <v>319</v>
      </c>
      <c r="DR238" s="18" t="s">
        <v>319</v>
      </c>
      <c r="DS238" s="18" t="s">
        <v>319</v>
      </c>
      <c r="DT238" s="18" t="s">
        <v>319</v>
      </c>
      <c r="DU238" s="18" t="s">
        <v>319</v>
      </c>
      <c r="DV238" s="18" t="s">
        <v>319</v>
      </c>
      <c r="DW238" s="18" t="s">
        <v>319</v>
      </c>
      <c r="DX238" s="18" t="s">
        <v>319</v>
      </c>
      <c r="DY238" s="18" t="s">
        <v>319</v>
      </c>
      <c r="DZ238" s="18" t="s">
        <v>319</v>
      </c>
      <c r="EA238" s="18" t="s">
        <v>319</v>
      </c>
      <c r="EB238" s="18" t="s">
        <v>319</v>
      </c>
      <c r="EC238" s="18" t="s">
        <v>319</v>
      </c>
      <c r="ED238" s="18" t="s">
        <v>319</v>
      </c>
      <c r="EE238" s="18"/>
      <c r="EF238" s="18" t="s">
        <v>319</v>
      </c>
      <c r="EG238" s="18" t="s">
        <v>319</v>
      </c>
      <c r="EH238" s="18" t="s">
        <v>319</v>
      </c>
      <c r="EI238" s="18" t="s">
        <v>319</v>
      </c>
      <c r="EJ238" s="18"/>
      <c r="EK238" s="18"/>
      <c r="EL238" s="18"/>
      <c r="EM238" s="18"/>
      <c r="EN238" s="18"/>
      <c r="EO238" s="18"/>
      <c r="EP238" s="18"/>
      <c r="EQ238" s="18"/>
      <c r="ER238" s="18"/>
      <c r="ES238" s="18"/>
      <c r="ET238" s="18"/>
      <c r="EU238" s="18"/>
      <c r="EV238" s="18"/>
      <c r="EW238" s="18"/>
      <c r="EX238" s="18"/>
      <c r="EY238" s="18"/>
      <c r="EZ238" s="18"/>
      <c r="FA238" s="18"/>
      <c r="FB238" s="18"/>
      <c r="FC238" s="18"/>
      <c r="FD238" s="18"/>
      <c r="FE238" s="18"/>
      <c r="FF238" s="18"/>
      <c r="FG238" s="18"/>
      <c r="FH238" s="18"/>
      <c r="FI238" s="18"/>
      <c r="FJ238" s="17"/>
      <c r="FK238" s="8"/>
      <c r="FL238" s="8"/>
      <c r="FM238" s="174"/>
    </row>
    <row r="239" spans="1:169" s="3" customFormat="1" x14ac:dyDescent="0.4">
      <c r="A239" s="93"/>
      <c r="B239" s="93"/>
      <c r="C239" s="26"/>
      <c r="D239" s="27" t="s">
        <v>319</v>
      </c>
      <c r="E239" s="2" t="s">
        <v>387</v>
      </c>
      <c r="F239" s="28" t="s">
        <v>319</v>
      </c>
      <c r="G239" s="28" t="s">
        <v>319</v>
      </c>
      <c r="H239" s="28" t="s">
        <v>319</v>
      </c>
      <c r="I239" s="6" t="s">
        <v>388</v>
      </c>
      <c r="J239" s="28" t="s">
        <v>319</v>
      </c>
      <c r="K239" s="28" t="s">
        <v>319</v>
      </c>
      <c r="L239" s="28" t="s">
        <v>319</v>
      </c>
      <c r="M239" s="28" t="s">
        <v>319</v>
      </c>
      <c r="N239" s="28" t="s">
        <v>319</v>
      </c>
      <c r="O239" s="28" t="s">
        <v>319</v>
      </c>
      <c r="P239" s="28" t="s">
        <v>319</v>
      </c>
      <c r="Q239" s="5" t="s">
        <v>673</v>
      </c>
      <c r="R239" s="5" t="s">
        <v>663</v>
      </c>
      <c r="S239" s="6" t="s">
        <v>672</v>
      </c>
      <c r="T239" s="256">
        <v>66766</v>
      </c>
      <c r="U239" s="257">
        <v>66766</v>
      </c>
      <c r="V239" s="257">
        <v>78117</v>
      </c>
      <c r="W239" s="6" t="s">
        <v>665</v>
      </c>
      <c r="X239" s="105">
        <v>34.1</v>
      </c>
      <c r="Y239" s="105">
        <v>30.98</v>
      </c>
      <c r="Z239" s="105">
        <v>29.91</v>
      </c>
      <c r="AA239" s="6" t="s">
        <v>963</v>
      </c>
      <c r="AB239" s="225">
        <f>5.58+1.25</f>
        <v>6.83</v>
      </c>
      <c r="AC239" s="225">
        <f>1.91+1.25</f>
        <v>3.16</v>
      </c>
      <c r="AD239" s="225">
        <f>0.7+1.25</f>
        <v>1.95</v>
      </c>
      <c r="AE239" s="6" t="s">
        <v>956</v>
      </c>
      <c r="AF239" s="6"/>
      <c r="AG239" s="12">
        <v>2.6</v>
      </c>
      <c r="AH239" s="6"/>
      <c r="AI239" s="6" t="s">
        <v>965</v>
      </c>
      <c r="AJ239" s="108"/>
      <c r="AK239" s="108">
        <v>0.108</v>
      </c>
      <c r="AL239" s="6"/>
      <c r="AM239" s="6" t="s">
        <v>958</v>
      </c>
      <c r="AN239" s="6"/>
      <c r="AO239" s="105">
        <v>6.18</v>
      </c>
      <c r="AP239" s="6"/>
      <c r="AQ239" s="28" t="s">
        <v>319</v>
      </c>
      <c r="AR239" s="28" t="s">
        <v>319</v>
      </c>
      <c r="AS239" s="28" t="s">
        <v>319</v>
      </c>
      <c r="AT239" s="28" t="s">
        <v>319</v>
      </c>
      <c r="AU239" s="28" t="s">
        <v>319</v>
      </c>
      <c r="AV239" s="28" t="s">
        <v>319</v>
      </c>
      <c r="AW239" s="28" t="s">
        <v>319</v>
      </c>
      <c r="AX239" s="28" t="s">
        <v>319</v>
      </c>
      <c r="AY239" s="28" t="s">
        <v>319</v>
      </c>
      <c r="AZ239" s="28" t="s">
        <v>319</v>
      </c>
      <c r="BA239" s="28" t="s">
        <v>319</v>
      </c>
      <c r="BB239" s="6" t="s">
        <v>984</v>
      </c>
      <c r="BC239" s="106">
        <v>-104</v>
      </c>
      <c r="BD239" s="106">
        <v>65</v>
      </c>
      <c r="BE239" s="6" t="s">
        <v>1008</v>
      </c>
      <c r="BF239" s="6"/>
      <c r="BG239" s="12">
        <v>44.8</v>
      </c>
      <c r="BH239" s="28" t="s">
        <v>319</v>
      </c>
      <c r="BI239" s="28" t="s">
        <v>319</v>
      </c>
      <c r="BJ239" s="28" t="s">
        <v>319</v>
      </c>
      <c r="BK239" s="28" t="s">
        <v>319</v>
      </c>
      <c r="BL239" s="28" t="s">
        <v>319</v>
      </c>
      <c r="BM239" s="28" t="s">
        <v>319</v>
      </c>
      <c r="BN239" s="28" t="s">
        <v>319</v>
      </c>
      <c r="BO239" s="28" t="s">
        <v>319</v>
      </c>
      <c r="BP239" s="28" t="s">
        <v>319</v>
      </c>
      <c r="BQ239" s="28" t="s">
        <v>319</v>
      </c>
      <c r="BR239" s="105">
        <v>46.49</v>
      </c>
      <c r="BS239" s="12">
        <v>540</v>
      </c>
      <c r="BT239" s="6"/>
      <c r="BU239" s="5"/>
      <c r="BV239" s="6"/>
      <c r="BW239" s="111"/>
      <c r="BX239" s="6"/>
      <c r="BY239" s="6"/>
      <c r="BZ239" s="30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9"/>
      <c r="DB239" s="6"/>
      <c r="DC239" s="30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 t="s">
        <v>319</v>
      </c>
      <c r="DO239" s="28" t="s">
        <v>319</v>
      </c>
      <c r="DP239" s="28" t="s">
        <v>319</v>
      </c>
      <c r="DQ239" s="28" t="s">
        <v>319</v>
      </c>
      <c r="DR239" s="28" t="s">
        <v>319</v>
      </c>
      <c r="DS239" s="28" t="s">
        <v>319</v>
      </c>
      <c r="DT239" s="28" t="s">
        <v>319</v>
      </c>
      <c r="DU239" s="28" t="s">
        <v>319</v>
      </c>
      <c r="DV239" s="28" t="s">
        <v>319</v>
      </c>
      <c r="DW239" s="28" t="s">
        <v>319</v>
      </c>
      <c r="DX239" s="28" t="s">
        <v>319</v>
      </c>
      <c r="DY239" s="28" t="s">
        <v>319</v>
      </c>
      <c r="DZ239" s="28" t="s">
        <v>319</v>
      </c>
      <c r="EA239" s="28" t="s">
        <v>319</v>
      </c>
      <c r="EB239" s="28" t="s">
        <v>319</v>
      </c>
      <c r="EC239" s="28" t="s">
        <v>319</v>
      </c>
      <c r="ED239" s="28" t="s">
        <v>319</v>
      </c>
      <c r="EE239" s="28"/>
      <c r="EF239" s="28" t="s">
        <v>319</v>
      </c>
      <c r="EG239" s="28" t="s">
        <v>319</v>
      </c>
      <c r="EH239" s="28" t="s">
        <v>319</v>
      </c>
      <c r="EI239" s="28" t="s">
        <v>319</v>
      </c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7"/>
      <c r="FK239" s="6"/>
      <c r="FL239" s="6"/>
      <c r="FM239" s="97"/>
    </row>
    <row r="240" spans="1:169" s="3" customFormat="1" x14ac:dyDescent="0.4">
      <c r="A240" s="93"/>
      <c r="B240" s="93"/>
      <c r="C240" s="26"/>
      <c r="D240" s="27" t="s">
        <v>319</v>
      </c>
      <c r="E240" s="2" t="s">
        <v>389</v>
      </c>
      <c r="F240" s="28" t="s">
        <v>319</v>
      </c>
      <c r="G240" s="28" t="s">
        <v>319</v>
      </c>
      <c r="H240" s="28" t="s">
        <v>319</v>
      </c>
      <c r="I240" s="6" t="s">
        <v>388</v>
      </c>
      <c r="J240" s="28" t="s">
        <v>319</v>
      </c>
      <c r="K240" s="28" t="s">
        <v>319</v>
      </c>
      <c r="L240" s="28" t="s">
        <v>319</v>
      </c>
      <c r="M240" s="28" t="s">
        <v>319</v>
      </c>
      <c r="N240" s="28" t="s">
        <v>319</v>
      </c>
      <c r="O240" s="28" t="s">
        <v>319</v>
      </c>
      <c r="P240" s="28" t="s">
        <v>319</v>
      </c>
      <c r="Q240" s="5" t="s">
        <v>671</v>
      </c>
      <c r="R240" s="5" t="s">
        <v>663</v>
      </c>
      <c r="S240" s="6" t="s">
        <v>672</v>
      </c>
      <c r="T240" s="196">
        <v>87636</v>
      </c>
      <c r="U240" s="196">
        <v>175970</v>
      </c>
      <c r="V240" s="196">
        <v>193567</v>
      </c>
      <c r="W240" s="6" t="s">
        <v>665</v>
      </c>
      <c r="X240" s="197">
        <v>12</v>
      </c>
      <c r="Y240" s="197">
        <v>12.74067089801142</v>
      </c>
      <c r="Z240" s="197">
        <v>12.92</v>
      </c>
      <c r="AA240" s="6" t="s">
        <v>963</v>
      </c>
      <c r="AB240" s="197">
        <v>1.7131822596839341</v>
      </c>
      <c r="AC240" s="197">
        <v>0.97377846802900336</v>
      </c>
      <c r="AD240" s="197">
        <v>0.87640062122610307</v>
      </c>
      <c r="AE240" s="6" t="s">
        <v>956</v>
      </c>
      <c r="AF240" s="6"/>
      <c r="AG240" s="12">
        <v>82.5</v>
      </c>
      <c r="AH240" s="6"/>
      <c r="AI240" s="6" t="s">
        <v>973</v>
      </c>
      <c r="AJ240" s="108"/>
      <c r="AK240" s="108">
        <v>0.34399999999999997</v>
      </c>
      <c r="AL240" s="6"/>
      <c r="AM240" s="6" t="s">
        <v>958</v>
      </c>
      <c r="AN240" s="6"/>
      <c r="AO240" s="105">
        <v>0.53</v>
      </c>
      <c r="AP240" s="6"/>
      <c r="AQ240" s="28" t="s">
        <v>319</v>
      </c>
      <c r="AR240" s="28" t="s">
        <v>319</v>
      </c>
      <c r="AS240" s="28" t="s">
        <v>319</v>
      </c>
      <c r="AT240" s="28" t="s">
        <v>319</v>
      </c>
      <c r="AU240" s="28" t="s">
        <v>319</v>
      </c>
      <c r="AV240" s="28" t="s">
        <v>319</v>
      </c>
      <c r="AW240" s="28" t="s">
        <v>319</v>
      </c>
      <c r="AX240" s="28" t="s">
        <v>319</v>
      </c>
      <c r="AY240" s="28" t="s">
        <v>319</v>
      </c>
      <c r="AZ240" s="28" t="s">
        <v>319</v>
      </c>
      <c r="BA240" s="28" t="s">
        <v>319</v>
      </c>
      <c r="BB240" s="6" t="s">
        <v>984</v>
      </c>
      <c r="BC240" s="5" t="s">
        <v>681</v>
      </c>
      <c r="BD240" s="106">
        <v>115</v>
      </c>
      <c r="BE240" s="6" t="s">
        <v>1010</v>
      </c>
      <c r="BF240" s="6"/>
      <c r="BG240" s="12">
        <v>20.7</v>
      </c>
      <c r="BH240" s="28" t="s">
        <v>319</v>
      </c>
      <c r="BI240" s="28" t="s">
        <v>319</v>
      </c>
      <c r="BJ240" s="28" t="s">
        <v>319</v>
      </c>
      <c r="BK240" s="28" t="s">
        <v>319</v>
      </c>
      <c r="BL240" s="28" t="s">
        <v>319</v>
      </c>
      <c r="BM240" s="28" t="s">
        <v>319</v>
      </c>
      <c r="BN240" s="28" t="s">
        <v>319</v>
      </c>
      <c r="BO240" s="28" t="s">
        <v>319</v>
      </c>
      <c r="BP240" s="28" t="s">
        <v>319</v>
      </c>
      <c r="BQ240" s="28" t="s">
        <v>319</v>
      </c>
      <c r="BR240" s="12">
        <v>225.5</v>
      </c>
      <c r="BS240" s="12">
        <v>971</v>
      </c>
      <c r="BT240" s="6"/>
      <c r="BU240" s="5"/>
      <c r="BV240" s="6"/>
      <c r="BW240" s="111"/>
      <c r="BX240" s="6"/>
      <c r="BY240" s="6"/>
      <c r="BZ240" s="30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9"/>
      <c r="DB240" s="6"/>
      <c r="DC240" s="30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 t="s">
        <v>319</v>
      </c>
      <c r="DO240" s="28" t="s">
        <v>319</v>
      </c>
      <c r="DP240" s="28" t="s">
        <v>319</v>
      </c>
      <c r="DQ240" s="28" t="s">
        <v>319</v>
      </c>
      <c r="DR240" s="28" t="s">
        <v>319</v>
      </c>
      <c r="DS240" s="28" t="s">
        <v>319</v>
      </c>
      <c r="DT240" s="28" t="s">
        <v>319</v>
      </c>
      <c r="DU240" s="28" t="s">
        <v>319</v>
      </c>
      <c r="DV240" s="28" t="s">
        <v>319</v>
      </c>
      <c r="DW240" s="28" t="s">
        <v>319</v>
      </c>
      <c r="DX240" s="28" t="s">
        <v>319</v>
      </c>
      <c r="DY240" s="28" t="s">
        <v>319</v>
      </c>
      <c r="DZ240" s="28" t="s">
        <v>319</v>
      </c>
      <c r="EA240" s="28" t="s">
        <v>319</v>
      </c>
      <c r="EB240" s="28" t="s">
        <v>319</v>
      </c>
      <c r="EC240" s="28" t="s">
        <v>319</v>
      </c>
      <c r="ED240" s="28" t="s">
        <v>319</v>
      </c>
      <c r="EE240" s="28"/>
      <c r="EF240" s="28" t="s">
        <v>319</v>
      </c>
      <c r="EG240" s="28" t="s">
        <v>319</v>
      </c>
      <c r="EH240" s="28" t="s">
        <v>319</v>
      </c>
      <c r="EI240" s="28" t="s">
        <v>319</v>
      </c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7"/>
      <c r="FK240" s="6"/>
      <c r="FL240" s="6"/>
      <c r="FM240" s="97"/>
    </row>
    <row r="241" spans="1:169" s="3" customFormat="1" ht="34.799999999999997" x14ac:dyDescent="0.4">
      <c r="A241" s="93"/>
      <c r="B241" s="93"/>
      <c r="C241" s="26"/>
      <c r="D241" s="27" t="s">
        <v>319</v>
      </c>
      <c r="E241" s="2" t="s">
        <v>531</v>
      </c>
      <c r="F241" s="28" t="s">
        <v>319</v>
      </c>
      <c r="G241" s="28" t="s">
        <v>319</v>
      </c>
      <c r="H241" s="28" t="s">
        <v>319</v>
      </c>
      <c r="I241" s="6" t="s">
        <v>388</v>
      </c>
      <c r="J241" s="28" t="s">
        <v>319</v>
      </c>
      <c r="K241" s="28" t="s">
        <v>319</v>
      </c>
      <c r="L241" s="28" t="s">
        <v>319</v>
      </c>
      <c r="M241" s="28" t="s">
        <v>319</v>
      </c>
      <c r="N241" s="28" t="s">
        <v>319</v>
      </c>
      <c r="O241" s="28" t="s">
        <v>319</v>
      </c>
      <c r="P241" s="28" t="s">
        <v>319</v>
      </c>
      <c r="Q241" s="5" t="s">
        <v>673</v>
      </c>
      <c r="R241" s="5" t="s">
        <v>663</v>
      </c>
      <c r="S241" s="6" t="s">
        <v>672</v>
      </c>
      <c r="T241" s="135" t="s">
        <v>886</v>
      </c>
      <c r="U241" s="135" t="s">
        <v>887</v>
      </c>
      <c r="V241" s="135" t="s">
        <v>888</v>
      </c>
      <c r="W241" s="6" t="s">
        <v>665</v>
      </c>
      <c r="X241" s="105">
        <v>28.08</v>
      </c>
      <c r="Y241" s="105">
        <v>28.24</v>
      </c>
      <c r="Z241" s="105">
        <v>28.27</v>
      </c>
      <c r="AA241" s="6" t="s">
        <v>963</v>
      </c>
      <c r="AB241" s="6">
        <v>0.19999999999999929</v>
      </c>
      <c r="AC241" s="6">
        <v>0.18999999999999773</v>
      </c>
      <c r="AD241" s="6">
        <v>0.17999999999999972</v>
      </c>
      <c r="AE241" s="6" t="s">
        <v>956</v>
      </c>
      <c r="AF241" s="6"/>
      <c r="AG241" s="12">
        <v>26.7</v>
      </c>
      <c r="AH241" s="6"/>
      <c r="AI241" s="6" t="s">
        <v>965</v>
      </c>
      <c r="AJ241" s="108"/>
      <c r="AK241" s="108">
        <v>8.4000000000000005E-2</v>
      </c>
      <c r="AL241" s="6"/>
      <c r="AM241" s="6" t="s">
        <v>958</v>
      </c>
      <c r="AN241" s="6"/>
      <c r="AO241" s="105">
        <v>7.7</v>
      </c>
      <c r="AP241" s="6"/>
      <c r="AQ241" s="28" t="s">
        <v>319</v>
      </c>
      <c r="AR241" s="28" t="s">
        <v>319</v>
      </c>
      <c r="AS241" s="28" t="s">
        <v>319</v>
      </c>
      <c r="AT241" s="28" t="s">
        <v>319</v>
      </c>
      <c r="AU241" s="28" t="s">
        <v>319</v>
      </c>
      <c r="AV241" s="28" t="s">
        <v>319</v>
      </c>
      <c r="AW241" s="28" t="s">
        <v>319</v>
      </c>
      <c r="AX241" s="28" t="s">
        <v>319</v>
      </c>
      <c r="AY241" s="28" t="s">
        <v>319</v>
      </c>
      <c r="AZ241" s="28" t="s">
        <v>319</v>
      </c>
      <c r="BA241" s="28" t="s">
        <v>319</v>
      </c>
      <c r="BB241" s="6" t="s">
        <v>984</v>
      </c>
      <c r="BC241" s="106">
        <v>-47</v>
      </c>
      <c r="BD241" s="106">
        <v>85</v>
      </c>
      <c r="BE241" s="6" t="s">
        <v>1010</v>
      </c>
      <c r="BF241" s="6"/>
      <c r="BG241" s="12">
        <v>44.8</v>
      </c>
      <c r="BH241" s="28" t="s">
        <v>319</v>
      </c>
      <c r="BI241" s="28" t="s">
        <v>319</v>
      </c>
      <c r="BJ241" s="28" t="s">
        <v>319</v>
      </c>
      <c r="BK241" s="28" t="s">
        <v>319</v>
      </c>
      <c r="BL241" s="28" t="s">
        <v>319</v>
      </c>
      <c r="BM241" s="28" t="s">
        <v>319</v>
      </c>
      <c r="BN241" s="28" t="s">
        <v>319</v>
      </c>
      <c r="BO241" s="28" t="s">
        <v>319</v>
      </c>
      <c r="BP241" s="28" t="s">
        <v>319</v>
      </c>
      <c r="BQ241" s="28" t="s">
        <v>319</v>
      </c>
      <c r="BR241" s="105">
        <v>47.02</v>
      </c>
      <c r="BS241" s="12">
        <v>504.1</v>
      </c>
      <c r="BT241" s="6"/>
      <c r="BU241" s="5"/>
      <c r="BV241" s="6"/>
      <c r="BW241" s="111"/>
      <c r="BX241" s="6"/>
      <c r="BY241" s="6"/>
      <c r="BZ241" s="30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9"/>
      <c r="DB241" s="6"/>
      <c r="DC241" s="30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 t="s">
        <v>319</v>
      </c>
      <c r="DO241" s="28" t="s">
        <v>319</v>
      </c>
      <c r="DP241" s="28" t="s">
        <v>319</v>
      </c>
      <c r="DQ241" s="28" t="s">
        <v>319</v>
      </c>
      <c r="DR241" s="28" t="s">
        <v>319</v>
      </c>
      <c r="DS241" s="28" t="s">
        <v>319</v>
      </c>
      <c r="DT241" s="28" t="s">
        <v>319</v>
      </c>
      <c r="DU241" s="28" t="s">
        <v>319</v>
      </c>
      <c r="DV241" s="28" t="s">
        <v>319</v>
      </c>
      <c r="DW241" s="28" t="s">
        <v>319</v>
      </c>
      <c r="DX241" s="28" t="s">
        <v>319</v>
      </c>
      <c r="DY241" s="28" t="s">
        <v>319</v>
      </c>
      <c r="DZ241" s="28" t="s">
        <v>319</v>
      </c>
      <c r="EA241" s="28" t="s">
        <v>319</v>
      </c>
      <c r="EB241" s="28" t="s">
        <v>319</v>
      </c>
      <c r="EC241" s="28" t="s">
        <v>319</v>
      </c>
      <c r="ED241" s="28" t="s">
        <v>319</v>
      </c>
      <c r="EE241" s="28"/>
      <c r="EF241" s="28" t="s">
        <v>319</v>
      </c>
      <c r="EG241" s="28" t="s">
        <v>319</v>
      </c>
      <c r="EH241" s="28" t="s">
        <v>319</v>
      </c>
      <c r="EI241" s="28" t="s">
        <v>319</v>
      </c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7"/>
      <c r="FK241" s="15" t="s">
        <v>1060</v>
      </c>
      <c r="FL241" s="6"/>
      <c r="FM241" s="97"/>
    </row>
    <row r="242" spans="1:169" s="3" customFormat="1" ht="34.799999999999997" x14ac:dyDescent="0.4">
      <c r="A242" s="93"/>
      <c r="B242" s="93"/>
      <c r="C242" s="26"/>
      <c r="D242" s="27" t="s">
        <v>319</v>
      </c>
      <c r="E242" s="2" t="s">
        <v>390</v>
      </c>
      <c r="F242" s="28" t="s">
        <v>319</v>
      </c>
      <c r="G242" s="28" t="s">
        <v>319</v>
      </c>
      <c r="H242" s="28" t="s">
        <v>319</v>
      </c>
      <c r="I242" s="6" t="s">
        <v>391</v>
      </c>
      <c r="J242" s="28" t="s">
        <v>319</v>
      </c>
      <c r="K242" s="28" t="s">
        <v>319</v>
      </c>
      <c r="L242" s="28" t="s">
        <v>319</v>
      </c>
      <c r="M242" s="28" t="s">
        <v>319</v>
      </c>
      <c r="N242" s="28" t="s">
        <v>319</v>
      </c>
      <c r="O242" s="28" t="s">
        <v>319</v>
      </c>
      <c r="P242" s="28" t="s">
        <v>319</v>
      </c>
      <c r="Q242" s="5" t="s">
        <v>845</v>
      </c>
      <c r="R242" s="5" t="s">
        <v>667</v>
      </c>
      <c r="S242" s="6" t="s">
        <v>669</v>
      </c>
      <c r="T242" s="5" t="s">
        <v>889</v>
      </c>
      <c r="U242" s="5" t="s">
        <v>890</v>
      </c>
      <c r="V242" s="5" t="s">
        <v>891</v>
      </c>
      <c r="W242" s="6" t="s">
        <v>665</v>
      </c>
      <c r="X242" s="105">
        <v>33.43</v>
      </c>
      <c r="Y242" s="105">
        <v>33.380000000000003</v>
      </c>
      <c r="Z242" s="105">
        <v>33.369999999999997</v>
      </c>
      <c r="AA242" s="6" t="s">
        <v>963</v>
      </c>
      <c r="AB242" s="6">
        <v>5.16</v>
      </c>
      <c r="AC242" s="6">
        <v>5.1000000000000014</v>
      </c>
      <c r="AD242" s="6">
        <v>5.0899999999999963</v>
      </c>
      <c r="AE242" s="6" t="s">
        <v>956</v>
      </c>
      <c r="AF242" s="6"/>
      <c r="AG242" s="12">
        <v>35.200000000000003</v>
      </c>
      <c r="AH242" s="6"/>
      <c r="AI242" s="6" t="s">
        <v>965</v>
      </c>
      <c r="AJ242" s="108"/>
      <c r="AK242" s="112">
        <v>9.1999999999999998E-3</v>
      </c>
      <c r="AL242" s="6"/>
      <c r="AM242" s="6"/>
      <c r="AN242" s="6"/>
      <c r="AO242" s="5"/>
      <c r="AP242" s="6"/>
      <c r="AQ242" s="28" t="s">
        <v>319</v>
      </c>
      <c r="AR242" s="28" t="s">
        <v>319</v>
      </c>
      <c r="AS242" s="28" t="s">
        <v>319</v>
      </c>
      <c r="AT242" s="28" t="s">
        <v>319</v>
      </c>
      <c r="AU242" s="28" t="s">
        <v>319</v>
      </c>
      <c r="AV242" s="28" t="s">
        <v>319</v>
      </c>
      <c r="AW242" s="28" t="s">
        <v>319</v>
      </c>
      <c r="AX242" s="28" t="s">
        <v>319</v>
      </c>
      <c r="AY242" s="28" t="s">
        <v>319</v>
      </c>
      <c r="AZ242" s="28" t="s">
        <v>319</v>
      </c>
      <c r="BA242" s="28" t="s">
        <v>319</v>
      </c>
      <c r="BB242" s="6" t="s">
        <v>984</v>
      </c>
      <c r="BC242" s="5" t="s">
        <v>681</v>
      </c>
      <c r="BD242" s="106">
        <v>65</v>
      </c>
      <c r="BE242" s="6" t="s">
        <v>1014</v>
      </c>
      <c r="BF242" s="6"/>
      <c r="BG242" s="12">
        <v>37.5</v>
      </c>
      <c r="BH242" s="28" t="s">
        <v>319</v>
      </c>
      <c r="BI242" s="28" t="s">
        <v>319</v>
      </c>
      <c r="BJ242" s="28" t="s">
        <v>319</v>
      </c>
      <c r="BK242" s="28" t="s">
        <v>319</v>
      </c>
      <c r="BL242" s="28" t="s">
        <v>319</v>
      </c>
      <c r="BM242" s="28" t="s">
        <v>319</v>
      </c>
      <c r="BN242" s="28" t="s">
        <v>319</v>
      </c>
      <c r="BO242" s="28" t="s">
        <v>319</v>
      </c>
      <c r="BP242" s="28" t="s">
        <v>319</v>
      </c>
      <c r="BQ242" s="28" t="s">
        <v>319</v>
      </c>
      <c r="BR242" s="5"/>
      <c r="BS242" s="105"/>
      <c r="BT242" s="6"/>
      <c r="BU242" s="12">
        <v>2</v>
      </c>
      <c r="BV242" s="6" t="s">
        <v>1043</v>
      </c>
      <c r="BW242" s="105">
        <v>1.4019999999999999</v>
      </c>
      <c r="BX242" s="6"/>
      <c r="BY242" s="6"/>
      <c r="BZ242" s="30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9"/>
      <c r="DB242" s="6"/>
      <c r="DC242" s="30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 t="s">
        <v>319</v>
      </c>
      <c r="DO242" s="28" t="s">
        <v>319</v>
      </c>
      <c r="DP242" s="28" t="s">
        <v>319</v>
      </c>
      <c r="DQ242" s="28" t="s">
        <v>319</v>
      </c>
      <c r="DR242" s="28" t="s">
        <v>319</v>
      </c>
      <c r="DS242" s="28" t="s">
        <v>319</v>
      </c>
      <c r="DT242" s="28" t="s">
        <v>319</v>
      </c>
      <c r="DU242" s="28" t="s">
        <v>319</v>
      </c>
      <c r="DV242" s="28" t="s">
        <v>319</v>
      </c>
      <c r="DW242" s="28" t="s">
        <v>319</v>
      </c>
      <c r="DX242" s="28" t="s">
        <v>319</v>
      </c>
      <c r="DY242" s="28" t="s">
        <v>319</v>
      </c>
      <c r="DZ242" s="28" t="s">
        <v>319</v>
      </c>
      <c r="EA242" s="28" t="s">
        <v>319</v>
      </c>
      <c r="EB242" s="28" t="s">
        <v>319</v>
      </c>
      <c r="EC242" s="28" t="s">
        <v>319</v>
      </c>
      <c r="ED242" s="28" t="s">
        <v>319</v>
      </c>
      <c r="EE242" s="28"/>
      <c r="EF242" s="28" t="s">
        <v>319</v>
      </c>
      <c r="EG242" s="28" t="s">
        <v>319</v>
      </c>
      <c r="EH242" s="28" t="s">
        <v>319</v>
      </c>
      <c r="EI242" s="28" t="s">
        <v>319</v>
      </c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7"/>
      <c r="FK242" s="15" t="s">
        <v>1060</v>
      </c>
      <c r="FL242" s="6"/>
      <c r="FM242" s="94"/>
    </row>
    <row r="243" spans="1:169" s="3" customFormat="1" ht="34.799999999999997" x14ac:dyDescent="0.4">
      <c r="A243" s="93"/>
      <c r="B243" s="93"/>
      <c r="C243" s="26"/>
      <c r="D243" s="27" t="s">
        <v>319</v>
      </c>
      <c r="E243" s="2" t="s">
        <v>549</v>
      </c>
      <c r="F243" s="28" t="s">
        <v>319</v>
      </c>
      <c r="G243" s="28" t="s">
        <v>319</v>
      </c>
      <c r="H243" s="28" t="s">
        <v>319</v>
      </c>
      <c r="I243" s="6" t="s">
        <v>391</v>
      </c>
      <c r="J243" s="28" t="s">
        <v>319</v>
      </c>
      <c r="K243" s="28" t="s">
        <v>319</v>
      </c>
      <c r="L243" s="28" t="s">
        <v>319</v>
      </c>
      <c r="M243" s="28" t="s">
        <v>319</v>
      </c>
      <c r="N243" s="28" t="s">
        <v>319</v>
      </c>
      <c r="O243" s="28" t="s">
        <v>319</v>
      </c>
      <c r="P243" s="28" t="s">
        <v>319</v>
      </c>
      <c r="Q243" s="5" t="s">
        <v>892</v>
      </c>
      <c r="R243" s="5" t="s">
        <v>667</v>
      </c>
      <c r="S243" s="6" t="s">
        <v>678</v>
      </c>
      <c r="T243" s="5"/>
      <c r="U243" s="213" t="s">
        <v>1442</v>
      </c>
      <c r="V243" s="5">
        <v>13000</v>
      </c>
      <c r="W243" s="6" t="s">
        <v>665</v>
      </c>
      <c r="X243" s="105"/>
      <c r="Y243" s="105"/>
      <c r="Z243" s="105">
        <v>17.5</v>
      </c>
      <c r="AA243" s="6" t="s">
        <v>963</v>
      </c>
      <c r="AB243" s="6"/>
      <c r="AC243" s="6"/>
      <c r="AD243" s="150">
        <v>2.5</v>
      </c>
      <c r="AE243" s="6" t="s">
        <v>956</v>
      </c>
      <c r="AF243" s="6"/>
      <c r="AG243" s="12">
        <v>44.7</v>
      </c>
      <c r="AH243" s="6"/>
      <c r="AI243" s="6" t="s">
        <v>964</v>
      </c>
      <c r="AJ243" s="108"/>
      <c r="AK243" s="112">
        <v>1.03E-2</v>
      </c>
      <c r="AL243" s="6"/>
      <c r="AM243" s="6"/>
      <c r="AN243" s="6"/>
      <c r="AO243" s="5"/>
      <c r="AP243" s="6"/>
      <c r="AQ243" s="28" t="s">
        <v>319</v>
      </c>
      <c r="AR243" s="28" t="s">
        <v>319</v>
      </c>
      <c r="AS243" s="28" t="s">
        <v>319</v>
      </c>
      <c r="AT243" s="28" t="s">
        <v>319</v>
      </c>
      <c r="AU243" s="28" t="s">
        <v>319</v>
      </c>
      <c r="AV243" s="28" t="s">
        <v>319</v>
      </c>
      <c r="AW243" s="28" t="s">
        <v>319</v>
      </c>
      <c r="AX243" s="28" t="s">
        <v>319</v>
      </c>
      <c r="AY243" s="28" t="s">
        <v>319</v>
      </c>
      <c r="AZ243" s="28" t="s">
        <v>319</v>
      </c>
      <c r="BA243" s="28" t="s">
        <v>319</v>
      </c>
      <c r="BB243" s="6" t="s">
        <v>984</v>
      </c>
      <c r="BC243" s="5">
        <v>-47</v>
      </c>
      <c r="BD243" s="106">
        <v>90</v>
      </c>
      <c r="BE243" s="6" t="s">
        <v>1008</v>
      </c>
      <c r="BF243" s="6"/>
      <c r="BG243" s="12">
        <v>19.5</v>
      </c>
      <c r="BH243" s="28" t="s">
        <v>319</v>
      </c>
      <c r="BI243" s="28" t="s">
        <v>319</v>
      </c>
      <c r="BJ243" s="28" t="s">
        <v>319</v>
      </c>
      <c r="BK243" s="28" t="s">
        <v>319</v>
      </c>
      <c r="BL243" s="28" t="s">
        <v>319</v>
      </c>
      <c r="BM243" s="28" t="s">
        <v>319</v>
      </c>
      <c r="BN243" s="28" t="s">
        <v>319</v>
      </c>
      <c r="BO243" s="28" t="s">
        <v>319</v>
      </c>
      <c r="BP243" s="28" t="s">
        <v>319</v>
      </c>
      <c r="BQ243" s="28" t="s">
        <v>319</v>
      </c>
      <c r="BR243" s="5"/>
      <c r="BS243" s="105"/>
      <c r="BT243" s="6"/>
      <c r="BU243" s="12">
        <v>42</v>
      </c>
      <c r="BV243" s="6" t="s">
        <v>1044</v>
      </c>
      <c r="BW243" s="105">
        <v>1.3740000000000001</v>
      </c>
      <c r="BX243" s="6"/>
      <c r="BY243" s="6"/>
      <c r="BZ243" s="30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9"/>
      <c r="DB243" s="6"/>
      <c r="DC243" s="30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 t="s">
        <v>319</v>
      </c>
      <c r="DO243" s="28" t="s">
        <v>319</v>
      </c>
      <c r="DP243" s="28" t="s">
        <v>319</v>
      </c>
      <c r="DQ243" s="28" t="s">
        <v>319</v>
      </c>
      <c r="DR243" s="28" t="s">
        <v>319</v>
      </c>
      <c r="DS243" s="28" t="s">
        <v>319</v>
      </c>
      <c r="DT243" s="28" t="s">
        <v>319</v>
      </c>
      <c r="DU243" s="28" t="s">
        <v>319</v>
      </c>
      <c r="DV243" s="28" t="s">
        <v>319</v>
      </c>
      <c r="DW243" s="28" t="s">
        <v>319</v>
      </c>
      <c r="DX243" s="28" t="s">
        <v>319</v>
      </c>
      <c r="DY243" s="28" t="s">
        <v>319</v>
      </c>
      <c r="DZ243" s="28" t="s">
        <v>319</v>
      </c>
      <c r="EA243" s="28" t="s">
        <v>319</v>
      </c>
      <c r="EB243" s="28" t="s">
        <v>319</v>
      </c>
      <c r="EC243" s="28" t="s">
        <v>319</v>
      </c>
      <c r="ED243" s="28" t="s">
        <v>319</v>
      </c>
      <c r="EE243" s="28"/>
      <c r="EF243" s="28" t="s">
        <v>319</v>
      </c>
      <c r="EG243" s="28" t="s">
        <v>319</v>
      </c>
      <c r="EH243" s="28" t="s">
        <v>319</v>
      </c>
      <c r="EI243" s="28" t="s">
        <v>319</v>
      </c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7"/>
      <c r="FK243" s="15" t="s">
        <v>1060</v>
      </c>
      <c r="FL243" s="6"/>
      <c r="FM243" s="94"/>
    </row>
    <row r="244" spans="1:169" s="3" customFormat="1" ht="34.799999999999997" x14ac:dyDescent="0.4">
      <c r="A244" s="93"/>
      <c r="B244" s="93"/>
      <c r="C244" s="26"/>
      <c r="D244" s="27" t="s">
        <v>319</v>
      </c>
      <c r="E244" s="2" t="s">
        <v>392</v>
      </c>
      <c r="F244" s="28" t="s">
        <v>319</v>
      </c>
      <c r="G244" s="28" t="s">
        <v>319</v>
      </c>
      <c r="H244" s="28" t="s">
        <v>319</v>
      </c>
      <c r="I244" s="6" t="s">
        <v>393</v>
      </c>
      <c r="J244" s="28" t="s">
        <v>319</v>
      </c>
      <c r="K244" s="28" t="s">
        <v>319</v>
      </c>
      <c r="L244" s="28" t="s">
        <v>319</v>
      </c>
      <c r="M244" s="28" t="s">
        <v>319</v>
      </c>
      <c r="N244" s="28" t="s">
        <v>319</v>
      </c>
      <c r="O244" s="28" t="s">
        <v>319</v>
      </c>
      <c r="P244" s="28" t="s">
        <v>319</v>
      </c>
      <c r="Q244" s="5" t="s">
        <v>845</v>
      </c>
      <c r="R244" s="5" t="s">
        <v>667</v>
      </c>
      <c r="S244" s="6" t="s">
        <v>669</v>
      </c>
      <c r="T244" s="106">
        <v>48</v>
      </c>
      <c r="U244" s="106"/>
      <c r="V244" s="106">
        <v>253</v>
      </c>
      <c r="W244" s="6" t="s">
        <v>665</v>
      </c>
      <c r="X244" s="105">
        <v>33.43</v>
      </c>
      <c r="Y244" s="105">
        <v>33.4</v>
      </c>
      <c r="Z244" s="105">
        <v>33.299999999999997</v>
      </c>
      <c r="AA244" s="6" t="s">
        <v>963</v>
      </c>
      <c r="AB244" s="6">
        <v>31.08</v>
      </c>
      <c r="AC244" s="6">
        <v>31.049999999999997</v>
      </c>
      <c r="AD244" s="6">
        <v>30.949999999999996</v>
      </c>
      <c r="AE244" s="6" t="s">
        <v>956</v>
      </c>
      <c r="AF244" s="6"/>
      <c r="AG244" s="12">
        <v>35</v>
      </c>
      <c r="AH244" s="6"/>
      <c r="AI244" s="6" t="s">
        <v>965</v>
      </c>
      <c r="AJ244" s="108"/>
      <c r="AK244" s="112">
        <v>9.1999999999999998E-3</v>
      </c>
      <c r="AL244" s="6"/>
      <c r="AM244" s="6"/>
      <c r="AN244" s="6"/>
      <c r="AO244" s="5"/>
      <c r="AP244" s="6"/>
      <c r="AQ244" s="28" t="s">
        <v>319</v>
      </c>
      <c r="AR244" s="28" t="s">
        <v>319</v>
      </c>
      <c r="AS244" s="28" t="s">
        <v>319</v>
      </c>
      <c r="AT244" s="28" t="s">
        <v>319</v>
      </c>
      <c r="AU244" s="28" t="s">
        <v>319</v>
      </c>
      <c r="AV244" s="28" t="s">
        <v>319</v>
      </c>
      <c r="AW244" s="28" t="s">
        <v>319</v>
      </c>
      <c r="AX244" s="28" t="s">
        <v>319</v>
      </c>
      <c r="AY244" s="28" t="s">
        <v>319</v>
      </c>
      <c r="AZ244" s="28" t="s">
        <v>319</v>
      </c>
      <c r="BA244" s="28" t="s">
        <v>319</v>
      </c>
      <c r="BB244" s="6" t="s">
        <v>984</v>
      </c>
      <c r="BC244" s="5" t="s">
        <v>681</v>
      </c>
      <c r="BD244" s="106">
        <v>65</v>
      </c>
      <c r="BE244" s="6" t="s">
        <v>1013</v>
      </c>
      <c r="BF244" s="6"/>
      <c r="BG244" s="12">
        <v>37.5</v>
      </c>
      <c r="BH244" s="28" t="s">
        <v>319</v>
      </c>
      <c r="BI244" s="28" t="s">
        <v>319</v>
      </c>
      <c r="BJ244" s="28" t="s">
        <v>319</v>
      </c>
      <c r="BK244" s="28" t="s">
        <v>319</v>
      </c>
      <c r="BL244" s="28" t="s">
        <v>319</v>
      </c>
      <c r="BM244" s="28" t="s">
        <v>319</v>
      </c>
      <c r="BN244" s="28" t="s">
        <v>319</v>
      </c>
      <c r="BO244" s="28" t="s">
        <v>319</v>
      </c>
      <c r="BP244" s="28" t="s">
        <v>319</v>
      </c>
      <c r="BQ244" s="28" t="s">
        <v>319</v>
      </c>
      <c r="BR244" s="5"/>
      <c r="BS244" s="105"/>
      <c r="BT244" s="6"/>
      <c r="BU244" s="12">
        <v>2</v>
      </c>
      <c r="BV244" s="6" t="s">
        <v>1037</v>
      </c>
      <c r="BW244" s="105">
        <v>1.4</v>
      </c>
      <c r="BX244" s="6"/>
      <c r="BY244" s="6"/>
      <c r="BZ244" s="30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9"/>
      <c r="DB244" s="6"/>
      <c r="DC244" s="30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 t="s">
        <v>319</v>
      </c>
      <c r="DO244" s="28" t="s">
        <v>319</v>
      </c>
      <c r="DP244" s="28" t="s">
        <v>319</v>
      </c>
      <c r="DQ244" s="28" t="s">
        <v>319</v>
      </c>
      <c r="DR244" s="28" t="s">
        <v>319</v>
      </c>
      <c r="DS244" s="28" t="s">
        <v>319</v>
      </c>
      <c r="DT244" s="28" t="s">
        <v>319</v>
      </c>
      <c r="DU244" s="28" t="s">
        <v>319</v>
      </c>
      <c r="DV244" s="28" t="s">
        <v>319</v>
      </c>
      <c r="DW244" s="28" t="s">
        <v>319</v>
      </c>
      <c r="DX244" s="28" t="s">
        <v>319</v>
      </c>
      <c r="DY244" s="28" t="s">
        <v>319</v>
      </c>
      <c r="DZ244" s="28" t="s">
        <v>319</v>
      </c>
      <c r="EA244" s="28" t="s">
        <v>319</v>
      </c>
      <c r="EB244" s="28" t="s">
        <v>319</v>
      </c>
      <c r="EC244" s="28" t="s">
        <v>319</v>
      </c>
      <c r="ED244" s="28" t="s">
        <v>319</v>
      </c>
      <c r="EE244" s="28"/>
      <c r="EF244" s="28" t="s">
        <v>319</v>
      </c>
      <c r="EG244" s="28" t="s">
        <v>319</v>
      </c>
      <c r="EH244" s="28" t="s">
        <v>319</v>
      </c>
      <c r="EI244" s="28" t="s">
        <v>319</v>
      </c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7"/>
      <c r="FK244" s="15" t="s">
        <v>1060</v>
      </c>
      <c r="FL244" s="6"/>
      <c r="FM244" s="94"/>
    </row>
    <row r="245" spans="1:169" s="3" customFormat="1" x14ac:dyDescent="0.4">
      <c r="A245" s="93"/>
      <c r="B245" s="93"/>
      <c r="C245" s="26"/>
      <c r="D245" s="27" t="s">
        <v>319</v>
      </c>
      <c r="E245" s="2" t="s">
        <v>394</v>
      </c>
      <c r="F245" s="28" t="s">
        <v>319</v>
      </c>
      <c r="G245" s="28" t="s">
        <v>319</v>
      </c>
      <c r="H245" s="28" t="s">
        <v>319</v>
      </c>
      <c r="I245" s="6" t="s">
        <v>393</v>
      </c>
      <c r="J245" s="28" t="s">
        <v>319</v>
      </c>
      <c r="K245" s="28" t="s">
        <v>319</v>
      </c>
      <c r="L245" s="28" t="s">
        <v>319</v>
      </c>
      <c r="M245" s="28" t="s">
        <v>319</v>
      </c>
      <c r="N245" s="28" t="s">
        <v>319</v>
      </c>
      <c r="O245" s="28" t="s">
        <v>319</v>
      </c>
      <c r="P245" s="28" t="s">
        <v>319</v>
      </c>
      <c r="Q245" s="5" t="s">
        <v>893</v>
      </c>
      <c r="R245" s="5" t="s">
        <v>667</v>
      </c>
      <c r="S245" s="6" t="s">
        <v>672</v>
      </c>
      <c r="T245" s="106">
        <v>193</v>
      </c>
      <c r="U245" s="5"/>
      <c r="V245" s="106">
        <v>4845</v>
      </c>
      <c r="W245" s="6" t="s">
        <v>665</v>
      </c>
      <c r="X245" s="105">
        <v>8.8000000000000007</v>
      </c>
      <c r="Y245" s="5"/>
      <c r="Z245" s="105">
        <v>8.6</v>
      </c>
      <c r="AA245" s="6" t="s">
        <v>963</v>
      </c>
      <c r="AB245" s="6">
        <v>6.4</v>
      </c>
      <c r="AC245" s="6"/>
      <c r="AD245" s="6">
        <v>6.1999999999999993</v>
      </c>
      <c r="AE245" s="6" t="s">
        <v>956</v>
      </c>
      <c r="AF245" s="6"/>
      <c r="AG245" s="5" t="s">
        <v>970</v>
      </c>
      <c r="AH245" s="6"/>
      <c r="AI245" s="6" t="s">
        <v>976</v>
      </c>
      <c r="AJ245" s="108"/>
      <c r="AK245" s="112">
        <v>1.9E-2</v>
      </c>
      <c r="AL245" s="6"/>
      <c r="AM245" s="6"/>
      <c r="AN245" s="6"/>
      <c r="AO245" s="5"/>
      <c r="AP245" s="6"/>
      <c r="AQ245" s="28" t="s">
        <v>319</v>
      </c>
      <c r="AR245" s="28" t="s">
        <v>319</v>
      </c>
      <c r="AS245" s="28" t="s">
        <v>319</v>
      </c>
      <c r="AT245" s="28" t="s">
        <v>319</v>
      </c>
      <c r="AU245" s="28" t="s">
        <v>319</v>
      </c>
      <c r="AV245" s="28" t="s">
        <v>319</v>
      </c>
      <c r="AW245" s="28" t="s">
        <v>319</v>
      </c>
      <c r="AX245" s="28" t="s">
        <v>319</v>
      </c>
      <c r="AY245" s="28" t="s">
        <v>319</v>
      </c>
      <c r="AZ245" s="28" t="s">
        <v>319</v>
      </c>
      <c r="BA245" s="28" t="s">
        <v>319</v>
      </c>
      <c r="BB245" s="6" t="s">
        <v>984</v>
      </c>
      <c r="BC245" s="5" t="s">
        <v>681</v>
      </c>
      <c r="BD245" s="106">
        <v>60</v>
      </c>
      <c r="BE245" s="6" t="s">
        <v>1008</v>
      </c>
      <c r="BF245" s="6"/>
      <c r="BG245" s="12">
        <v>12</v>
      </c>
      <c r="BH245" s="28" t="s">
        <v>319</v>
      </c>
      <c r="BI245" s="28" t="s">
        <v>319</v>
      </c>
      <c r="BJ245" s="28" t="s">
        <v>319</v>
      </c>
      <c r="BK245" s="28" t="s">
        <v>319</v>
      </c>
      <c r="BL245" s="28" t="s">
        <v>319</v>
      </c>
      <c r="BM245" s="28" t="s">
        <v>319</v>
      </c>
      <c r="BN245" s="28" t="s">
        <v>319</v>
      </c>
      <c r="BO245" s="28" t="s">
        <v>319</v>
      </c>
      <c r="BP245" s="28" t="s">
        <v>319</v>
      </c>
      <c r="BQ245" s="28" t="s">
        <v>319</v>
      </c>
      <c r="BR245" s="5"/>
      <c r="BS245" s="105"/>
      <c r="BT245" s="101"/>
      <c r="BU245" s="12">
        <v>29</v>
      </c>
      <c r="BV245" s="101" t="s">
        <v>1045</v>
      </c>
      <c r="BW245" s="105">
        <v>1.41</v>
      </c>
      <c r="BX245" s="6"/>
      <c r="BY245" s="6"/>
      <c r="BZ245" s="30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9"/>
      <c r="DB245" s="6"/>
      <c r="DC245" s="30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 t="s">
        <v>319</v>
      </c>
      <c r="DO245" s="28" t="s">
        <v>319</v>
      </c>
      <c r="DP245" s="28" t="s">
        <v>319</v>
      </c>
      <c r="DQ245" s="28" t="s">
        <v>319</v>
      </c>
      <c r="DR245" s="28" t="s">
        <v>319</v>
      </c>
      <c r="DS245" s="28" t="s">
        <v>319</v>
      </c>
      <c r="DT245" s="28" t="s">
        <v>319</v>
      </c>
      <c r="DU245" s="28" t="s">
        <v>319</v>
      </c>
      <c r="DV245" s="28" t="s">
        <v>319</v>
      </c>
      <c r="DW245" s="28" t="s">
        <v>319</v>
      </c>
      <c r="DX245" s="28" t="s">
        <v>319</v>
      </c>
      <c r="DY245" s="28" t="s">
        <v>319</v>
      </c>
      <c r="DZ245" s="28" t="s">
        <v>319</v>
      </c>
      <c r="EA245" s="28" t="s">
        <v>319</v>
      </c>
      <c r="EB245" s="28" t="s">
        <v>319</v>
      </c>
      <c r="EC245" s="28" t="s">
        <v>319</v>
      </c>
      <c r="ED245" s="28" t="s">
        <v>319</v>
      </c>
      <c r="EE245" s="28"/>
      <c r="EF245" s="28" t="s">
        <v>319</v>
      </c>
      <c r="EG245" s="28" t="s">
        <v>319</v>
      </c>
      <c r="EH245" s="28" t="s">
        <v>319</v>
      </c>
      <c r="EI245" s="28" t="s">
        <v>319</v>
      </c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7"/>
      <c r="FK245" s="6"/>
      <c r="FL245" s="6"/>
      <c r="FM245" s="94"/>
    </row>
    <row r="246" spans="1:169" s="3" customFormat="1" x14ac:dyDescent="0.4">
      <c r="A246" s="93"/>
      <c r="B246" s="93"/>
      <c r="C246" s="26"/>
      <c r="D246" s="27" t="s">
        <v>319</v>
      </c>
      <c r="E246" s="2" t="s">
        <v>395</v>
      </c>
      <c r="F246" s="28" t="s">
        <v>319</v>
      </c>
      <c r="G246" s="28" t="s">
        <v>319</v>
      </c>
      <c r="H246" s="28" t="s">
        <v>319</v>
      </c>
      <c r="I246" s="6" t="s">
        <v>393</v>
      </c>
      <c r="J246" s="28" t="s">
        <v>319</v>
      </c>
      <c r="K246" s="28" t="s">
        <v>319</v>
      </c>
      <c r="L246" s="28" t="s">
        <v>319</v>
      </c>
      <c r="M246" s="28" t="s">
        <v>319</v>
      </c>
      <c r="N246" s="28" t="s">
        <v>319</v>
      </c>
      <c r="O246" s="28" t="s">
        <v>319</v>
      </c>
      <c r="P246" s="28" t="s">
        <v>319</v>
      </c>
      <c r="Q246" s="5" t="s">
        <v>677</v>
      </c>
      <c r="R246" s="5" t="s">
        <v>667</v>
      </c>
      <c r="S246" s="6" t="s">
        <v>672</v>
      </c>
      <c r="T246" s="106">
        <v>2620</v>
      </c>
      <c r="U246" s="5"/>
      <c r="V246" s="106">
        <v>9370</v>
      </c>
      <c r="W246" s="6" t="s">
        <v>665</v>
      </c>
      <c r="X246" s="105">
        <v>6.7</v>
      </c>
      <c r="Y246" s="5"/>
      <c r="Z246" s="105">
        <v>6.5</v>
      </c>
      <c r="AA246" s="6" t="s">
        <v>963</v>
      </c>
      <c r="AB246" s="6">
        <v>4.3000000000000007</v>
      </c>
      <c r="AC246" s="6"/>
      <c r="AD246" s="6">
        <v>4.0999999999999996</v>
      </c>
      <c r="AE246" s="6" t="s">
        <v>960</v>
      </c>
      <c r="AF246" s="6"/>
      <c r="AG246" s="5" t="s">
        <v>970</v>
      </c>
      <c r="AH246" s="6"/>
      <c r="AI246" s="6" t="s">
        <v>965</v>
      </c>
      <c r="AJ246" s="108"/>
      <c r="AK246" s="112">
        <v>1.7999999999999999E-2</v>
      </c>
      <c r="AL246" s="6"/>
      <c r="AM246" s="6"/>
      <c r="AN246" s="6"/>
      <c r="AO246" s="5"/>
      <c r="AP246" s="6"/>
      <c r="AQ246" s="28" t="s">
        <v>319</v>
      </c>
      <c r="AR246" s="28" t="s">
        <v>319</v>
      </c>
      <c r="AS246" s="28" t="s">
        <v>319</v>
      </c>
      <c r="AT246" s="28" t="s">
        <v>319</v>
      </c>
      <c r="AU246" s="28" t="s">
        <v>319</v>
      </c>
      <c r="AV246" s="28" t="s">
        <v>319</v>
      </c>
      <c r="AW246" s="28" t="s">
        <v>319</v>
      </c>
      <c r="AX246" s="28" t="s">
        <v>319</v>
      </c>
      <c r="AY246" s="28" t="s">
        <v>319</v>
      </c>
      <c r="AZ246" s="28" t="s">
        <v>319</v>
      </c>
      <c r="BA246" s="28" t="s">
        <v>319</v>
      </c>
      <c r="BB246" s="6" t="s">
        <v>984</v>
      </c>
      <c r="BC246" s="106">
        <v>-15</v>
      </c>
      <c r="BD246" s="106">
        <v>60</v>
      </c>
      <c r="BE246" s="6" t="s">
        <v>1014</v>
      </c>
      <c r="BF246" s="6"/>
      <c r="BG246" s="12">
        <v>12</v>
      </c>
      <c r="BH246" s="28" t="s">
        <v>319</v>
      </c>
      <c r="BI246" s="28" t="s">
        <v>319</v>
      </c>
      <c r="BJ246" s="28" t="s">
        <v>319</v>
      </c>
      <c r="BK246" s="28" t="s">
        <v>319</v>
      </c>
      <c r="BL246" s="28" t="s">
        <v>319</v>
      </c>
      <c r="BM246" s="28" t="s">
        <v>319</v>
      </c>
      <c r="BN246" s="28" t="s">
        <v>319</v>
      </c>
      <c r="BO246" s="28" t="s">
        <v>319</v>
      </c>
      <c r="BP246" s="28" t="s">
        <v>319</v>
      </c>
      <c r="BQ246" s="28" t="s">
        <v>319</v>
      </c>
      <c r="BR246" s="5"/>
      <c r="BS246" s="105"/>
      <c r="BT246" s="6"/>
      <c r="BU246" s="12">
        <v>28</v>
      </c>
      <c r="BV246" s="6" t="s">
        <v>1045</v>
      </c>
      <c r="BW246" s="105">
        <v>1.41</v>
      </c>
      <c r="BX246" s="6"/>
      <c r="BY246" s="6"/>
      <c r="BZ246" s="30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9"/>
      <c r="DB246" s="6"/>
      <c r="DC246" s="30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 t="s">
        <v>319</v>
      </c>
      <c r="DO246" s="28" t="s">
        <v>319</v>
      </c>
      <c r="DP246" s="28" t="s">
        <v>319</v>
      </c>
      <c r="DQ246" s="28" t="s">
        <v>319</v>
      </c>
      <c r="DR246" s="28" t="s">
        <v>319</v>
      </c>
      <c r="DS246" s="28" t="s">
        <v>319</v>
      </c>
      <c r="DT246" s="28" t="s">
        <v>319</v>
      </c>
      <c r="DU246" s="28" t="s">
        <v>319</v>
      </c>
      <c r="DV246" s="28" t="s">
        <v>319</v>
      </c>
      <c r="DW246" s="28" t="s">
        <v>319</v>
      </c>
      <c r="DX246" s="28" t="s">
        <v>319</v>
      </c>
      <c r="DY246" s="28" t="s">
        <v>319</v>
      </c>
      <c r="DZ246" s="28" t="s">
        <v>319</v>
      </c>
      <c r="EA246" s="28" t="s">
        <v>319</v>
      </c>
      <c r="EB246" s="28" t="s">
        <v>319</v>
      </c>
      <c r="EC246" s="28" t="s">
        <v>319</v>
      </c>
      <c r="ED246" s="28" t="s">
        <v>319</v>
      </c>
      <c r="EE246" s="28"/>
      <c r="EF246" s="28" t="s">
        <v>319</v>
      </c>
      <c r="EG246" s="28" t="s">
        <v>319</v>
      </c>
      <c r="EH246" s="28" t="s">
        <v>319</v>
      </c>
      <c r="EI246" s="28" t="s">
        <v>319</v>
      </c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7"/>
      <c r="FK246" s="6"/>
      <c r="FL246" s="6"/>
      <c r="FM246" s="94"/>
    </row>
    <row r="247" spans="1:169" s="3" customFormat="1" x14ac:dyDescent="0.4">
      <c r="A247" s="93"/>
      <c r="B247" s="93"/>
      <c r="C247" s="26"/>
      <c r="D247" s="27" t="s">
        <v>319</v>
      </c>
      <c r="E247" s="2" t="s">
        <v>396</v>
      </c>
      <c r="F247" s="28" t="s">
        <v>319</v>
      </c>
      <c r="G247" s="28" t="s">
        <v>319</v>
      </c>
      <c r="H247" s="28" t="s">
        <v>319</v>
      </c>
      <c r="I247" s="6" t="s">
        <v>393</v>
      </c>
      <c r="J247" s="28" t="s">
        <v>319</v>
      </c>
      <c r="K247" s="28" t="s">
        <v>319</v>
      </c>
      <c r="L247" s="28" t="s">
        <v>319</v>
      </c>
      <c r="M247" s="28" t="s">
        <v>319</v>
      </c>
      <c r="N247" s="28" t="s">
        <v>319</v>
      </c>
      <c r="O247" s="28" t="s">
        <v>319</v>
      </c>
      <c r="P247" s="28" t="s">
        <v>319</v>
      </c>
      <c r="Q247" s="5" t="s">
        <v>675</v>
      </c>
      <c r="R247" s="5" t="s">
        <v>667</v>
      </c>
      <c r="S247" s="6" t="s">
        <v>664</v>
      </c>
      <c r="T247" s="106">
        <v>3015</v>
      </c>
      <c r="U247" s="5"/>
      <c r="V247" s="106">
        <v>6030</v>
      </c>
      <c r="W247" s="6" t="s">
        <v>665</v>
      </c>
      <c r="X247" s="105">
        <v>2.8</v>
      </c>
      <c r="Y247" s="5"/>
      <c r="Z247" s="105">
        <v>2.7</v>
      </c>
      <c r="AA247" s="6" t="s">
        <v>963</v>
      </c>
      <c r="AB247" s="6">
        <v>0.39999999999999991</v>
      </c>
      <c r="AC247" s="6"/>
      <c r="AD247" s="6">
        <v>0.30000000000000027</v>
      </c>
      <c r="AE247" s="6" t="s">
        <v>975</v>
      </c>
      <c r="AF247" s="6"/>
      <c r="AG247" s="12">
        <v>160</v>
      </c>
      <c r="AH247" s="6"/>
      <c r="AI247" s="6" t="s">
        <v>965</v>
      </c>
      <c r="AJ247" s="5"/>
      <c r="AK247" s="112">
        <v>1.4E-2</v>
      </c>
      <c r="AL247" s="6"/>
      <c r="AM247" s="6"/>
      <c r="AN247" s="6"/>
      <c r="AO247" s="5"/>
      <c r="AP247" s="6"/>
      <c r="AQ247" s="28" t="s">
        <v>319</v>
      </c>
      <c r="AR247" s="28" t="s">
        <v>319</v>
      </c>
      <c r="AS247" s="28" t="s">
        <v>319</v>
      </c>
      <c r="AT247" s="28" t="s">
        <v>319</v>
      </c>
      <c r="AU247" s="28" t="s">
        <v>319</v>
      </c>
      <c r="AV247" s="28" t="s">
        <v>319</v>
      </c>
      <c r="AW247" s="28" t="s">
        <v>319</v>
      </c>
      <c r="AX247" s="28" t="s">
        <v>319</v>
      </c>
      <c r="AY247" s="28" t="s">
        <v>319</v>
      </c>
      <c r="AZ247" s="28" t="s">
        <v>319</v>
      </c>
      <c r="BA247" s="28" t="s">
        <v>319</v>
      </c>
      <c r="BB247" s="6" t="s">
        <v>984</v>
      </c>
      <c r="BC247" s="5" t="s">
        <v>681</v>
      </c>
      <c r="BD247" s="106">
        <v>200</v>
      </c>
      <c r="BE247" s="6" t="s">
        <v>1008</v>
      </c>
      <c r="BF247" s="6"/>
      <c r="BG247" s="12">
        <v>6</v>
      </c>
      <c r="BH247" s="28" t="s">
        <v>319</v>
      </c>
      <c r="BI247" s="28" t="s">
        <v>319</v>
      </c>
      <c r="BJ247" s="28" t="s">
        <v>319</v>
      </c>
      <c r="BK247" s="28" t="s">
        <v>319</v>
      </c>
      <c r="BL247" s="28" t="s">
        <v>319</v>
      </c>
      <c r="BM247" s="28" t="s">
        <v>319</v>
      </c>
      <c r="BN247" s="28" t="s">
        <v>319</v>
      </c>
      <c r="BO247" s="28" t="s">
        <v>319</v>
      </c>
      <c r="BP247" s="28" t="s">
        <v>319</v>
      </c>
      <c r="BQ247" s="28" t="s">
        <v>319</v>
      </c>
      <c r="BR247" s="5"/>
      <c r="BS247" s="105"/>
      <c r="BT247" s="6"/>
      <c r="BU247" s="12">
        <v>18</v>
      </c>
      <c r="BV247" s="6" t="s">
        <v>1020</v>
      </c>
      <c r="BW247" s="105">
        <v>1.35</v>
      </c>
      <c r="BX247" s="6"/>
      <c r="BY247" s="6"/>
      <c r="BZ247" s="30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9"/>
      <c r="DB247" s="6"/>
      <c r="DC247" s="30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 t="s">
        <v>319</v>
      </c>
      <c r="DO247" s="28" t="s">
        <v>319</v>
      </c>
      <c r="DP247" s="28" t="s">
        <v>319</v>
      </c>
      <c r="DQ247" s="28" t="s">
        <v>319</v>
      </c>
      <c r="DR247" s="28" t="s">
        <v>319</v>
      </c>
      <c r="DS247" s="28" t="s">
        <v>319</v>
      </c>
      <c r="DT247" s="28" t="s">
        <v>319</v>
      </c>
      <c r="DU247" s="28" t="s">
        <v>319</v>
      </c>
      <c r="DV247" s="28" t="s">
        <v>319</v>
      </c>
      <c r="DW247" s="28" t="s">
        <v>319</v>
      </c>
      <c r="DX247" s="28" t="s">
        <v>319</v>
      </c>
      <c r="DY247" s="28" t="s">
        <v>319</v>
      </c>
      <c r="DZ247" s="28" t="s">
        <v>319</v>
      </c>
      <c r="EA247" s="28" t="s">
        <v>319</v>
      </c>
      <c r="EB247" s="28" t="s">
        <v>319</v>
      </c>
      <c r="EC247" s="28" t="s">
        <v>319</v>
      </c>
      <c r="ED247" s="28" t="s">
        <v>319</v>
      </c>
      <c r="EE247" s="28"/>
      <c r="EF247" s="28" t="s">
        <v>319</v>
      </c>
      <c r="EG247" s="28" t="s">
        <v>319</v>
      </c>
      <c r="EH247" s="28" t="s">
        <v>319</v>
      </c>
      <c r="EI247" s="28" t="s">
        <v>319</v>
      </c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7"/>
      <c r="FK247" s="6"/>
      <c r="FL247" s="6"/>
      <c r="FM247" s="94"/>
    </row>
    <row r="248" spans="1:169" s="3" customFormat="1" x14ac:dyDescent="0.4">
      <c r="A248" s="93"/>
      <c r="B248" s="93"/>
      <c r="C248" s="26"/>
      <c r="D248" s="27" t="s">
        <v>319</v>
      </c>
      <c r="E248" s="2" t="s">
        <v>397</v>
      </c>
      <c r="F248" s="28" t="s">
        <v>319</v>
      </c>
      <c r="G248" s="28" t="s">
        <v>319</v>
      </c>
      <c r="H248" s="28" t="s">
        <v>319</v>
      </c>
      <c r="I248" s="6" t="s">
        <v>398</v>
      </c>
      <c r="J248" s="28" t="s">
        <v>319</v>
      </c>
      <c r="K248" s="28" t="s">
        <v>319</v>
      </c>
      <c r="L248" s="28" t="s">
        <v>319</v>
      </c>
      <c r="M248" s="28" t="s">
        <v>319</v>
      </c>
      <c r="N248" s="28" t="s">
        <v>319</v>
      </c>
      <c r="O248" s="28" t="s">
        <v>319</v>
      </c>
      <c r="P248" s="28" t="s">
        <v>319</v>
      </c>
      <c r="Q248" s="5" t="s">
        <v>894</v>
      </c>
      <c r="R248" s="5" t="s">
        <v>663</v>
      </c>
      <c r="S248" s="6" t="s">
        <v>678</v>
      </c>
      <c r="T248" s="5" t="s">
        <v>895</v>
      </c>
      <c r="U248" s="5" t="s">
        <v>896</v>
      </c>
      <c r="V248" s="5" t="s">
        <v>897</v>
      </c>
      <c r="W248" s="6" t="s">
        <v>665</v>
      </c>
      <c r="X248" s="105">
        <v>35.24</v>
      </c>
      <c r="Y248" s="105">
        <v>33.71</v>
      </c>
      <c r="Z248" s="105">
        <v>33.090000000000003</v>
      </c>
      <c r="AA248" s="6" t="s">
        <v>963</v>
      </c>
      <c r="AB248" s="6">
        <v>14.360000000000003</v>
      </c>
      <c r="AC248" s="6">
        <v>12.760000000000002</v>
      </c>
      <c r="AD248" s="6">
        <v>12.030000000000005</v>
      </c>
      <c r="AE248" s="6" t="s">
        <v>956</v>
      </c>
      <c r="AF248" s="6"/>
      <c r="AG248" s="12">
        <v>40.200000000000003</v>
      </c>
      <c r="AH248" s="6"/>
      <c r="AI248" s="6" t="s">
        <v>973</v>
      </c>
      <c r="AJ248" s="108"/>
      <c r="AK248" s="108">
        <v>7.3999999999999996E-2</v>
      </c>
      <c r="AL248" s="6"/>
      <c r="AM248" s="6" t="s">
        <v>958</v>
      </c>
      <c r="AN248" s="6"/>
      <c r="AO248" s="105">
        <v>16.64</v>
      </c>
      <c r="AP248" s="6"/>
      <c r="AQ248" s="28" t="s">
        <v>319</v>
      </c>
      <c r="AR248" s="28" t="s">
        <v>319</v>
      </c>
      <c r="AS248" s="28" t="s">
        <v>319</v>
      </c>
      <c r="AT248" s="28" t="s">
        <v>319</v>
      </c>
      <c r="AU248" s="28" t="s">
        <v>319</v>
      </c>
      <c r="AV248" s="28" t="s">
        <v>319</v>
      </c>
      <c r="AW248" s="28" t="s">
        <v>319</v>
      </c>
      <c r="AX248" s="28" t="s">
        <v>319</v>
      </c>
      <c r="AY248" s="28" t="s">
        <v>319</v>
      </c>
      <c r="AZ248" s="28" t="s">
        <v>319</v>
      </c>
      <c r="BA248" s="28" t="s">
        <v>319</v>
      </c>
      <c r="BB248" s="6" t="s">
        <v>984</v>
      </c>
      <c r="BC248" s="106">
        <v>-47</v>
      </c>
      <c r="BD248" s="106">
        <v>90</v>
      </c>
      <c r="BE248" s="6" t="s">
        <v>1008</v>
      </c>
      <c r="BF248" s="6"/>
      <c r="BG248" s="12">
        <v>39</v>
      </c>
      <c r="BH248" s="28" t="s">
        <v>319</v>
      </c>
      <c r="BI248" s="28" t="s">
        <v>319</v>
      </c>
      <c r="BJ248" s="28" t="s">
        <v>319</v>
      </c>
      <c r="BK248" s="28" t="s">
        <v>319</v>
      </c>
      <c r="BL248" s="28" t="s">
        <v>319</v>
      </c>
      <c r="BM248" s="28" t="s">
        <v>319</v>
      </c>
      <c r="BN248" s="28" t="s">
        <v>319</v>
      </c>
      <c r="BO248" s="28" t="s">
        <v>319</v>
      </c>
      <c r="BP248" s="28" t="s">
        <v>319</v>
      </c>
      <c r="BQ248" s="28" t="s">
        <v>319</v>
      </c>
      <c r="BR248" s="12">
        <v>46.8</v>
      </c>
      <c r="BS248" s="12">
        <v>477.7</v>
      </c>
      <c r="BT248" s="6"/>
      <c r="BU248" s="5"/>
      <c r="BV248" s="6"/>
      <c r="BW248" s="111"/>
      <c r="BX248" s="6"/>
      <c r="BY248" s="6"/>
      <c r="BZ248" s="30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9"/>
      <c r="DB248" s="6"/>
      <c r="DC248" s="30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 t="s">
        <v>319</v>
      </c>
      <c r="DO248" s="28" t="s">
        <v>319</v>
      </c>
      <c r="DP248" s="28" t="s">
        <v>319</v>
      </c>
      <c r="DQ248" s="28" t="s">
        <v>319</v>
      </c>
      <c r="DR248" s="28" t="s">
        <v>319</v>
      </c>
      <c r="DS248" s="28" t="s">
        <v>319</v>
      </c>
      <c r="DT248" s="28" t="s">
        <v>319</v>
      </c>
      <c r="DU248" s="28" t="s">
        <v>319</v>
      </c>
      <c r="DV248" s="28" t="s">
        <v>319</v>
      </c>
      <c r="DW248" s="28" t="s">
        <v>319</v>
      </c>
      <c r="DX248" s="28" t="s">
        <v>319</v>
      </c>
      <c r="DY248" s="28" t="s">
        <v>319</v>
      </c>
      <c r="DZ248" s="28" t="s">
        <v>319</v>
      </c>
      <c r="EA248" s="28" t="s">
        <v>319</v>
      </c>
      <c r="EB248" s="28" t="s">
        <v>319</v>
      </c>
      <c r="EC248" s="28" t="s">
        <v>319</v>
      </c>
      <c r="ED248" s="28" t="s">
        <v>319</v>
      </c>
      <c r="EE248" s="28"/>
      <c r="EF248" s="28" t="s">
        <v>319</v>
      </c>
      <c r="EG248" s="28" t="s">
        <v>319</v>
      </c>
      <c r="EH248" s="28" t="s">
        <v>319</v>
      </c>
      <c r="EI248" s="28" t="s">
        <v>319</v>
      </c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7"/>
      <c r="FK248" s="6"/>
      <c r="FL248" s="6"/>
      <c r="FM248" s="97"/>
    </row>
    <row r="249" spans="1:169" s="3" customFormat="1" x14ac:dyDescent="0.4">
      <c r="A249" s="93"/>
      <c r="B249" s="93"/>
      <c r="C249" s="26"/>
      <c r="D249" s="27" t="s">
        <v>319</v>
      </c>
      <c r="E249" s="2" t="s">
        <v>399</v>
      </c>
      <c r="F249" s="28" t="s">
        <v>319</v>
      </c>
      <c r="G249" s="28" t="s">
        <v>319</v>
      </c>
      <c r="H249" s="28" t="s">
        <v>319</v>
      </c>
      <c r="I249" s="6" t="s">
        <v>398</v>
      </c>
      <c r="J249" s="28" t="s">
        <v>319</v>
      </c>
      <c r="K249" s="28" t="s">
        <v>319</v>
      </c>
      <c r="L249" s="28" t="s">
        <v>319</v>
      </c>
      <c r="M249" s="28" t="s">
        <v>319</v>
      </c>
      <c r="N249" s="28" t="s">
        <v>319</v>
      </c>
      <c r="O249" s="28" t="s">
        <v>319</v>
      </c>
      <c r="P249" s="28" t="s">
        <v>319</v>
      </c>
      <c r="Q249" s="5" t="s">
        <v>673</v>
      </c>
      <c r="R249" s="5" t="s">
        <v>663</v>
      </c>
      <c r="S249" s="6" t="s">
        <v>669</v>
      </c>
      <c r="T249" s="5"/>
      <c r="U249" s="5"/>
      <c r="V249" s="223">
        <f>225*478</f>
        <v>107550</v>
      </c>
      <c r="W249" s="6" t="s">
        <v>665</v>
      </c>
      <c r="X249" s="5"/>
      <c r="Y249" s="5"/>
      <c r="Z249" s="222">
        <v>34.94</v>
      </c>
      <c r="AA249" s="6" t="s">
        <v>994</v>
      </c>
      <c r="AB249" s="6"/>
      <c r="AC249" s="6"/>
      <c r="AD249" s="219" t="s">
        <v>1468</v>
      </c>
      <c r="AE249" s="6" t="s">
        <v>956</v>
      </c>
      <c r="AF249" s="6"/>
      <c r="AG249" s="12">
        <v>40.200000000000003</v>
      </c>
      <c r="AH249" s="6"/>
      <c r="AI249" s="6" t="s">
        <v>965</v>
      </c>
      <c r="AJ249" s="108"/>
      <c r="AK249" s="108">
        <v>7.3999999999999996E-2</v>
      </c>
      <c r="AL249" s="6"/>
      <c r="AM249" s="6" t="s">
        <v>958</v>
      </c>
      <c r="AN249" s="6"/>
      <c r="AO249" s="105">
        <v>16.64</v>
      </c>
      <c r="AP249" s="6"/>
      <c r="AQ249" s="28" t="s">
        <v>319</v>
      </c>
      <c r="AR249" s="28" t="s">
        <v>319</v>
      </c>
      <c r="AS249" s="28" t="s">
        <v>319</v>
      </c>
      <c r="AT249" s="28" t="s">
        <v>319</v>
      </c>
      <c r="AU249" s="28" t="s">
        <v>319</v>
      </c>
      <c r="AV249" s="28" t="s">
        <v>319</v>
      </c>
      <c r="AW249" s="28" t="s">
        <v>319</v>
      </c>
      <c r="AX249" s="28" t="s">
        <v>319</v>
      </c>
      <c r="AY249" s="28" t="s">
        <v>319</v>
      </c>
      <c r="AZ249" s="28" t="s">
        <v>319</v>
      </c>
      <c r="BA249" s="28" t="s">
        <v>319</v>
      </c>
      <c r="BB249" s="6" t="s">
        <v>984</v>
      </c>
      <c r="BC249" s="106">
        <v>-47</v>
      </c>
      <c r="BD249" s="106">
        <v>90</v>
      </c>
      <c r="BE249" s="6" t="s">
        <v>1013</v>
      </c>
      <c r="BF249" s="6"/>
      <c r="BG249" s="12">
        <v>39</v>
      </c>
      <c r="BH249" s="28" t="s">
        <v>319</v>
      </c>
      <c r="BI249" s="28" t="s">
        <v>319</v>
      </c>
      <c r="BJ249" s="28" t="s">
        <v>319</v>
      </c>
      <c r="BK249" s="28" t="s">
        <v>319</v>
      </c>
      <c r="BL249" s="28" t="s">
        <v>319</v>
      </c>
      <c r="BM249" s="28" t="s">
        <v>319</v>
      </c>
      <c r="BN249" s="28" t="s">
        <v>319</v>
      </c>
      <c r="BO249" s="28" t="s">
        <v>319</v>
      </c>
      <c r="BP249" s="28" t="s">
        <v>319</v>
      </c>
      <c r="BQ249" s="28" t="s">
        <v>319</v>
      </c>
      <c r="BR249" s="105">
        <v>46.81</v>
      </c>
      <c r="BS249" s="12">
        <v>477.7</v>
      </c>
      <c r="BT249" s="6"/>
      <c r="BU249" s="5"/>
      <c r="BV249" s="6"/>
      <c r="BW249" s="111"/>
      <c r="BX249" s="6"/>
      <c r="BY249" s="6"/>
      <c r="BZ249" s="30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9"/>
      <c r="DB249" s="6"/>
      <c r="DC249" s="30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 t="s">
        <v>319</v>
      </c>
      <c r="DO249" s="28" t="s">
        <v>319</v>
      </c>
      <c r="DP249" s="28" t="s">
        <v>319</v>
      </c>
      <c r="DQ249" s="28" t="s">
        <v>319</v>
      </c>
      <c r="DR249" s="28" t="s">
        <v>319</v>
      </c>
      <c r="DS249" s="28" t="s">
        <v>319</v>
      </c>
      <c r="DT249" s="28" t="s">
        <v>319</v>
      </c>
      <c r="DU249" s="28" t="s">
        <v>319</v>
      </c>
      <c r="DV249" s="28" t="s">
        <v>319</v>
      </c>
      <c r="DW249" s="28" t="s">
        <v>319</v>
      </c>
      <c r="DX249" s="28" t="s">
        <v>319</v>
      </c>
      <c r="DY249" s="28" t="s">
        <v>319</v>
      </c>
      <c r="DZ249" s="28" t="s">
        <v>319</v>
      </c>
      <c r="EA249" s="28" t="s">
        <v>319</v>
      </c>
      <c r="EB249" s="28" t="s">
        <v>319</v>
      </c>
      <c r="EC249" s="28" t="s">
        <v>319</v>
      </c>
      <c r="ED249" s="28" t="s">
        <v>319</v>
      </c>
      <c r="EE249" s="28"/>
      <c r="EF249" s="28" t="s">
        <v>319</v>
      </c>
      <c r="EG249" s="28" t="s">
        <v>319</v>
      </c>
      <c r="EH249" s="28" t="s">
        <v>319</v>
      </c>
      <c r="EI249" s="28" t="s">
        <v>319</v>
      </c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7"/>
      <c r="FK249" s="6"/>
      <c r="FL249" s="6"/>
      <c r="FM249" s="97"/>
    </row>
    <row r="250" spans="1:169" s="3" customFormat="1" x14ac:dyDescent="0.4">
      <c r="A250" s="93"/>
      <c r="B250" s="93"/>
      <c r="C250" s="26"/>
      <c r="D250" s="27" t="s">
        <v>319</v>
      </c>
      <c r="E250" s="4" t="s">
        <v>400</v>
      </c>
      <c r="F250" s="28" t="s">
        <v>319</v>
      </c>
      <c r="G250" s="28" t="s">
        <v>319</v>
      </c>
      <c r="H250" s="28" t="s">
        <v>319</v>
      </c>
      <c r="I250" s="6" t="s">
        <v>398</v>
      </c>
      <c r="J250" s="28" t="s">
        <v>319</v>
      </c>
      <c r="K250" s="28" t="s">
        <v>319</v>
      </c>
      <c r="L250" s="28" t="s">
        <v>319</v>
      </c>
      <c r="M250" s="28" t="s">
        <v>319</v>
      </c>
      <c r="N250" s="28" t="s">
        <v>319</v>
      </c>
      <c r="O250" s="28" t="s">
        <v>319</v>
      </c>
      <c r="P250" s="28" t="s">
        <v>319</v>
      </c>
      <c r="Q250" s="5" t="s">
        <v>673</v>
      </c>
      <c r="R250" s="5" t="s">
        <v>663</v>
      </c>
      <c r="S250" s="6" t="s">
        <v>672</v>
      </c>
      <c r="T250" s="5" t="s">
        <v>898</v>
      </c>
      <c r="U250" s="5" t="s">
        <v>899</v>
      </c>
      <c r="V250" s="5" t="s">
        <v>900</v>
      </c>
      <c r="W250" s="6" t="s">
        <v>665</v>
      </c>
      <c r="X250" s="105">
        <v>35.46</v>
      </c>
      <c r="Y250" s="105">
        <v>33.49</v>
      </c>
      <c r="Z250" s="105">
        <v>33</v>
      </c>
      <c r="AA250" s="6" t="s">
        <v>963</v>
      </c>
      <c r="AB250" s="225">
        <f>6.13+0.2</f>
        <v>6.33</v>
      </c>
      <c r="AC250" s="225">
        <f>4.13+0.2</f>
        <v>4.33</v>
      </c>
      <c r="AD250" s="225">
        <f>3.5+0.2</f>
        <v>3.7</v>
      </c>
      <c r="AE250" s="6" t="s">
        <v>956</v>
      </c>
      <c r="AF250" s="6"/>
      <c r="AG250" s="12">
        <v>40.200000000000003</v>
      </c>
      <c r="AH250" s="6"/>
      <c r="AI250" s="6" t="s">
        <v>965</v>
      </c>
      <c r="AJ250" s="108"/>
      <c r="AK250" s="108">
        <v>7.3999999999999996E-2</v>
      </c>
      <c r="AL250" s="6"/>
      <c r="AM250" s="6" t="s">
        <v>958</v>
      </c>
      <c r="AN250" s="6"/>
      <c r="AO250" s="105">
        <v>16.64</v>
      </c>
      <c r="AP250" s="6"/>
      <c r="AQ250" s="28" t="s">
        <v>319</v>
      </c>
      <c r="AR250" s="28" t="s">
        <v>319</v>
      </c>
      <c r="AS250" s="28" t="s">
        <v>319</v>
      </c>
      <c r="AT250" s="28" t="s">
        <v>319</v>
      </c>
      <c r="AU250" s="28" t="s">
        <v>319</v>
      </c>
      <c r="AV250" s="28" t="s">
        <v>319</v>
      </c>
      <c r="AW250" s="28" t="s">
        <v>319</v>
      </c>
      <c r="AX250" s="28" t="s">
        <v>319</v>
      </c>
      <c r="AY250" s="28" t="s">
        <v>319</v>
      </c>
      <c r="AZ250" s="28" t="s">
        <v>319</v>
      </c>
      <c r="BA250" s="28" t="s">
        <v>319</v>
      </c>
      <c r="BB250" s="6" t="s">
        <v>984</v>
      </c>
      <c r="BC250" s="106">
        <v>-47</v>
      </c>
      <c r="BD250" s="106">
        <v>90</v>
      </c>
      <c r="BE250" s="6" t="s">
        <v>1014</v>
      </c>
      <c r="BF250" s="6"/>
      <c r="BG250" s="12">
        <v>39</v>
      </c>
      <c r="BH250" s="28" t="s">
        <v>319</v>
      </c>
      <c r="BI250" s="28" t="s">
        <v>319</v>
      </c>
      <c r="BJ250" s="28" t="s">
        <v>319</v>
      </c>
      <c r="BK250" s="28" t="s">
        <v>319</v>
      </c>
      <c r="BL250" s="28" t="s">
        <v>319</v>
      </c>
      <c r="BM250" s="28" t="s">
        <v>319</v>
      </c>
      <c r="BN250" s="28" t="s">
        <v>319</v>
      </c>
      <c r="BO250" s="28" t="s">
        <v>319</v>
      </c>
      <c r="BP250" s="28" t="s">
        <v>319</v>
      </c>
      <c r="BQ250" s="28" t="s">
        <v>319</v>
      </c>
      <c r="BR250" s="105">
        <v>46.81</v>
      </c>
      <c r="BS250" s="12">
        <v>477.7</v>
      </c>
      <c r="BT250" s="6"/>
      <c r="BU250" s="5"/>
      <c r="BV250" s="6"/>
      <c r="BW250" s="111"/>
      <c r="BX250" s="6"/>
      <c r="BY250" s="6"/>
      <c r="BZ250" s="30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9"/>
      <c r="DB250" s="6"/>
      <c r="DC250" s="30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 t="s">
        <v>319</v>
      </c>
      <c r="DO250" s="28" t="s">
        <v>319</v>
      </c>
      <c r="DP250" s="28" t="s">
        <v>319</v>
      </c>
      <c r="DQ250" s="28" t="s">
        <v>319</v>
      </c>
      <c r="DR250" s="28" t="s">
        <v>319</v>
      </c>
      <c r="DS250" s="28" t="s">
        <v>319</v>
      </c>
      <c r="DT250" s="28" t="s">
        <v>319</v>
      </c>
      <c r="DU250" s="28" t="s">
        <v>319</v>
      </c>
      <c r="DV250" s="28" t="s">
        <v>319</v>
      </c>
      <c r="DW250" s="28" t="s">
        <v>319</v>
      </c>
      <c r="DX250" s="28" t="s">
        <v>319</v>
      </c>
      <c r="DY250" s="28" t="s">
        <v>319</v>
      </c>
      <c r="DZ250" s="28" t="s">
        <v>319</v>
      </c>
      <c r="EA250" s="28" t="s">
        <v>319</v>
      </c>
      <c r="EB250" s="28" t="s">
        <v>319</v>
      </c>
      <c r="EC250" s="28" t="s">
        <v>319</v>
      </c>
      <c r="ED250" s="28" t="s">
        <v>319</v>
      </c>
      <c r="EE250" s="28"/>
      <c r="EF250" s="28" t="s">
        <v>319</v>
      </c>
      <c r="EG250" s="28" t="s">
        <v>319</v>
      </c>
      <c r="EH250" s="28" t="s">
        <v>319</v>
      </c>
      <c r="EI250" s="28" t="s">
        <v>319</v>
      </c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7"/>
      <c r="FK250" s="6"/>
      <c r="FL250" s="6"/>
      <c r="FM250" s="97"/>
    </row>
    <row r="251" spans="1:169" s="3" customFormat="1" ht="34.799999999999997" x14ac:dyDescent="0.4">
      <c r="A251" s="93"/>
      <c r="B251" s="93"/>
      <c r="C251" s="26"/>
      <c r="D251" s="27" t="s">
        <v>319</v>
      </c>
      <c r="E251" s="4" t="s">
        <v>508</v>
      </c>
      <c r="F251" s="28" t="s">
        <v>319</v>
      </c>
      <c r="G251" s="28" t="s">
        <v>319</v>
      </c>
      <c r="H251" s="28" t="s">
        <v>319</v>
      </c>
      <c r="I251" s="6" t="s">
        <v>398</v>
      </c>
      <c r="J251" s="28" t="s">
        <v>319</v>
      </c>
      <c r="K251" s="28" t="s">
        <v>319</v>
      </c>
      <c r="L251" s="28" t="s">
        <v>319</v>
      </c>
      <c r="M251" s="28" t="s">
        <v>319</v>
      </c>
      <c r="N251" s="28" t="s">
        <v>319</v>
      </c>
      <c r="O251" s="28" t="s">
        <v>319</v>
      </c>
      <c r="P251" s="28" t="s">
        <v>319</v>
      </c>
      <c r="Q251" s="5" t="s">
        <v>845</v>
      </c>
      <c r="R251" s="5" t="s">
        <v>667</v>
      </c>
      <c r="S251" s="6" t="s">
        <v>672</v>
      </c>
      <c r="T251" s="214" t="s">
        <v>1443</v>
      </c>
      <c r="U251" s="214" t="s">
        <v>1444</v>
      </c>
      <c r="V251" s="5" t="s">
        <v>901</v>
      </c>
      <c r="W251" s="6" t="s">
        <v>665</v>
      </c>
      <c r="X251" s="105">
        <v>33.450000000000003</v>
      </c>
      <c r="Y251" s="105">
        <v>33.44</v>
      </c>
      <c r="Z251" s="105">
        <v>33.42</v>
      </c>
      <c r="AA251" s="6" t="s">
        <v>963</v>
      </c>
      <c r="AB251" s="6">
        <v>7.3500000000000014</v>
      </c>
      <c r="AC251" s="6">
        <v>7.3399999999999963</v>
      </c>
      <c r="AD251" s="6">
        <v>7.3100000000000023</v>
      </c>
      <c r="AE251" s="6" t="s">
        <v>956</v>
      </c>
      <c r="AF251" s="6"/>
      <c r="AG251" s="12">
        <v>35</v>
      </c>
      <c r="AH251" s="6"/>
      <c r="AI251" s="6" t="s">
        <v>965</v>
      </c>
      <c r="AJ251" s="108"/>
      <c r="AK251" s="112">
        <v>9.1999999999999998E-3</v>
      </c>
      <c r="AL251" s="6"/>
      <c r="AM251" s="6"/>
      <c r="AN251" s="6"/>
      <c r="AO251" s="5"/>
      <c r="AP251" s="6"/>
      <c r="AQ251" s="28" t="s">
        <v>319</v>
      </c>
      <c r="AR251" s="28" t="s">
        <v>319</v>
      </c>
      <c r="AS251" s="28" t="s">
        <v>319</v>
      </c>
      <c r="AT251" s="28" t="s">
        <v>319</v>
      </c>
      <c r="AU251" s="28" t="s">
        <v>319</v>
      </c>
      <c r="AV251" s="28" t="s">
        <v>319</v>
      </c>
      <c r="AW251" s="28" t="s">
        <v>319</v>
      </c>
      <c r="AX251" s="28" t="s">
        <v>319</v>
      </c>
      <c r="AY251" s="28" t="s">
        <v>319</v>
      </c>
      <c r="AZ251" s="28" t="s">
        <v>319</v>
      </c>
      <c r="BA251" s="28" t="s">
        <v>319</v>
      </c>
      <c r="BB251" s="6" t="s">
        <v>984</v>
      </c>
      <c r="BC251" s="232"/>
      <c r="BD251" s="212" t="s">
        <v>1453</v>
      </c>
      <c r="BE251" s="6" t="s">
        <v>1013</v>
      </c>
      <c r="BF251" s="6"/>
      <c r="BG251" s="185">
        <v>46</v>
      </c>
      <c r="BH251" s="28" t="s">
        <v>319</v>
      </c>
      <c r="BI251" s="28" t="s">
        <v>319</v>
      </c>
      <c r="BJ251" s="28" t="s">
        <v>319</v>
      </c>
      <c r="BK251" s="28" t="s">
        <v>319</v>
      </c>
      <c r="BL251" s="28" t="s">
        <v>319</v>
      </c>
      <c r="BM251" s="28" t="s">
        <v>319</v>
      </c>
      <c r="BN251" s="28" t="s">
        <v>319</v>
      </c>
      <c r="BO251" s="28" t="s">
        <v>319</v>
      </c>
      <c r="BP251" s="28" t="s">
        <v>319</v>
      </c>
      <c r="BQ251" s="28" t="s">
        <v>319</v>
      </c>
      <c r="BR251" s="5"/>
      <c r="BS251" s="105"/>
      <c r="BT251" s="6"/>
      <c r="BU251" s="12">
        <v>2</v>
      </c>
      <c r="BV251" s="6" t="s">
        <v>1037</v>
      </c>
      <c r="BW251" s="105">
        <v>1.4</v>
      </c>
      <c r="BX251" s="6"/>
      <c r="BY251" s="6"/>
      <c r="BZ251" s="30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9"/>
      <c r="DB251" s="6"/>
      <c r="DC251" s="30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 t="s">
        <v>319</v>
      </c>
      <c r="DO251" s="28" t="s">
        <v>319</v>
      </c>
      <c r="DP251" s="28" t="s">
        <v>319</v>
      </c>
      <c r="DQ251" s="28" t="s">
        <v>319</v>
      </c>
      <c r="DR251" s="28" t="s">
        <v>319</v>
      </c>
      <c r="DS251" s="28" t="s">
        <v>319</v>
      </c>
      <c r="DT251" s="28" t="s">
        <v>319</v>
      </c>
      <c r="DU251" s="28" t="s">
        <v>319</v>
      </c>
      <c r="DV251" s="28" t="s">
        <v>319</v>
      </c>
      <c r="DW251" s="28" t="s">
        <v>319</v>
      </c>
      <c r="DX251" s="28" t="s">
        <v>319</v>
      </c>
      <c r="DY251" s="28" t="s">
        <v>319</v>
      </c>
      <c r="DZ251" s="28" t="s">
        <v>319</v>
      </c>
      <c r="EA251" s="28" t="s">
        <v>319</v>
      </c>
      <c r="EB251" s="28" t="s">
        <v>319</v>
      </c>
      <c r="EC251" s="28" t="s">
        <v>319</v>
      </c>
      <c r="ED251" s="28" t="s">
        <v>319</v>
      </c>
      <c r="EE251" s="28"/>
      <c r="EF251" s="28" t="s">
        <v>319</v>
      </c>
      <c r="EG251" s="28" t="s">
        <v>319</v>
      </c>
      <c r="EH251" s="28" t="s">
        <v>319</v>
      </c>
      <c r="EI251" s="28" t="s">
        <v>319</v>
      </c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7"/>
      <c r="FK251" s="15" t="s">
        <v>1060</v>
      </c>
      <c r="FL251" s="6"/>
      <c r="FM251" s="94"/>
    </row>
    <row r="252" spans="1:169" s="3" customFormat="1" ht="34.799999999999997" x14ac:dyDescent="0.4">
      <c r="A252" s="93"/>
      <c r="B252" s="93"/>
      <c r="C252" s="26"/>
      <c r="D252" s="27" t="s">
        <v>319</v>
      </c>
      <c r="E252" s="2" t="s">
        <v>509</v>
      </c>
      <c r="F252" s="28" t="s">
        <v>319</v>
      </c>
      <c r="G252" s="28" t="s">
        <v>319</v>
      </c>
      <c r="H252" s="28" t="s">
        <v>319</v>
      </c>
      <c r="I252" s="6" t="s">
        <v>398</v>
      </c>
      <c r="J252" s="28" t="s">
        <v>319</v>
      </c>
      <c r="K252" s="28" t="s">
        <v>319</v>
      </c>
      <c r="L252" s="28" t="s">
        <v>319</v>
      </c>
      <c r="M252" s="28" t="s">
        <v>319</v>
      </c>
      <c r="N252" s="28" t="s">
        <v>319</v>
      </c>
      <c r="O252" s="28" t="s">
        <v>319</v>
      </c>
      <c r="P252" s="28" t="s">
        <v>319</v>
      </c>
      <c r="Q252" s="5" t="s">
        <v>673</v>
      </c>
      <c r="R252" s="5" t="s">
        <v>667</v>
      </c>
      <c r="S252" s="6" t="s">
        <v>669</v>
      </c>
      <c r="T252" s="5"/>
      <c r="U252" s="5"/>
      <c r="V252" s="5" t="s">
        <v>902</v>
      </c>
      <c r="W252" s="6" t="s">
        <v>665</v>
      </c>
      <c r="X252" s="5"/>
      <c r="Y252" s="5"/>
      <c r="Z252" s="105">
        <v>25.9</v>
      </c>
      <c r="AA252" s="6" t="s">
        <v>963</v>
      </c>
      <c r="AB252" s="6"/>
      <c r="AC252" s="6"/>
      <c r="AD252" s="6">
        <v>16.769999999999996</v>
      </c>
      <c r="AE252" s="6" t="s">
        <v>956</v>
      </c>
      <c r="AF252" s="6"/>
      <c r="AG252" s="12">
        <v>40</v>
      </c>
      <c r="AH252" s="6"/>
      <c r="AI252" s="6" t="s">
        <v>965</v>
      </c>
      <c r="AJ252" s="108"/>
      <c r="AK252" s="112">
        <v>1.2E-2</v>
      </c>
      <c r="AL252" s="6"/>
      <c r="AM252" s="6"/>
      <c r="AN252" s="6"/>
      <c r="AO252" s="5"/>
      <c r="AP252" s="6"/>
      <c r="AQ252" s="28" t="s">
        <v>319</v>
      </c>
      <c r="AR252" s="28" t="s">
        <v>319</v>
      </c>
      <c r="AS252" s="28" t="s">
        <v>319</v>
      </c>
      <c r="AT252" s="28" t="s">
        <v>319</v>
      </c>
      <c r="AU252" s="28" t="s">
        <v>319</v>
      </c>
      <c r="AV252" s="28" t="s">
        <v>319</v>
      </c>
      <c r="AW252" s="28" t="s">
        <v>319</v>
      </c>
      <c r="AX252" s="28" t="s">
        <v>319</v>
      </c>
      <c r="AY252" s="28" t="s">
        <v>319</v>
      </c>
      <c r="AZ252" s="28" t="s">
        <v>319</v>
      </c>
      <c r="BA252" s="28" t="s">
        <v>319</v>
      </c>
      <c r="BB252" s="6" t="s">
        <v>984</v>
      </c>
      <c r="BC252" s="183">
        <v>-47</v>
      </c>
      <c r="BD252" s="183">
        <v>250</v>
      </c>
      <c r="BE252" s="6" t="s">
        <v>1010</v>
      </c>
      <c r="BF252" s="6"/>
      <c r="BG252" s="12">
        <v>29</v>
      </c>
      <c r="BH252" s="28" t="s">
        <v>319</v>
      </c>
      <c r="BI252" s="28" t="s">
        <v>319</v>
      </c>
      <c r="BJ252" s="28" t="s">
        <v>319</v>
      </c>
      <c r="BK252" s="28" t="s">
        <v>319</v>
      </c>
      <c r="BL252" s="28" t="s">
        <v>319</v>
      </c>
      <c r="BM252" s="28" t="s">
        <v>319</v>
      </c>
      <c r="BN252" s="28" t="s">
        <v>319</v>
      </c>
      <c r="BO252" s="28" t="s">
        <v>319</v>
      </c>
      <c r="BP252" s="28" t="s">
        <v>319</v>
      </c>
      <c r="BQ252" s="28" t="s">
        <v>319</v>
      </c>
      <c r="BR252" s="5"/>
      <c r="BS252" s="105"/>
      <c r="BT252" s="6"/>
      <c r="BU252" s="12">
        <v>42.2</v>
      </c>
      <c r="BV252" s="6" t="s">
        <v>989</v>
      </c>
      <c r="BW252" s="105">
        <v>1.4</v>
      </c>
      <c r="BX252" s="6"/>
      <c r="BY252" s="6"/>
      <c r="BZ252" s="30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9"/>
      <c r="DB252" s="6"/>
      <c r="DC252" s="30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 t="s">
        <v>319</v>
      </c>
      <c r="DO252" s="28" t="s">
        <v>319</v>
      </c>
      <c r="DP252" s="28" t="s">
        <v>319</v>
      </c>
      <c r="DQ252" s="28" t="s">
        <v>319</v>
      </c>
      <c r="DR252" s="28" t="s">
        <v>319</v>
      </c>
      <c r="DS252" s="28" t="s">
        <v>319</v>
      </c>
      <c r="DT252" s="28" t="s">
        <v>319</v>
      </c>
      <c r="DU252" s="28" t="s">
        <v>319</v>
      </c>
      <c r="DV252" s="28" t="s">
        <v>319</v>
      </c>
      <c r="DW252" s="28" t="s">
        <v>319</v>
      </c>
      <c r="DX252" s="28" t="s">
        <v>319</v>
      </c>
      <c r="DY252" s="28" t="s">
        <v>319</v>
      </c>
      <c r="DZ252" s="28" t="s">
        <v>319</v>
      </c>
      <c r="EA252" s="28" t="s">
        <v>319</v>
      </c>
      <c r="EB252" s="28" t="s">
        <v>319</v>
      </c>
      <c r="EC252" s="28" t="s">
        <v>319</v>
      </c>
      <c r="ED252" s="28" t="s">
        <v>319</v>
      </c>
      <c r="EE252" s="28"/>
      <c r="EF252" s="28" t="s">
        <v>319</v>
      </c>
      <c r="EG252" s="28" t="s">
        <v>319</v>
      </c>
      <c r="EH252" s="28" t="s">
        <v>319</v>
      </c>
      <c r="EI252" s="28" t="s">
        <v>319</v>
      </c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7"/>
      <c r="FK252" s="15" t="s">
        <v>1060</v>
      </c>
      <c r="FL252" s="6"/>
      <c r="FM252" s="94"/>
    </row>
    <row r="253" spans="1:169" s="3" customFormat="1" x14ac:dyDescent="0.4">
      <c r="A253" s="93"/>
      <c r="B253" s="93"/>
      <c r="C253" s="26"/>
      <c r="D253" s="27" t="s">
        <v>319</v>
      </c>
      <c r="E253" s="2" t="s">
        <v>401</v>
      </c>
      <c r="F253" s="28" t="s">
        <v>319</v>
      </c>
      <c r="G253" s="28" t="s">
        <v>319</v>
      </c>
      <c r="H253" s="28" t="s">
        <v>319</v>
      </c>
      <c r="I253" s="6" t="s">
        <v>402</v>
      </c>
      <c r="J253" s="28" t="s">
        <v>319</v>
      </c>
      <c r="K253" s="28" t="s">
        <v>319</v>
      </c>
      <c r="L253" s="28" t="s">
        <v>319</v>
      </c>
      <c r="M253" s="28" t="s">
        <v>319</v>
      </c>
      <c r="N253" s="28" t="s">
        <v>319</v>
      </c>
      <c r="O253" s="28" t="s">
        <v>319</v>
      </c>
      <c r="P253" s="28" t="s">
        <v>319</v>
      </c>
      <c r="Q253" s="5" t="s">
        <v>903</v>
      </c>
      <c r="R253" s="5" t="s">
        <v>667</v>
      </c>
      <c r="S253" s="6" t="s">
        <v>672</v>
      </c>
      <c r="T253" s="5" t="s">
        <v>904</v>
      </c>
      <c r="U253" s="5" t="s">
        <v>905</v>
      </c>
      <c r="V253" s="5" t="s">
        <v>906</v>
      </c>
      <c r="W253" s="6" t="s">
        <v>665</v>
      </c>
      <c r="X253" s="105">
        <v>18.97</v>
      </c>
      <c r="Y253" s="105">
        <v>18.97</v>
      </c>
      <c r="Z253" s="105">
        <v>18.829999999999998</v>
      </c>
      <c r="AA253" s="6" t="s">
        <v>963</v>
      </c>
      <c r="AB253" s="255" t="s">
        <v>1492</v>
      </c>
      <c r="AC253" s="255" t="s">
        <v>1492</v>
      </c>
      <c r="AD253" s="255" t="s">
        <v>1493</v>
      </c>
      <c r="AE253" s="6" t="s">
        <v>985</v>
      </c>
      <c r="AF253" s="6"/>
      <c r="AG253" s="12">
        <v>55.9</v>
      </c>
      <c r="AH253" s="6"/>
      <c r="AI253" s="6" t="s">
        <v>965</v>
      </c>
      <c r="AJ253" s="108"/>
      <c r="AK253" s="108">
        <v>0.01</v>
      </c>
      <c r="AL253" s="6"/>
      <c r="AM253" s="6"/>
      <c r="AN253" s="6"/>
      <c r="AO253" s="5"/>
      <c r="AP253" s="6"/>
      <c r="AQ253" s="28" t="s">
        <v>319</v>
      </c>
      <c r="AR253" s="28" t="s">
        <v>319</v>
      </c>
      <c r="AS253" s="28" t="s">
        <v>319</v>
      </c>
      <c r="AT253" s="28" t="s">
        <v>319</v>
      </c>
      <c r="AU253" s="28" t="s">
        <v>319</v>
      </c>
      <c r="AV253" s="28" t="s">
        <v>319</v>
      </c>
      <c r="AW253" s="28" t="s">
        <v>319</v>
      </c>
      <c r="AX253" s="28" t="s">
        <v>319</v>
      </c>
      <c r="AY253" s="28" t="s">
        <v>319</v>
      </c>
      <c r="AZ253" s="28" t="s">
        <v>319</v>
      </c>
      <c r="BA253" s="28" t="s">
        <v>319</v>
      </c>
      <c r="BB253" s="6" t="s">
        <v>984</v>
      </c>
      <c r="BC253" s="106">
        <v>-47</v>
      </c>
      <c r="BD253" s="106">
        <v>90</v>
      </c>
      <c r="BE253" s="6" t="s">
        <v>1014</v>
      </c>
      <c r="BF253" s="6"/>
      <c r="BG253" s="185">
        <v>21.5</v>
      </c>
      <c r="BH253" s="28" t="s">
        <v>319</v>
      </c>
      <c r="BI253" s="28" t="s">
        <v>319</v>
      </c>
      <c r="BJ253" s="28" t="s">
        <v>319</v>
      </c>
      <c r="BK253" s="28" t="s">
        <v>319</v>
      </c>
      <c r="BL253" s="28" t="s">
        <v>319</v>
      </c>
      <c r="BM253" s="28" t="s">
        <v>319</v>
      </c>
      <c r="BN253" s="28" t="s">
        <v>319</v>
      </c>
      <c r="BO253" s="28" t="s">
        <v>319</v>
      </c>
      <c r="BP253" s="28" t="s">
        <v>319</v>
      </c>
      <c r="BQ253" s="28" t="s">
        <v>319</v>
      </c>
      <c r="BR253" s="5"/>
      <c r="BS253" s="12"/>
      <c r="BT253" s="6"/>
      <c r="BU253" s="12">
        <v>44.1</v>
      </c>
      <c r="BV253" s="6" t="s">
        <v>1046</v>
      </c>
      <c r="BW253" s="105">
        <v>1.3680000000000001</v>
      </c>
      <c r="BX253" s="6"/>
      <c r="BY253" s="6"/>
      <c r="BZ253" s="30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9"/>
      <c r="DB253" s="6"/>
      <c r="DC253" s="30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 t="s">
        <v>319</v>
      </c>
      <c r="DO253" s="28" t="s">
        <v>319</v>
      </c>
      <c r="DP253" s="28" t="s">
        <v>319</v>
      </c>
      <c r="DQ253" s="28" t="s">
        <v>319</v>
      </c>
      <c r="DR253" s="28" t="s">
        <v>319</v>
      </c>
      <c r="DS253" s="28" t="s">
        <v>319</v>
      </c>
      <c r="DT253" s="28" t="s">
        <v>319</v>
      </c>
      <c r="DU253" s="28" t="s">
        <v>319</v>
      </c>
      <c r="DV253" s="28" t="s">
        <v>319</v>
      </c>
      <c r="DW253" s="28" t="s">
        <v>319</v>
      </c>
      <c r="DX253" s="28" t="s">
        <v>319</v>
      </c>
      <c r="DY253" s="28" t="s">
        <v>319</v>
      </c>
      <c r="DZ253" s="28" t="s">
        <v>319</v>
      </c>
      <c r="EA253" s="28" t="s">
        <v>319</v>
      </c>
      <c r="EB253" s="28" t="s">
        <v>319</v>
      </c>
      <c r="EC253" s="28" t="s">
        <v>319</v>
      </c>
      <c r="ED253" s="28" t="s">
        <v>319</v>
      </c>
      <c r="EE253" s="28"/>
      <c r="EF253" s="28" t="s">
        <v>319</v>
      </c>
      <c r="EG253" s="28" t="s">
        <v>319</v>
      </c>
      <c r="EH253" s="28" t="s">
        <v>319</v>
      </c>
      <c r="EI253" s="28" t="s">
        <v>319</v>
      </c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7"/>
      <c r="FK253" s="6"/>
      <c r="FL253" s="6"/>
      <c r="FM253" s="94"/>
    </row>
    <row r="254" spans="1:169" s="3" customFormat="1" x14ac:dyDescent="0.4">
      <c r="A254" s="93"/>
      <c r="B254" s="93"/>
      <c r="C254" s="26"/>
      <c r="D254" s="27" t="s">
        <v>319</v>
      </c>
      <c r="E254" s="2" t="s">
        <v>403</v>
      </c>
      <c r="F254" s="28" t="s">
        <v>319</v>
      </c>
      <c r="G254" s="28" t="s">
        <v>319</v>
      </c>
      <c r="H254" s="28" t="s">
        <v>319</v>
      </c>
      <c r="I254" s="6" t="s">
        <v>402</v>
      </c>
      <c r="J254" s="28" t="s">
        <v>319</v>
      </c>
      <c r="K254" s="28" t="s">
        <v>319</v>
      </c>
      <c r="L254" s="28" t="s">
        <v>319</v>
      </c>
      <c r="M254" s="28" t="s">
        <v>319</v>
      </c>
      <c r="N254" s="28" t="s">
        <v>319</v>
      </c>
      <c r="O254" s="28" t="s">
        <v>319</v>
      </c>
      <c r="P254" s="28" t="s">
        <v>319</v>
      </c>
      <c r="Q254" s="5" t="s">
        <v>673</v>
      </c>
      <c r="R254" s="5" t="s">
        <v>663</v>
      </c>
      <c r="S254" s="6" t="s">
        <v>669</v>
      </c>
      <c r="T254" s="5" t="s">
        <v>907</v>
      </c>
      <c r="U254" s="5" t="s">
        <v>908</v>
      </c>
      <c r="V254" s="5" t="s">
        <v>909</v>
      </c>
      <c r="W254" s="6" t="s">
        <v>665</v>
      </c>
      <c r="X254" s="105">
        <v>19.260000000000002</v>
      </c>
      <c r="Y254" s="105">
        <v>19.260000000000002</v>
      </c>
      <c r="Z254" s="105">
        <v>19.260000000000002</v>
      </c>
      <c r="AA254" s="6" t="s">
        <v>994</v>
      </c>
      <c r="AB254" s="6">
        <v>10.230000000000002</v>
      </c>
      <c r="AC254" s="6">
        <v>10.210000000000001</v>
      </c>
      <c r="AD254" s="6">
        <v>10.200000000000001</v>
      </c>
      <c r="AE254" s="6" t="s">
        <v>974</v>
      </c>
      <c r="AF254" s="6"/>
      <c r="AG254" s="12">
        <v>57.4</v>
      </c>
      <c r="AH254" s="6"/>
      <c r="AI254" s="6" t="s">
        <v>965</v>
      </c>
      <c r="AJ254" s="112"/>
      <c r="AK254" s="108">
        <v>6.9000000000000006E-2</v>
      </c>
      <c r="AL254" s="6"/>
      <c r="AM254" s="6" t="s">
        <v>958</v>
      </c>
      <c r="AN254" s="6"/>
      <c r="AO254" s="105">
        <v>19.95</v>
      </c>
      <c r="AP254" s="6"/>
      <c r="AQ254" s="28" t="s">
        <v>319</v>
      </c>
      <c r="AR254" s="28" t="s">
        <v>319</v>
      </c>
      <c r="AS254" s="28" t="s">
        <v>319</v>
      </c>
      <c r="AT254" s="28" t="s">
        <v>319</v>
      </c>
      <c r="AU254" s="28" t="s">
        <v>319</v>
      </c>
      <c r="AV254" s="28" t="s">
        <v>319</v>
      </c>
      <c r="AW254" s="28" t="s">
        <v>319</v>
      </c>
      <c r="AX254" s="28" t="s">
        <v>319</v>
      </c>
      <c r="AY254" s="28" t="s">
        <v>319</v>
      </c>
      <c r="AZ254" s="28" t="s">
        <v>319</v>
      </c>
      <c r="BA254" s="28" t="s">
        <v>319</v>
      </c>
      <c r="BB254" s="6" t="s">
        <v>984</v>
      </c>
      <c r="BC254" s="106">
        <v>-47</v>
      </c>
      <c r="BD254" s="106">
        <v>90</v>
      </c>
      <c r="BE254" s="6" t="s">
        <v>1010</v>
      </c>
      <c r="BF254" s="6"/>
      <c r="BG254" s="12">
        <v>21.5</v>
      </c>
      <c r="BH254" s="28" t="s">
        <v>319</v>
      </c>
      <c r="BI254" s="28" t="s">
        <v>319</v>
      </c>
      <c r="BJ254" s="28" t="s">
        <v>319</v>
      </c>
      <c r="BK254" s="28" t="s">
        <v>319</v>
      </c>
      <c r="BL254" s="28" t="s">
        <v>319</v>
      </c>
      <c r="BM254" s="28" t="s">
        <v>319</v>
      </c>
      <c r="BN254" s="28" t="s">
        <v>319</v>
      </c>
      <c r="BO254" s="28" t="s">
        <v>319</v>
      </c>
      <c r="BP254" s="28" t="s">
        <v>319</v>
      </c>
      <c r="BQ254" s="28" t="s">
        <v>319</v>
      </c>
      <c r="BR254" s="12">
        <v>43.3</v>
      </c>
      <c r="BS254" s="12">
        <v>438.8</v>
      </c>
      <c r="BT254" s="6"/>
      <c r="BU254" s="5"/>
      <c r="BV254" s="6"/>
      <c r="BW254" s="111"/>
      <c r="BX254" s="6" t="s">
        <v>1054</v>
      </c>
      <c r="BY254" s="6"/>
      <c r="BZ254" s="30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9"/>
      <c r="DB254" s="6"/>
      <c r="DC254" s="30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 t="s">
        <v>319</v>
      </c>
      <c r="DO254" s="28" t="s">
        <v>319</v>
      </c>
      <c r="DP254" s="28" t="s">
        <v>319</v>
      </c>
      <c r="DQ254" s="28" t="s">
        <v>319</v>
      </c>
      <c r="DR254" s="28" t="s">
        <v>319</v>
      </c>
      <c r="DS254" s="28" t="s">
        <v>319</v>
      </c>
      <c r="DT254" s="28" t="s">
        <v>319</v>
      </c>
      <c r="DU254" s="28" t="s">
        <v>319</v>
      </c>
      <c r="DV254" s="28" t="s">
        <v>319</v>
      </c>
      <c r="DW254" s="28" t="s">
        <v>319</v>
      </c>
      <c r="DX254" s="28" t="s">
        <v>319</v>
      </c>
      <c r="DY254" s="28" t="s">
        <v>319</v>
      </c>
      <c r="DZ254" s="28" t="s">
        <v>319</v>
      </c>
      <c r="EA254" s="28" t="s">
        <v>319</v>
      </c>
      <c r="EB254" s="28" t="s">
        <v>319</v>
      </c>
      <c r="EC254" s="28" t="s">
        <v>319</v>
      </c>
      <c r="ED254" s="28" t="s">
        <v>319</v>
      </c>
      <c r="EE254" s="28"/>
      <c r="EF254" s="28" t="s">
        <v>319</v>
      </c>
      <c r="EG254" s="28" t="s">
        <v>319</v>
      </c>
      <c r="EH254" s="28" t="s">
        <v>319</v>
      </c>
      <c r="EI254" s="28" t="s">
        <v>319</v>
      </c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7"/>
      <c r="FK254" s="6"/>
      <c r="FL254" s="6"/>
      <c r="FM254" s="97"/>
    </row>
    <row r="255" spans="1:169" s="3" customFormat="1" x14ac:dyDescent="0.4">
      <c r="A255" s="93"/>
      <c r="B255" s="93"/>
      <c r="C255" s="26"/>
      <c r="D255" s="27" t="s">
        <v>319</v>
      </c>
      <c r="E255" s="2" t="s">
        <v>404</v>
      </c>
      <c r="F255" s="28" t="s">
        <v>319</v>
      </c>
      <c r="G255" s="28" t="s">
        <v>319</v>
      </c>
      <c r="H255" s="28" t="s">
        <v>319</v>
      </c>
      <c r="I255" s="6" t="s">
        <v>402</v>
      </c>
      <c r="J255" s="28" t="s">
        <v>319</v>
      </c>
      <c r="K255" s="28" t="s">
        <v>319</v>
      </c>
      <c r="L255" s="28" t="s">
        <v>319</v>
      </c>
      <c r="M255" s="28" t="s">
        <v>319</v>
      </c>
      <c r="N255" s="28" t="s">
        <v>319</v>
      </c>
      <c r="O255" s="28" t="s">
        <v>319</v>
      </c>
      <c r="P255" s="28" t="s">
        <v>319</v>
      </c>
      <c r="Q255" s="5" t="s">
        <v>673</v>
      </c>
      <c r="R255" s="5" t="s">
        <v>663</v>
      </c>
      <c r="S255" s="6" t="s">
        <v>672</v>
      </c>
      <c r="T255" s="5" t="s">
        <v>910</v>
      </c>
      <c r="U255" s="5" t="s">
        <v>911</v>
      </c>
      <c r="V255" s="5" t="s">
        <v>912</v>
      </c>
      <c r="W255" s="6" t="s">
        <v>665</v>
      </c>
      <c r="X255" s="105">
        <v>23.21</v>
      </c>
      <c r="Y255" s="105">
        <v>22.54</v>
      </c>
      <c r="Z255" s="105">
        <v>22.13</v>
      </c>
      <c r="AA255" s="6" t="s">
        <v>963</v>
      </c>
      <c r="AB255" s="225">
        <f>1.81+0.13</f>
        <v>1.94</v>
      </c>
      <c r="AC255" s="225">
        <f>1.13+0.13</f>
        <v>1.2599999999999998</v>
      </c>
      <c r="AD255" s="225">
        <f>0.7+0.13</f>
        <v>0.83</v>
      </c>
      <c r="AE255" s="6" t="s">
        <v>956</v>
      </c>
      <c r="AF255" s="6"/>
      <c r="AG255" s="12">
        <v>47.7</v>
      </c>
      <c r="AH255" s="6"/>
      <c r="AI255" s="6" t="s">
        <v>965</v>
      </c>
      <c r="AJ255" s="112"/>
      <c r="AK255" s="108">
        <v>6.9000000000000006E-2</v>
      </c>
      <c r="AL255" s="6"/>
      <c r="AM255" s="6" t="s">
        <v>958</v>
      </c>
      <c r="AN255" s="6"/>
      <c r="AO255" s="105">
        <v>19.649999999999999</v>
      </c>
      <c r="AP255" s="6"/>
      <c r="AQ255" s="28" t="s">
        <v>319</v>
      </c>
      <c r="AR255" s="28" t="s">
        <v>319</v>
      </c>
      <c r="AS255" s="28" t="s">
        <v>319</v>
      </c>
      <c r="AT255" s="28" t="s">
        <v>319</v>
      </c>
      <c r="AU255" s="28" t="s">
        <v>319</v>
      </c>
      <c r="AV255" s="28" t="s">
        <v>319</v>
      </c>
      <c r="AW255" s="28" t="s">
        <v>319</v>
      </c>
      <c r="AX255" s="28" t="s">
        <v>319</v>
      </c>
      <c r="AY255" s="28" t="s">
        <v>319</v>
      </c>
      <c r="AZ255" s="28" t="s">
        <v>319</v>
      </c>
      <c r="BA255" s="28" t="s">
        <v>319</v>
      </c>
      <c r="BB255" s="6" t="s">
        <v>984</v>
      </c>
      <c r="BC255" s="106">
        <v>-47</v>
      </c>
      <c r="BD255" s="106">
        <v>90</v>
      </c>
      <c r="BE255" s="6" t="s">
        <v>1014</v>
      </c>
      <c r="BF255" s="6"/>
      <c r="BG255" s="185">
        <v>25.5</v>
      </c>
      <c r="BH255" s="28" t="s">
        <v>319</v>
      </c>
      <c r="BI255" s="28" t="s">
        <v>319</v>
      </c>
      <c r="BJ255" s="28" t="s">
        <v>319</v>
      </c>
      <c r="BK255" s="28" t="s">
        <v>319</v>
      </c>
      <c r="BL255" s="28" t="s">
        <v>319</v>
      </c>
      <c r="BM255" s="28" t="s">
        <v>319</v>
      </c>
      <c r="BN255" s="28" t="s">
        <v>319</v>
      </c>
      <c r="BO255" s="28" t="s">
        <v>319</v>
      </c>
      <c r="BP255" s="28" t="s">
        <v>319</v>
      </c>
      <c r="BQ255" s="28" t="s">
        <v>319</v>
      </c>
      <c r="BR255" s="105">
        <v>46.64</v>
      </c>
      <c r="BS255" s="12">
        <v>462.2</v>
      </c>
      <c r="BT255" s="6"/>
      <c r="BU255" s="5"/>
      <c r="BV255" s="6"/>
      <c r="BW255" s="111"/>
      <c r="BX255" s="8" t="s">
        <v>1412</v>
      </c>
      <c r="BY255" s="6"/>
      <c r="BZ255" s="30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9"/>
      <c r="DB255" s="6"/>
      <c r="DC255" s="30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 t="s">
        <v>319</v>
      </c>
      <c r="DO255" s="28" t="s">
        <v>319</v>
      </c>
      <c r="DP255" s="28" t="s">
        <v>319</v>
      </c>
      <c r="DQ255" s="28" t="s">
        <v>319</v>
      </c>
      <c r="DR255" s="28" t="s">
        <v>319</v>
      </c>
      <c r="DS255" s="28" t="s">
        <v>319</v>
      </c>
      <c r="DT255" s="28" t="s">
        <v>319</v>
      </c>
      <c r="DU255" s="28" t="s">
        <v>319</v>
      </c>
      <c r="DV255" s="28" t="s">
        <v>319</v>
      </c>
      <c r="DW255" s="28" t="s">
        <v>319</v>
      </c>
      <c r="DX255" s="28" t="s">
        <v>319</v>
      </c>
      <c r="DY255" s="28" t="s">
        <v>319</v>
      </c>
      <c r="DZ255" s="28" t="s">
        <v>319</v>
      </c>
      <c r="EA255" s="28" t="s">
        <v>319</v>
      </c>
      <c r="EB255" s="28" t="s">
        <v>319</v>
      </c>
      <c r="EC255" s="28" t="s">
        <v>319</v>
      </c>
      <c r="ED255" s="28" t="s">
        <v>319</v>
      </c>
      <c r="EE255" s="28"/>
      <c r="EF255" s="28" t="s">
        <v>319</v>
      </c>
      <c r="EG255" s="28" t="s">
        <v>319</v>
      </c>
      <c r="EH255" s="28" t="s">
        <v>319</v>
      </c>
      <c r="EI255" s="28" t="s">
        <v>319</v>
      </c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7"/>
      <c r="FK255" s="6"/>
      <c r="FL255" s="6"/>
      <c r="FM255" s="97"/>
    </row>
    <row r="256" spans="1:169" s="3" customFormat="1" x14ac:dyDescent="0.4">
      <c r="A256" s="93"/>
      <c r="B256" s="93"/>
      <c r="C256" s="26"/>
      <c r="D256" s="27" t="s">
        <v>319</v>
      </c>
      <c r="E256" s="2" t="s">
        <v>405</v>
      </c>
      <c r="F256" s="28" t="s">
        <v>319</v>
      </c>
      <c r="G256" s="28" t="s">
        <v>319</v>
      </c>
      <c r="H256" s="28" t="s">
        <v>319</v>
      </c>
      <c r="I256" s="6" t="s">
        <v>402</v>
      </c>
      <c r="J256" s="28" t="s">
        <v>319</v>
      </c>
      <c r="K256" s="28" t="s">
        <v>319</v>
      </c>
      <c r="L256" s="28" t="s">
        <v>319</v>
      </c>
      <c r="M256" s="28" t="s">
        <v>319</v>
      </c>
      <c r="N256" s="28" t="s">
        <v>319</v>
      </c>
      <c r="O256" s="28" t="s">
        <v>319</v>
      </c>
      <c r="P256" s="28" t="s">
        <v>319</v>
      </c>
      <c r="Q256" s="5" t="s">
        <v>903</v>
      </c>
      <c r="R256" s="5" t="s">
        <v>667</v>
      </c>
      <c r="S256" s="6" t="s">
        <v>669</v>
      </c>
      <c r="T256" s="5"/>
      <c r="U256" s="5"/>
      <c r="V256" s="5" t="s">
        <v>906</v>
      </c>
      <c r="W256" s="6" t="s">
        <v>665</v>
      </c>
      <c r="X256" s="5"/>
      <c r="Y256" s="5"/>
      <c r="Z256" s="105">
        <v>18.850000000000001</v>
      </c>
      <c r="AA256" s="6" t="s">
        <v>963</v>
      </c>
      <c r="AB256" s="6"/>
      <c r="AC256" s="6"/>
      <c r="AD256" s="101">
        <v>14.030000000000001</v>
      </c>
      <c r="AE256" s="6" t="s">
        <v>967</v>
      </c>
      <c r="AF256" s="6"/>
      <c r="AG256" s="12">
        <v>55.9</v>
      </c>
      <c r="AH256" s="6"/>
      <c r="AI256" s="6" t="s">
        <v>965</v>
      </c>
      <c r="AJ256" s="112"/>
      <c r="AK256" s="108">
        <v>0.01</v>
      </c>
      <c r="AL256" s="6"/>
      <c r="AM256" s="6"/>
      <c r="AN256" s="6"/>
      <c r="AO256" s="5"/>
      <c r="AP256" s="6"/>
      <c r="AQ256" s="28" t="s">
        <v>319</v>
      </c>
      <c r="AR256" s="28" t="s">
        <v>319</v>
      </c>
      <c r="AS256" s="28" t="s">
        <v>319</v>
      </c>
      <c r="AT256" s="28" t="s">
        <v>319</v>
      </c>
      <c r="AU256" s="28" t="s">
        <v>319</v>
      </c>
      <c r="AV256" s="28" t="s">
        <v>319</v>
      </c>
      <c r="AW256" s="28" t="s">
        <v>319</v>
      </c>
      <c r="AX256" s="28" t="s">
        <v>319</v>
      </c>
      <c r="AY256" s="28" t="s">
        <v>319</v>
      </c>
      <c r="AZ256" s="28" t="s">
        <v>319</v>
      </c>
      <c r="BA256" s="28" t="s">
        <v>319</v>
      </c>
      <c r="BB256" s="6" t="s">
        <v>984</v>
      </c>
      <c r="BC256" s="106">
        <v>-47</v>
      </c>
      <c r="BD256" s="106">
        <v>90</v>
      </c>
      <c r="BE256" s="6" t="s">
        <v>1010</v>
      </c>
      <c r="BF256" s="6"/>
      <c r="BG256" s="185">
        <v>21.5</v>
      </c>
      <c r="BH256" s="28" t="s">
        <v>319</v>
      </c>
      <c r="BI256" s="28" t="s">
        <v>319</v>
      </c>
      <c r="BJ256" s="28" t="s">
        <v>319</v>
      </c>
      <c r="BK256" s="28" t="s">
        <v>319</v>
      </c>
      <c r="BL256" s="28" t="s">
        <v>319</v>
      </c>
      <c r="BM256" s="28" t="s">
        <v>319</v>
      </c>
      <c r="BN256" s="28" t="s">
        <v>319</v>
      </c>
      <c r="BO256" s="28" t="s">
        <v>319</v>
      </c>
      <c r="BP256" s="28" t="s">
        <v>319</v>
      </c>
      <c r="BQ256" s="28" t="s">
        <v>319</v>
      </c>
      <c r="BR256" s="5"/>
      <c r="BS256" s="12"/>
      <c r="BT256" s="6"/>
      <c r="BU256" s="12">
        <v>44.1</v>
      </c>
      <c r="BV256" s="6" t="s">
        <v>1046</v>
      </c>
      <c r="BW256" s="105">
        <v>1.3680000000000001</v>
      </c>
      <c r="BX256" s="6"/>
      <c r="BY256" s="6"/>
      <c r="BZ256" s="30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9"/>
      <c r="DB256" s="6"/>
      <c r="DC256" s="30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 t="s">
        <v>319</v>
      </c>
      <c r="DO256" s="28" t="s">
        <v>319</v>
      </c>
      <c r="DP256" s="28" t="s">
        <v>319</v>
      </c>
      <c r="DQ256" s="28" t="s">
        <v>319</v>
      </c>
      <c r="DR256" s="28" t="s">
        <v>319</v>
      </c>
      <c r="DS256" s="28" t="s">
        <v>319</v>
      </c>
      <c r="DT256" s="28" t="s">
        <v>319</v>
      </c>
      <c r="DU256" s="28" t="s">
        <v>319</v>
      </c>
      <c r="DV256" s="28" t="s">
        <v>319</v>
      </c>
      <c r="DW256" s="28" t="s">
        <v>319</v>
      </c>
      <c r="DX256" s="28" t="s">
        <v>319</v>
      </c>
      <c r="DY256" s="28" t="s">
        <v>319</v>
      </c>
      <c r="DZ256" s="28" t="s">
        <v>319</v>
      </c>
      <c r="EA256" s="28" t="s">
        <v>319</v>
      </c>
      <c r="EB256" s="28" t="s">
        <v>319</v>
      </c>
      <c r="EC256" s="28" t="s">
        <v>319</v>
      </c>
      <c r="ED256" s="28" t="s">
        <v>319</v>
      </c>
      <c r="EE256" s="28"/>
      <c r="EF256" s="28" t="s">
        <v>319</v>
      </c>
      <c r="EG256" s="28" t="s">
        <v>319</v>
      </c>
      <c r="EH256" s="28" t="s">
        <v>319</v>
      </c>
      <c r="EI256" s="28" t="s">
        <v>319</v>
      </c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7"/>
      <c r="FK256" s="6"/>
      <c r="FL256" s="6"/>
      <c r="FM256" s="94"/>
    </row>
    <row r="257" spans="1:169" s="3" customFormat="1" x14ac:dyDescent="0.4">
      <c r="A257" s="93"/>
      <c r="B257" s="93"/>
      <c r="C257" s="26"/>
      <c r="D257" s="27" t="s">
        <v>319</v>
      </c>
      <c r="E257" s="2" t="s">
        <v>406</v>
      </c>
      <c r="F257" s="28" t="s">
        <v>319</v>
      </c>
      <c r="G257" s="28" t="s">
        <v>319</v>
      </c>
      <c r="H257" s="28" t="s">
        <v>319</v>
      </c>
      <c r="I257" s="6" t="s">
        <v>407</v>
      </c>
      <c r="J257" s="28" t="s">
        <v>319</v>
      </c>
      <c r="K257" s="28" t="s">
        <v>319</v>
      </c>
      <c r="L257" s="28" t="s">
        <v>319</v>
      </c>
      <c r="M257" s="28" t="s">
        <v>319</v>
      </c>
      <c r="N257" s="28" t="s">
        <v>319</v>
      </c>
      <c r="O257" s="28" t="s">
        <v>319</v>
      </c>
      <c r="P257" s="28" t="s">
        <v>319</v>
      </c>
      <c r="Q257" s="5" t="s">
        <v>671</v>
      </c>
      <c r="R257" s="5" t="s">
        <v>663</v>
      </c>
      <c r="S257" s="6" t="s">
        <v>669</v>
      </c>
      <c r="T257" s="196">
        <v>1535280</v>
      </c>
      <c r="U257" s="196">
        <v>3037800</v>
      </c>
      <c r="V257" s="196">
        <v>3341580.0000000005</v>
      </c>
      <c r="W257" s="6" t="s">
        <v>665</v>
      </c>
      <c r="X257" s="197">
        <v>12.13</v>
      </c>
      <c r="Y257" s="197">
        <v>12.526883492170938</v>
      </c>
      <c r="Z257" s="197">
        <v>12.63</v>
      </c>
      <c r="AA257" s="6" t="s">
        <v>963</v>
      </c>
      <c r="AB257" s="197">
        <v>2.0611079113990995</v>
      </c>
      <c r="AC257" s="197">
        <v>1.7752191305229843</v>
      </c>
      <c r="AD257" s="197">
        <v>1.5976972174706858</v>
      </c>
      <c r="AE257" s="6" t="s">
        <v>956</v>
      </c>
      <c r="AF257" s="6"/>
      <c r="AG257" s="12">
        <v>82.5</v>
      </c>
      <c r="AH257" s="6"/>
      <c r="AI257" s="6" t="s">
        <v>965</v>
      </c>
      <c r="AJ257" s="112"/>
      <c r="AK257" s="108">
        <v>0.34399999999999997</v>
      </c>
      <c r="AL257" s="6"/>
      <c r="AM257" s="6" t="s">
        <v>958</v>
      </c>
      <c r="AN257" s="6"/>
      <c r="AO257" s="105">
        <v>0.53</v>
      </c>
      <c r="AP257" s="6"/>
      <c r="AQ257" s="28" t="s">
        <v>319</v>
      </c>
      <c r="AR257" s="28" t="s">
        <v>319</v>
      </c>
      <c r="AS257" s="28" t="s">
        <v>319</v>
      </c>
      <c r="AT257" s="28" t="s">
        <v>319</v>
      </c>
      <c r="AU257" s="28" t="s">
        <v>319</v>
      </c>
      <c r="AV257" s="28" t="s">
        <v>319</v>
      </c>
      <c r="AW257" s="28" t="s">
        <v>319</v>
      </c>
      <c r="AX257" s="28" t="s">
        <v>319</v>
      </c>
      <c r="AY257" s="28" t="s">
        <v>319</v>
      </c>
      <c r="AZ257" s="28" t="s">
        <v>319</v>
      </c>
      <c r="BA257" s="28" t="s">
        <v>319</v>
      </c>
      <c r="BB257" s="6" t="s">
        <v>984</v>
      </c>
      <c r="BC257" s="5" t="s">
        <v>681</v>
      </c>
      <c r="BD257" s="106">
        <v>115</v>
      </c>
      <c r="BE257" s="6" t="s">
        <v>1013</v>
      </c>
      <c r="BF257" s="6"/>
      <c r="BG257" s="12">
        <v>20.7</v>
      </c>
      <c r="BH257" s="28" t="s">
        <v>319</v>
      </c>
      <c r="BI257" s="28" t="s">
        <v>319</v>
      </c>
      <c r="BJ257" s="28" t="s">
        <v>319</v>
      </c>
      <c r="BK257" s="28" t="s">
        <v>319</v>
      </c>
      <c r="BL257" s="28" t="s">
        <v>319</v>
      </c>
      <c r="BM257" s="28" t="s">
        <v>319</v>
      </c>
      <c r="BN257" s="28" t="s">
        <v>319</v>
      </c>
      <c r="BO257" s="28" t="s">
        <v>319</v>
      </c>
      <c r="BP257" s="28" t="s">
        <v>319</v>
      </c>
      <c r="BQ257" s="28" t="s">
        <v>319</v>
      </c>
      <c r="BR257" s="12">
        <v>225.5</v>
      </c>
      <c r="BS257" s="12">
        <v>970.5</v>
      </c>
      <c r="BT257" s="6"/>
      <c r="BU257" s="5"/>
      <c r="BV257" s="6"/>
      <c r="BW257" s="111"/>
      <c r="BX257" s="6"/>
      <c r="BY257" s="6"/>
      <c r="BZ257" s="30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9"/>
      <c r="DB257" s="6"/>
      <c r="DC257" s="30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 t="s">
        <v>319</v>
      </c>
      <c r="DO257" s="28" t="s">
        <v>319</v>
      </c>
      <c r="DP257" s="28" t="s">
        <v>319</v>
      </c>
      <c r="DQ257" s="28" t="s">
        <v>319</v>
      </c>
      <c r="DR257" s="28" t="s">
        <v>319</v>
      </c>
      <c r="DS257" s="28" t="s">
        <v>319</v>
      </c>
      <c r="DT257" s="28" t="s">
        <v>319</v>
      </c>
      <c r="DU257" s="28" t="s">
        <v>319</v>
      </c>
      <c r="DV257" s="28" t="s">
        <v>319</v>
      </c>
      <c r="DW257" s="28" t="s">
        <v>319</v>
      </c>
      <c r="DX257" s="28" t="s">
        <v>319</v>
      </c>
      <c r="DY257" s="28" t="s">
        <v>319</v>
      </c>
      <c r="DZ257" s="28" t="s">
        <v>319</v>
      </c>
      <c r="EA257" s="28" t="s">
        <v>319</v>
      </c>
      <c r="EB257" s="28" t="s">
        <v>319</v>
      </c>
      <c r="EC257" s="28" t="s">
        <v>319</v>
      </c>
      <c r="ED257" s="28" t="s">
        <v>319</v>
      </c>
      <c r="EE257" s="28"/>
      <c r="EF257" s="28" t="s">
        <v>319</v>
      </c>
      <c r="EG257" s="28" t="s">
        <v>319</v>
      </c>
      <c r="EH257" s="28" t="s">
        <v>319</v>
      </c>
      <c r="EI257" s="28" t="s">
        <v>319</v>
      </c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7"/>
      <c r="FK257" s="6"/>
      <c r="FL257" s="6"/>
      <c r="FM257" s="97"/>
    </row>
    <row r="258" spans="1:169" s="3" customFormat="1" x14ac:dyDescent="0.4">
      <c r="A258" s="93"/>
      <c r="B258" s="93"/>
      <c r="C258" s="26"/>
      <c r="D258" s="27" t="s">
        <v>319</v>
      </c>
      <c r="E258" s="2" t="s">
        <v>487</v>
      </c>
      <c r="F258" s="28" t="s">
        <v>319</v>
      </c>
      <c r="G258" s="28" t="s">
        <v>319</v>
      </c>
      <c r="H258" s="28" t="s">
        <v>319</v>
      </c>
      <c r="I258" s="6" t="s">
        <v>407</v>
      </c>
      <c r="J258" s="28" t="s">
        <v>319</v>
      </c>
      <c r="K258" s="28" t="s">
        <v>319</v>
      </c>
      <c r="L258" s="28" t="s">
        <v>319</v>
      </c>
      <c r="M258" s="28" t="s">
        <v>319</v>
      </c>
      <c r="N258" s="28" t="s">
        <v>319</v>
      </c>
      <c r="O258" s="28" t="s">
        <v>319</v>
      </c>
      <c r="P258" s="28" t="s">
        <v>319</v>
      </c>
      <c r="Q258" s="5" t="s">
        <v>671</v>
      </c>
      <c r="R258" s="5" t="s">
        <v>663</v>
      </c>
      <c r="S258" s="6" t="s">
        <v>664</v>
      </c>
      <c r="T258" s="196">
        <v>1535280</v>
      </c>
      <c r="U258" s="196">
        <v>3037800</v>
      </c>
      <c r="V258" s="196">
        <v>3341580.0000000005</v>
      </c>
      <c r="W258" s="6" t="s">
        <v>665</v>
      </c>
      <c r="X258" s="197">
        <v>13.66</v>
      </c>
      <c r="Y258" s="197">
        <v>12.370118703333681</v>
      </c>
      <c r="Z258" s="197">
        <v>11.857652931411984</v>
      </c>
      <c r="AA258" s="6" t="s">
        <v>963</v>
      </c>
      <c r="AB258" s="197">
        <v>4.7713695026844123</v>
      </c>
      <c r="AC258" s="197">
        <v>3.4351868172874021</v>
      </c>
      <c r="AD258" s="197">
        <v>3.3579791075677417</v>
      </c>
      <c r="AE258" s="6" t="s">
        <v>956</v>
      </c>
      <c r="AF258" s="6"/>
      <c r="AG258" s="12">
        <v>82.5</v>
      </c>
      <c r="AH258" s="6"/>
      <c r="AI258" s="6" t="s">
        <v>965</v>
      </c>
      <c r="AJ258" s="112"/>
      <c r="AK258" s="108">
        <v>0.34399999999999997</v>
      </c>
      <c r="AL258" s="6"/>
      <c r="AM258" s="6" t="s">
        <v>958</v>
      </c>
      <c r="AN258" s="6"/>
      <c r="AO258" s="105">
        <v>0.53</v>
      </c>
      <c r="AP258" s="6"/>
      <c r="AQ258" s="28" t="s">
        <v>319</v>
      </c>
      <c r="AR258" s="28" t="s">
        <v>319</v>
      </c>
      <c r="AS258" s="28" t="s">
        <v>319</v>
      </c>
      <c r="AT258" s="28" t="s">
        <v>319</v>
      </c>
      <c r="AU258" s="28" t="s">
        <v>319</v>
      </c>
      <c r="AV258" s="28" t="s">
        <v>319</v>
      </c>
      <c r="AW258" s="28" t="s">
        <v>319</v>
      </c>
      <c r="AX258" s="28" t="s">
        <v>319</v>
      </c>
      <c r="AY258" s="28" t="s">
        <v>319</v>
      </c>
      <c r="AZ258" s="28" t="s">
        <v>319</v>
      </c>
      <c r="BA258" s="28" t="s">
        <v>319</v>
      </c>
      <c r="BB258" s="6" t="s">
        <v>984</v>
      </c>
      <c r="BC258" s="5" t="s">
        <v>681</v>
      </c>
      <c r="BD258" s="106">
        <v>115</v>
      </c>
      <c r="BE258" s="6" t="s">
        <v>1013</v>
      </c>
      <c r="BF258" s="6"/>
      <c r="BG258" s="12">
        <v>20.7</v>
      </c>
      <c r="BH258" s="28" t="s">
        <v>319</v>
      </c>
      <c r="BI258" s="28" t="s">
        <v>319</v>
      </c>
      <c r="BJ258" s="28" t="s">
        <v>319</v>
      </c>
      <c r="BK258" s="28" t="s">
        <v>319</v>
      </c>
      <c r="BL258" s="28" t="s">
        <v>319</v>
      </c>
      <c r="BM258" s="28" t="s">
        <v>319</v>
      </c>
      <c r="BN258" s="28" t="s">
        <v>319</v>
      </c>
      <c r="BO258" s="28" t="s">
        <v>319</v>
      </c>
      <c r="BP258" s="28" t="s">
        <v>319</v>
      </c>
      <c r="BQ258" s="28" t="s">
        <v>319</v>
      </c>
      <c r="BR258" s="12">
        <v>225.5</v>
      </c>
      <c r="BS258" s="12">
        <v>970.5</v>
      </c>
      <c r="BT258" s="6"/>
      <c r="BU258" s="5"/>
      <c r="BV258" s="6"/>
      <c r="BW258" s="111"/>
      <c r="BX258" s="6"/>
      <c r="BY258" s="6"/>
      <c r="BZ258" s="30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9"/>
      <c r="DB258" s="6"/>
      <c r="DC258" s="30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 t="s">
        <v>319</v>
      </c>
      <c r="DO258" s="28" t="s">
        <v>319</v>
      </c>
      <c r="DP258" s="28" t="s">
        <v>319</v>
      </c>
      <c r="DQ258" s="28" t="s">
        <v>319</v>
      </c>
      <c r="DR258" s="28" t="s">
        <v>319</v>
      </c>
      <c r="DS258" s="28" t="s">
        <v>319</v>
      </c>
      <c r="DT258" s="28" t="s">
        <v>319</v>
      </c>
      <c r="DU258" s="28" t="s">
        <v>319</v>
      </c>
      <c r="DV258" s="28" t="s">
        <v>319</v>
      </c>
      <c r="DW258" s="28" t="s">
        <v>319</v>
      </c>
      <c r="DX258" s="28" t="s">
        <v>319</v>
      </c>
      <c r="DY258" s="28" t="s">
        <v>319</v>
      </c>
      <c r="DZ258" s="28" t="s">
        <v>319</v>
      </c>
      <c r="EA258" s="28" t="s">
        <v>319</v>
      </c>
      <c r="EB258" s="28" t="s">
        <v>319</v>
      </c>
      <c r="EC258" s="28" t="s">
        <v>319</v>
      </c>
      <c r="ED258" s="28" t="s">
        <v>319</v>
      </c>
      <c r="EE258" s="28"/>
      <c r="EF258" s="28" t="s">
        <v>319</v>
      </c>
      <c r="EG258" s="28" t="s">
        <v>319</v>
      </c>
      <c r="EH258" s="28" t="s">
        <v>319</v>
      </c>
      <c r="EI258" s="28" t="s">
        <v>319</v>
      </c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7"/>
      <c r="FK258" s="6"/>
      <c r="FL258" s="6"/>
      <c r="FM258" s="97"/>
    </row>
    <row r="259" spans="1:169" s="3" customFormat="1" x14ac:dyDescent="0.4">
      <c r="A259" s="93"/>
      <c r="B259" s="93"/>
      <c r="C259" s="26"/>
      <c r="D259" s="27" t="s">
        <v>319</v>
      </c>
      <c r="E259" s="2" t="s">
        <v>408</v>
      </c>
      <c r="F259" s="28" t="s">
        <v>319</v>
      </c>
      <c r="G259" s="28" t="s">
        <v>319</v>
      </c>
      <c r="H259" s="28" t="s">
        <v>319</v>
      </c>
      <c r="I259" s="6" t="s">
        <v>409</v>
      </c>
      <c r="J259" s="28" t="s">
        <v>319</v>
      </c>
      <c r="K259" s="28" t="s">
        <v>319</v>
      </c>
      <c r="L259" s="28" t="s">
        <v>319</v>
      </c>
      <c r="M259" s="28" t="s">
        <v>319</v>
      </c>
      <c r="N259" s="28" t="s">
        <v>319</v>
      </c>
      <c r="O259" s="28" t="s">
        <v>319</v>
      </c>
      <c r="P259" s="28" t="s">
        <v>319</v>
      </c>
      <c r="Q259" s="5" t="s">
        <v>673</v>
      </c>
      <c r="R259" s="5" t="s">
        <v>663</v>
      </c>
      <c r="S259" s="6" t="s">
        <v>678</v>
      </c>
      <c r="T259" s="5" t="s">
        <v>913</v>
      </c>
      <c r="U259" s="5" t="s">
        <v>914</v>
      </c>
      <c r="V259" s="5" t="s">
        <v>915</v>
      </c>
      <c r="W259" s="6" t="s">
        <v>665</v>
      </c>
      <c r="X259" s="105">
        <v>19.059999999999999</v>
      </c>
      <c r="Y259" s="105">
        <v>19.05</v>
      </c>
      <c r="Z259" s="105">
        <v>19.05</v>
      </c>
      <c r="AA259" s="6" t="s">
        <v>963</v>
      </c>
      <c r="AB259" s="6">
        <v>0.23999999999999844</v>
      </c>
      <c r="AC259" s="6">
        <v>0.22000000000000242</v>
      </c>
      <c r="AD259" s="6">
        <v>0.21000000000000085</v>
      </c>
      <c r="AE259" s="6" t="s">
        <v>978</v>
      </c>
      <c r="AF259" s="6"/>
      <c r="AG259" s="12">
        <v>49.9</v>
      </c>
      <c r="AH259" s="6"/>
      <c r="AI259" s="6" t="s">
        <v>965</v>
      </c>
      <c r="AJ259" s="108"/>
      <c r="AK259" s="108">
        <v>7.0000000000000007E-2</v>
      </c>
      <c r="AL259" s="6"/>
      <c r="AM259" s="6" t="s">
        <v>958</v>
      </c>
      <c r="AN259" s="6"/>
      <c r="AO259" s="105">
        <v>19.66</v>
      </c>
      <c r="AP259" s="6"/>
      <c r="AQ259" s="28" t="s">
        <v>319</v>
      </c>
      <c r="AR259" s="28" t="s">
        <v>319</v>
      </c>
      <c r="AS259" s="28" t="s">
        <v>319</v>
      </c>
      <c r="AT259" s="28" t="s">
        <v>319</v>
      </c>
      <c r="AU259" s="28" t="s">
        <v>319</v>
      </c>
      <c r="AV259" s="28" t="s">
        <v>319</v>
      </c>
      <c r="AW259" s="28" t="s">
        <v>319</v>
      </c>
      <c r="AX259" s="28" t="s">
        <v>319</v>
      </c>
      <c r="AY259" s="28" t="s">
        <v>319</v>
      </c>
      <c r="AZ259" s="28" t="s">
        <v>319</v>
      </c>
      <c r="BA259" s="28" t="s">
        <v>319</v>
      </c>
      <c r="BB259" s="6" t="s">
        <v>984</v>
      </c>
      <c r="BC259" s="106">
        <v>-47</v>
      </c>
      <c r="BD259" s="106">
        <v>90</v>
      </c>
      <c r="BE259" s="6" t="s">
        <v>1008</v>
      </c>
      <c r="BF259" s="6"/>
      <c r="BG259" s="12">
        <v>21.5</v>
      </c>
      <c r="BH259" s="28" t="s">
        <v>319</v>
      </c>
      <c r="BI259" s="28" t="s">
        <v>319</v>
      </c>
      <c r="BJ259" s="28" t="s">
        <v>319</v>
      </c>
      <c r="BK259" s="28" t="s">
        <v>319</v>
      </c>
      <c r="BL259" s="28" t="s">
        <v>319</v>
      </c>
      <c r="BM259" s="28" t="s">
        <v>319</v>
      </c>
      <c r="BN259" s="28" t="s">
        <v>319</v>
      </c>
      <c r="BO259" s="28" t="s">
        <v>319</v>
      </c>
      <c r="BP259" s="28" t="s">
        <v>319</v>
      </c>
      <c r="BQ259" s="28" t="s">
        <v>319</v>
      </c>
      <c r="BR259" s="105">
        <v>45.74</v>
      </c>
      <c r="BS259" s="12">
        <v>456.3</v>
      </c>
      <c r="BT259" s="6"/>
      <c r="BU259" s="5"/>
      <c r="BV259" s="6"/>
      <c r="BW259" s="111"/>
      <c r="BX259" s="6"/>
      <c r="BY259" s="6"/>
      <c r="BZ259" s="30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9"/>
      <c r="DB259" s="6"/>
      <c r="DC259" s="30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 t="s">
        <v>319</v>
      </c>
      <c r="DO259" s="28" t="s">
        <v>319</v>
      </c>
      <c r="DP259" s="28" t="s">
        <v>319</v>
      </c>
      <c r="DQ259" s="28" t="s">
        <v>319</v>
      </c>
      <c r="DR259" s="28" t="s">
        <v>319</v>
      </c>
      <c r="DS259" s="28" t="s">
        <v>319</v>
      </c>
      <c r="DT259" s="28" t="s">
        <v>319</v>
      </c>
      <c r="DU259" s="28" t="s">
        <v>319</v>
      </c>
      <c r="DV259" s="28" t="s">
        <v>319</v>
      </c>
      <c r="DW259" s="28" t="s">
        <v>319</v>
      </c>
      <c r="DX259" s="28" t="s">
        <v>319</v>
      </c>
      <c r="DY259" s="28" t="s">
        <v>319</v>
      </c>
      <c r="DZ259" s="28" t="s">
        <v>319</v>
      </c>
      <c r="EA259" s="28" t="s">
        <v>319</v>
      </c>
      <c r="EB259" s="28" t="s">
        <v>319</v>
      </c>
      <c r="EC259" s="28" t="s">
        <v>319</v>
      </c>
      <c r="ED259" s="28" t="s">
        <v>319</v>
      </c>
      <c r="EE259" s="28"/>
      <c r="EF259" s="28" t="s">
        <v>319</v>
      </c>
      <c r="EG259" s="28" t="s">
        <v>319</v>
      </c>
      <c r="EH259" s="28" t="s">
        <v>319</v>
      </c>
      <c r="EI259" s="28" t="s">
        <v>319</v>
      </c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7"/>
      <c r="FK259" s="6"/>
      <c r="FL259" s="6"/>
      <c r="FM259" s="97"/>
    </row>
    <row r="260" spans="1:169" s="3" customFormat="1" x14ac:dyDescent="0.4">
      <c r="A260" s="93"/>
      <c r="B260" s="93"/>
      <c r="C260" s="26"/>
      <c r="D260" s="27" t="s">
        <v>319</v>
      </c>
      <c r="E260" s="2" t="s">
        <v>476</v>
      </c>
      <c r="F260" s="28" t="s">
        <v>319</v>
      </c>
      <c r="G260" s="28" t="s">
        <v>319</v>
      </c>
      <c r="H260" s="28" t="s">
        <v>319</v>
      </c>
      <c r="I260" s="6" t="s">
        <v>477</v>
      </c>
      <c r="J260" s="28" t="s">
        <v>319</v>
      </c>
      <c r="K260" s="28" t="s">
        <v>319</v>
      </c>
      <c r="L260" s="28" t="s">
        <v>319</v>
      </c>
      <c r="M260" s="28" t="s">
        <v>319</v>
      </c>
      <c r="N260" s="28" t="s">
        <v>319</v>
      </c>
      <c r="O260" s="28" t="s">
        <v>319</v>
      </c>
      <c r="P260" s="28" t="s">
        <v>319</v>
      </c>
      <c r="Q260" s="5" t="s">
        <v>676</v>
      </c>
      <c r="R260" s="5" t="s">
        <v>663</v>
      </c>
      <c r="S260" s="6" t="s">
        <v>669</v>
      </c>
      <c r="T260" s="5"/>
      <c r="U260" s="5"/>
      <c r="V260" s="106">
        <v>48800</v>
      </c>
      <c r="W260" s="6" t="s">
        <v>665</v>
      </c>
      <c r="X260" s="5"/>
      <c r="Y260" s="5"/>
      <c r="Z260" s="111">
        <v>1.8</v>
      </c>
      <c r="AA260" s="6" t="s">
        <v>963</v>
      </c>
      <c r="AB260" s="6"/>
      <c r="AC260" s="6"/>
      <c r="AD260" s="6" t="s">
        <v>1113</v>
      </c>
      <c r="AE260" s="6" t="s">
        <v>975</v>
      </c>
      <c r="AF260" s="6"/>
      <c r="AG260" s="12">
        <v>126.8</v>
      </c>
      <c r="AH260" s="6"/>
      <c r="AI260" s="6" t="s">
        <v>965</v>
      </c>
      <c r="AJ260" s="108"/>
      <c r="AK260" s="112">
        <v>0.219</v>
      </c>
      <c r="AL260" s="6"/>
      <c r="AM260" s="6" t="s">
        <v>958</v>
      </c>
      <c r="AN260" s="6"/>
      <c r="AO260" s="105">
        <v>2.5</v>
      </c>
      <c r="AP260" s="6"/>
      <c r="AQ260" s="28" t="s">
        <v>319</v>
      </c>
      <c r="AR260" s="28" t="s">
        <v>319</v>
      </c>
      <c r="AS260" s="28" t="s">
        <v>319</v>
      </c>
      <c r="AT260" s="28" t="s">
        <v>319</v>
      </c>
      <c r="AU260" s="28" t="s">
        <v>319</v>
      </c>
      <c r="AV260" s="28" t="s">
        <v>319</v>
      </c>
      <c r="AW260" s="28" t="s">
        <v>319</v>
      </c>
      <c r="AX260" s="28" t="s">
        <v>319</v>
      </c>
      <c r="AY260" s="28" t="s">
        <v>319</v>
      </c>
      <c r="AZ260" s="28" t="s">
        <v>319</v>
      </c>
      <c r="BA260" s="28" t="s">
        <v>319</v>
      </c>
      <c r="BB260" s="6" t="s">
        <v>984</v>
      </c>
      <c r="BC260" s="5" t="s">
        <v>681</v>
      </c>
      <c r="BD260" s="106">
        <v>200</v>
      </c>
      <c r="BE260" s="6" t="s">
        <v>1013</v>
      </c>
      <c r="BF260" s="181" t="s">
        <v>1448</v>
      </c>
      <c r="BG260" s="12">
        <v>6</v>
      </c>
      <c r="BH260" s="28" t="s">
        <v>319</v>
      </c>
      <c r="BI260" s="28" t="s">
        <v>319</v>
      </c>
      <c r="BJ260" s="28" t="s">
        <v>319</v>
      </c>
      <c r="BK260" s="28" t="s">
        <v>319</v>
      </c>
      <c r="BL260" s="28" t="s">
        <v>319</v>
      </c>
      <c r="BM260" s="28" t="s">
        <v>319</v>
      </c>
      <c r="BN260" s="28" t="s">
        <v>319</v>
      </c>
      <c r="BO260" s="28" t="s">
        <v>319</v>
      </c>
      <c r="BP260" s="28" t="s">
        <v>319</v>
      </c>
      <c r="BQ260" s="28" t="s">
        <v>319</v>
      </c>
      <c r="BR260" s="12">
        <v>225.5</v>
      </c>
      <c r="BS260" s="105">
        <v>937.26</v>
      </c>
      <c r="BT260" s="6"/>
      <c r="BU260" s="5"/>
      <c r="BV260" s="6"/>
      <c r="BW260" s="111"/>
      <c r="BX260" s="6" t="s">
        <v>1054</v>
      </c>
      <c r="BY260" s="6"/>
      <c r="BZ260" s="30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9"/>
      <c r="DB260" s="6"/>
      <c r="DC260" s="30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 t="s">
        <v>319</v>
      </c>
      <c r="DO260" s="28" t="s">
        <v>319</v>
      </c>
      <c r="DP260" s="28" t="s">
        <v>319</v>
      </c>
      <c r="DQ260" s="28" t="s">
        <v>319</v>
      </c>
      <c r="DR260" s="28" t="s">
        <v>319</v>
      </c>
      <c r="DS260" s="28" t="s">
        <v>319</v>
      </c>
      <c r="DT260" s="28" t="s">
        <v>319</v>
      </c>
      <c r="DU260" s="28" t="s">
        <v>319</v>
      </c>
      <c r="DV260" s="28" t="s">
        <v>319</v>
      </c>
      <c r="DW260" s="28" t="s">
        <v>319</v>
      </c>
      <c r="DX260" s="28" t="s">
        <v>319</v>
      </c>
      <c r="DY260" s="28" t="s">
        <v>319</v>
      </c>
      <c r="DZ260" s="28" t="s">
        <v>319</v>
      </c>
      <c r="EA260" s="28" t="s">
        <v>319</v>
      </c>
      <c r="EB260" s="28" t="s">
        <v>319</v>
      </c>
      <c r="EC260" s="28" t="s">
        <v>319</v>
      </c>
      <c r="ED260" s="28" t="s">
        <v>319</v>
      </c>
      <c r="EE260" s="28"/>
      <c r="EF260" s="28" t="s">
        <v>319</v>
      </c>
      <c r="EG260" s="28" t="s">
        <v>319</v>
      </c>
      <c r="EH260" s="28" t="s">
        <v>319</v>
      </c>
      <c r="EI260" s="28" t="s">
        <v>319</v>
      </c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7"/>
      <c r="FK260" s="6"/>
      <c r="FL260" s="6"/>
      <c r="FM260" s="97"/>
    </row>
    <row r="261" spans="1:169" s="3" customFormat="1" x14ac:dyDescent="0.4">
      <c r="A261" s="93"/>
      <c r="B261" s="93"/>
      <c r="C261" s="26"/>
      <c r="D261" s="27" t="s">
        <v>319</v>
      </c>
      <c r="E261" s="2" t="s">
        <v>532</v>
      </c>
      <c r="F261" s="28" t="s">
        <v>319</v>
      </c>
      <c r="G261" s="28" t="s">
        <v>319</v>
      </c>
      <c r="H261" s="28" t="s">
        <v>319</v>
      </c>
      <c r="I261" s="6" t="s">
        <v>477</v>
      </c>
      <c r="J261" s="28" t="s">
        <v>319</v>
      </c>
      <c r="K261" s="28" t="s">
        <v>319</v>
      </c>
      <c r="L261" s="28" t="s">
        <v>319</v>
      </c>
      <c r="M261" s="28" t="s">
        <v>319</v>
      </c>
      <c r="N261" s="28" t="s">
        <v>319</v>
      </c>
      <c r="O261" s="28" t="s">
        <v>319</v>
      </c>
      <c r="P261" s="28" t="s">
        <v>319</v>
      </c>
      <c r="Q261" s="5" t="s">
        <v>675</v>
      </c>
      <c r="R261" s="5" t="s">
        <v>667</v>
      </c>
      <c r="S261" s="6" t="s">
        <v>678</v>
      </c>
      <c r="T261" s="201">
        <v>28923</v>
      </c>
      <c r="U261" s="5"/>
      <c r="V261" s="106">
        <v>48800</v>
      </c>
      <c r="W261" s="6" t="s">
        <v>665</v>
      </c>
      <c r="X261" s="201">
        <v>3</v>
      </c>
      <c r="Y261" s="5"/>
      <c r="Z261" s="105">
        <v>2.7</v>
      </c>
      <c r="AA261" s="6" t="s">
        <v>968</v>
      </c>
      <c r="AB261" s="200" t="s">
        <v>1436</v>
      </c>
      <c r="AC261" s="6"/>
      <c r="AD261" s="6" t="s">
        <v>1114</v>
      </c>
      <c r="AE261" s="6" t="s">
        <v>967</v>
      </c>
      <c r="AF261" s="6"/>
      <c r="AG261" s="12">
        <v>160</v>
      </c>
      <c r="AH261" s="6"/>
      <c r="AI261" s="6" t="s">
        <v>965</v>
      </c>
      <c r="AJ261" s="108"/>
      <c r="AK261" s="112">
        <v>1.44E-2</v>
      </c>
      <c r="AL261" s="6"/>
      <c r="AM261" s="6"/>
      <c r="AN261" s="6"/>
      <c r="AO261" s="5"/>
      <c r="AP261" s="6"/>
      <c r="AQ261" s="28" t="s">
        <v>319</v>
      </c>
      <c r="AR261" s="28" t="s">
        <v>319</v>
      </c>
      <c r="AS261" s="28" t="s">
        <v>319</v>
      </c>
      <c r="AT261" s="28" t="s">
        <v>319</v>
      </c>
      <c r="AU261" s="28" t="s">
        <v>319</v>
      </c>
      <c r="AV261" s="28" t="s">
        <v>319</v>
      </c>
      <c r="AW261" s="28" t="s">
        <v>319</v>
      </c>
      <c r="AX261" s="28" t="s">
        <v>319</v>
      </c>
      <c r="AY261" s="28" t="s">
        <v>319</v>
      </c>
      <c r="AZ261" s="28" t="s">
        <v>319</v>
      </c>
      <c r="BA261" s="28" t="s">
        <v>319</v>
      </c>
      <c r="BB261" s="6" t="s">
        <v>984</v>
      </c>
      <c r="BC261" s="5" t="s">
        <v>681</v>
      </c>
      <c r="BD261" s="106">
        <v>200</v>
      </c>
      <c r="BE261" s="6" t="s">
        <v>1008</v>
      </c>
      <c r="BF261" s="6"/>
      <c r="BG261" s="12">
        <v>6</v>
      </c>
      <c r="BH261" s="28" t="s">
        <v>319</v>
      </c>
      <c r="BI261" s="28" t="s">
        <v>319</v>
      </c>
      <c r="BJ261" s="28" t="s">
        <v>319</v>
      </c>
      <c r="BK261" s="28" t="s">
        <v>319</v>
      </c>
      <c r="BL261" s="28" t="s">
        <v>319</v>
      </c>
      <c r="BM261" s="28" t="s">
        <v>319</v>
      </c>
      <c r="BN261" s="28" t="s">
        <v>319</v>
      </c>
      <c r="BO261" s="28" t="s">
        <v>319</v>
      </c>
      <c r="BP261" s="28" t="s">
        <v>319</v>
      </c>
      <c r="BQ261" s="28" t="s">
        <v>319</v>
      </c>
      <c r="BR261" s="5"/>
      <c r="BS261" s="105"/>
      <c r="BT261" s="6"/>
      <c r="BU261" s="12">
        <v>18</v>
      </c>
      <c r="BV261" s="6" t="s">
        <v>1018</v>
      </c>
      <c r="BW261" s="105">
        <v>1.3</v>
      </c>
      <c r="BX261" s="6"/>
      <c r="BY261" s="6"/>
      <c r="BZ261" s="30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9"/>
      <c r="DB261" s="6"/>
      <c r="DC261" s="30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 t="s">
        <v>319</v>
      </c>
      <c r="DO261" s="28" t="s">
        <v>319</v>
      </c>
      <c r="DP261" s="28" t="s">
        <v>319</v>
      </c>
      <c r="DQ261" s="28" t="s">
        <v>319</v>
      </c>
      <c r="DR261" s="28" t="s">
        <v>319</v>
      </c>
      <c r="DS261" s="28" t="s">
        <v>319</v>
      </c>
      <c r="DT261" s="28" t="s">
        <v>319</v>
      </c>
      <c r="DU261" s="28" t="s">
        <v>319</v>
      </c>
      <c r="DV261" s="28" t="s">
        <v>319</v>
      </c>
      <c r="DW261" s="28" t="s">
        <v>319</v>
      </c>
      <c r="DX261" s="28" t="s">
        <v>319</v>
      </c>
      <c r="DY261" s="28" t="s">
        <v>319</v>
      </c>
      <c r="DZ261" s="28" t="s">
        <v>319</v>
      </c>
      <c r="EA261" s="28" t="s">
        <v>319</v>
      </c>
      <c r="EB261" s="28" t="s">
        <v>319</v>
      </c>
      <c r="EC261" s="28" t="s">
        <v>319</v>
      </c>
      <c r="ED261" s="28" t="s">
        <v>319</v>
      </c>
      <c r="EE261" s="28"/>
      <c r="EF261" s="28" t="s">
        <v>319</v>
      </c>
      <c r="EG261" s="28" t="s">
        <v>319</v>
      </c>
      <c r="EH261" s="28" t="s">
        <v>319</v>
      </c>
      <c r="EI261" s="28" t="s">
        <v>319</v>
      </c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7"/>
      <c r="FK261" s="6"/>
      <c r="FL261" s="6"/>
      <c r="FM261" s="94"/>
    </row>
    <row r="262" spans="1:169" s="3" customFormat="1" x14ac:dyDescent="0.4">
      <c r="A262" s="93"/>
      <c r="B262" s="93"/>
      <c r="C262" s="26"/>
      <c r="D262" s="27" t="s">
        <v>319</v>
      </c>
      <c r="E262" s="2" t="s">
        <v>410</v>
      </c>
      <c r="F262" s="28" t="s">
        <v>319</v>
      </c>
      <c r="G262" s="28" t="s">
        <v>319</v>
      </c>
      <c r="H262" s="28" t="s">
        <v>319</v>
      </c>
      <c r="I262" s="6" t="s">
        <v>411</v>
      </c>
      <c r="J262" s="28" t="s">
        <v>319</v>
      </c>
      <c r="K262" s="28" t="s">
        <v>319</v>
      </c>
      <c r="L262" s="28" t="s">
        <v>319</v>
      </c>
      <c r="M262" s="28" t="s">
        <v>319</v>
      </c>
      <c r="N262" s="28" t="s">
        <v>319</v>
      </c>
      <c r="O262" s="28" t="s">
        <v>319</v>
      </c>
      <c r="P262" s="28" t="s">
        <v>319</v>
      </c>
      <c r="Q262" s="5" t="s">
        <v>673</v>
      </c>
      <c r="R262" s="5" t="s">
        <v>663</v>
      </c>
      <c r="S262" s="6" t="s">
        <v>672</v>
      </c>
      <c r="T262" s="5" t="s">
        <v>916</v>
      </c>
      <c r="U262" s="5" t="s">
        <v>917</v>
      </c>
      <c r="V262" s="5" t="s">
        <v>918</v>
      </c>
      <c r="W262" s="6" t="s">
        <v>665</v>
      </c>
      <c r="X262" s="105">
        <v>22.78</v>
      </c>
      <c r="Y262" s="105">
        <v>22.13</v>
      </c>
      <c r="Z262" s="105">
        <v>21.73</v>
      </c>
      <c r="AA262" s="6" t="s">
        <v>963</v>
      </c>
      <c r="AB262" s="6">
        <v>1.7800000000000011</v>
      </c>
      <c r="AC262" s="6">
        <v>1.1099999999999994</v>
      </c>
      <c r="AD262" s="6">
        <v>0.69999999999999929</v>
      </c>
      <c r="AE262" s="6" t="s">
        <v>956</v>
      </c>
      <c r="AF262" s="6"/>
      <c r="AG262" s="12">
        <v>42.6</v>
      </c>
      <c r="AH262" s="6"/>
      <c r="AI262" s="6" t="s">
        <v>965</v>
      </c>
      <c r="AJ262" s="112"/>
      <c r="AK262" s="108">
        <v>7.1999999999999995E-2</v>
      </c>
      <c r="AL262" s="6"/>
      <c r="AM262" s="6" t="s">
        <v>958</v>
      </c>
      <c r="AN262" s="6"/>
      <c r="AO262" s="105">
        <v>18.64</v>
      </c>
      <c r="AP262" s="6"/>
      <c r="AQ262" s="28" t="s">
        <v>319</v>
      </c>
      <c r="AR262" s="28" t="s">
        <v>319</v>
      </c>
      <c r="AS262" s="28" t="s">
        <v>319</v>
      </c>
      <c r="AT262" s="28" t="s">
        <v>319</v>
      </c>
      <c r="AU262" s="28" t="s">
        <v>319</v>
      </c>
      <c r="AV262" s="28" t="s">
        <v>319</v>
      </c>
      <c r="AW262" s="28" t="s">
        <v>319</v>
      </c>
      <c r="AX262" s="28" t="s">
        <v>319</v>
      </c>
      <c r="AY262" s="28" t="s">
        <v>319</v>
      </c>
      <c r="AZ262" s="28" t="s">
        <v>319</v>
      </c>
      <c r="BA262" s="28" t="s">
        <v>319</v>
      </c>
      <c r="BB262" s="6" t="s">
        <v>984</v>
      </c>
      <c r="BC262" s="106">
        <v>-47</v>
      </c>
      <c r="BD262" s="106">
        <v>90</v>
      </c>
      <c r="BE262" s="6" t="s">
        <v>1014</v>
      </c>
      <c r="BF262" s="6"/>
      <c r="BG262" s="185">
        <v>26</v>
      </c>
      <c r="BH262" s="28" t="s">
        <v>319</v>
      </c>
      <c r="BI262" s="28" t="s">
        <v>319</v>
      </c>
      <c r="BJ262" s="28" t="s">
        <v>319</v>
      </c>
      <c r="BK262" s="28" t="s">
        <v>319</v>
      </c>
      <c r="BL262" s="28" t="s">
        <v>319</v>
      </c>
      <c r="BM262" s="28" t="s">
        <v>319</v>
      </c>
      <c r="BN262" s="28" t="s">
        <v>319</v>
      </c>
      <c r="BO262" s="28" t="s">
        <v>319</v>
      </c>
      <c r="BP262" s="28" t="s">
        <v>319</v>
      </c>
      <c r="BQ262" s="28" t="s">
        <v>319</v>
      </c>
      <c r="BR262" s="105">
        <v>47.08</v>
      </c>
      <c r="BS262" s="12">
        <v>473.5</v>
      </c>
      <c r="BT262" s="6"/>
      <c r="BU262" s="5"/>
      <c r="BV262" s="6"/>
      <c r="BW262" s="111"/>
      <c r="BX262" s="8" t="s">
        <v>1412</v>
      </c>
      <c r="BY262" s="6"/>
      <c r="BZ262" s="30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9"/>
      <c r="DB262" s="6"/>
      <c r="DC262" s="30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 t="s">
        <v>319</v>
      </c>
      <c r="DO262" s="28" t="s">
        <v>319</v>
      </c>
      <c r="DP262" s="28" t="s">
        <v>319</v>
      </c>
      <c r="DQ262" s="28" t="s">
        <v>319</v>
      </c>
      <c r="DR262" s="28" t="s">
        <v>319</v>
      </c>
      <c r="DS262" s="28" t="s">
        <v>319</v>
      </c>
      <c r="DT262" s="28" t="s">
        <v>319</v>
      </c>
      <c r="DU262" s="28" t="s">
        <v>319</v>
      </c>
      <c r="DV262" s="28" t="s">
        <v>319</v>
      </c>
      <c r="DW262" s="28" t="s">
        <v>319</v>
      </c>
      <c r="DX262" s="28" t="s">
        <v>319</v>
      </c>
      <c r="DY262" s="28" t="s">
        <v>319</v>
      </c>
      <c r="DZ262" s="28" t="s">
        <v>319</v>
      </c>
      <c r="EA262" s="28" t="s">
        <v>319</v>
      </c>
      <c r="EB262" s="28" t="s">
        <v>319</v>
      </c>
      <c r="EC262" s="28" t="s">
        <v>319</v>
      </c>
      <c r="ED262" s="28" t="s">
        <v>319</v>
      </c>
      <c r="EE262" s="28"/>
      <c r="EF262" s="28" t="s">
        <v>319</v>
      </c>
      <c r="EG262" s="28" t="s">
        <v>319</v>
      </c>
      <c r="EH262" s="28" t="s">
        <v>319</v>
      </c>
      <c r="EI262" s="28" t="s">
        <v>319</v>
      </c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7"/>
      <c r="FK262" s="6"/>
      <c r="FL262" s="6"/>
      <c r="FM262" s="97"/>
    </row>
    <row r="263" spans="1:169" s="3" customFormat="1" x14ac:dyDescent="0.4">
      <c r="A263" s="93"/>
      <c r="B263" s="93"/>
      <c r="C263" s="26"/>
      <c r="D263" s="27" t="s">
        <v>319</v>
      </c>
      <c r="E263" s="2" t="s">
        <v>511</v>
      </c>
      <c r="F263" s="28" t="s">
        <v>319</v>
      </c>
      <c r="G263" s="28" t="s">
        <v>319</v>
      </c>
      <c r="H263" s="28" t="s">
        <v>319</v>
      </c>
      <c r="I263" s="6" t="s">
        <v>512</v>
      </c>
      <c r="J263" s="28" t="s">
        <v>319</v>
      </c>
      <c r="K263" s="28" t="s">
        <v>319</v>
      </c>
      <c r="L263" s="28" t="s">
        <v>319</v>
      </c>
      <c r="M263" s="28" t="s">
        <v>319</v>
      </c>
      <c r="N263" s="28" t="s">
        <v>319</v>
      </c>
      <c r="O263" s="28" t="s">
        <v>319</v>
      </c>
      <c r="P263" s="28" t="s">
        <v>319</v>
      </c>
      <c r="Q263" s="5" t="s">
        <v>673</v>
      </c>
      <c r="R263" s="5" t="s">
        <v>667</v>
      </c>
      <c r="S263" s="6" t="s">
        <v>672</v>
      </c>
      <c r="T263" s="5"/>
      <c r="U263" s="5"/>
      <c r="V263" s="106">
        <v>87800</v>
      </c>
      <c r="W263" s="6" t="s">
        <v>665</v>
      </c>
      <c r="X263" s="5"/>
      <c r="Y263" s="5"/>
      <c r="Z263" s="105">
        <v>17.55</v>
      </c>
      <c r="AA263" s="6" t="s">
        <v>963</v>
      </c>
      <c r="AB263" s="6"/>
      <c r="AC263" s="6"/>
      <c r="AD263" s="6">
        <v>0.15000000000000213</v>
      </c>
      <c r="AE263" s="6" t="s">
        <v>975</v>
      </c>
      <c r="AF263" s="6"/>
      <c r="AG263" s="12">
        <v>44</v>
      </c>
      <c r="AH263" s="6"/>
      <c r="AI263" s="6" t="s">
        <v>965</v>
      </c>
      <c r="AJ263" s="108"/>
      <c r="AK263" s="112">
        <v>1.0200000000000001E-2</v>
      </c>
      <c r="AL263" s="6"/>
      <c r="AM263" s="6"/>
      <c r="AN263" s="6"/>
      <c r="AO263" s="5"/>
      <c r="AP263" s="6"/>
      <c r="AQ263" s="28" t="s">
        <v>319</v>
      </c>
      <c r="AR263" s="28" t="s">
        <v>319</v>
      </c>
      <c r="AS263" s="28" t="s">
        <v>319</v>
      </c>
      <c r="AT263" s="28" t="s">
        <v>319</v>
      </c>
      <c r="AU263" s="28" t="s">
        <v>319</v>
      </c>
      <c r="AV263" s="28" t="s">
        <v>319</v>
      </c>
      <c r="AW263" s="28" t="s">
        <v>319</v>
      </c>
      <c r="AX263" s="28" t="s">
        <v>319</v>
      </c>
      <c r="AY263" s="28" t="s">
        <v>319</v>
      </c>
      <c r="AZ263" s="28" t="s">
        <v>319</v>
      </c>
      <c r="BA263" s="28" t="s">
        <v>319</v>
      </c>
      <c r="BB263" s="6" t="s">
        <v>984</v>
      </c>
      <c r="BC263" s="106">
        <v>-47</v>
      </c>
      <c r="BD263" s="106">
        <v>90</v>
      </c>
      <c r="BE263" s="6" t="s">
        <v>1014</v>
      </c>
      <c r="BF263" s="6"/>
      <c r="BG263" s="12">
        <v>19.5</v>
      </c>
      <c r="BH263" s="28" t="s">
        <v>319</v>
      </c>
      <c r="BI263" s="28" t="s">
        <v>319</v>
      </c>
      <c r="BJ263" s="28" t="s">
        <v>319</v>
      </c>
      <c r="BK263" s="28" t="s">
        <v>319</v>
      </c>
      <c r="BL263" s="28" t="s">
        <v>319</v>
      </c>
      <c r="BM263" s="28" t="s">
        <v>319</v>
      </c>
      <c r="BN263" s="28" t="s">
        <v>319</v>
      </c>
      <c r="BO263" s="28" t="s">
        <v>319</v>
      </c>
      <c r="BP263" s="28" t="s">
        <v>319</v>
      </c>
      <c r="BQ263" s="28" t="s">
        <v>319</v>
      </c>
      <c r="BR263" s="5"/>
      <c r="BS263" s="105"/>
      <c r="BT263" s="6"/>
      <c r="BU263" s="12">
        <v>42</v>
      </c>
      <c r="BV263" s="6" t="s">
        <v>1044</v>
      </c>
      <c r="BW263" s="105">
        <v>1.3740000000000001</v>
      </c>
      <c r="BX263" s="6"/>
      <c r="BY263" s="6"/>
      <c r="BZ263" s="30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9"/>
      <c r="DB263" s="6"/>
      <c r="DC263" s="30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 t="s">
        <v>319</v>
      </c>
      <c r="DO263" s="28" t="s">
        <v>319</v>
      </c>
      <c r="DP263" s="28" t="s">
        <v>319</v>
      </c>
      <c r="DQ263" s="28" t="s">
        <v>319</v>
      </c>
      <c r="DR263" s="28" t="s">
        <v>319</v>
      </c>
      <c r="DS263" s="28" t="s">
        <v>319</v>
      </c>
      <c r="DT263" s="28" t="s">
        <v>319</v>
      </c>
      <c r="DU263" s="28" t="s">
        <v>319</v>
      </c>
      <c r="DV263" s="28" t="s">
        <v>319</v>
      </c>
      <c r="DW263" s="28" t="s">
        <v>319</v>
      </c>
      <c r="DX263" s="28" t="s">
        <v>319</v>
      </c>
      <c r="DY263" s="28" t="s">
        <v>319</v>
      </c>
      <c r="DZ263" s="28" t="s">
        <v>319</v>
      </c>
      <c r="EA263" s="28" t="s">
        <v>319</v>
      </c>
      <c r="EB263" s="28" t="s">
        <v>319</v>
      </c>
      <c r="EC263" s="28" t="s">
        <v>319</v>
      </c>
      <c r="ED263" s="28" t="s">
        <v>319</v>
      </c>
      <c r="EE263" s="28"/>
      <c r="EF263" s="28" t="s">
        <v>319</v>
      </c>
      <c r="EG263" s="28" t="s">
        <v>319</v>
      </c>
      <c r="EH263" s="28" t="s">
        <v>319</v>
      </c>
      <c r="EI263" s="28" t="s">
        <v>319</v>
      </c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7"/>
      <c r="FK263" s="6"/>
      <c r="FL263" s="6"/>
      <c r="FM263" s="94"/>
    </row>
    <row r="264" spans="1:169" s="3" customFormat="1" x14ac:dyDescent="0.4">
      <c r="A264" s="93"/>
      <c r="B264" s="93"/>
      <c r="C264" s="26"/>
      <c r="D264" s="27" t="s">
        <v>319</v>
      </c>
      <c r="E264" s="2" t="s">
        <v>510</v>
      </c>
      <c r="F264" s="28" t="s">
        <v>319</v>
      </c>
      <c r="G264" s="28" t="s">
        <v>319</v>
      </c>
      <c r="H264" s="28" t="s">
        <v>319</v>
      </c>
      <c r="I264" s="6" t="s">
        <v>413</v>
      </c>
      <c r="J264" s="28" t="s">
        <v>319</v>
      </c>
      <c r="K264" s="28" t="s">
        <v>319</v>
      </c>
      <c r="L264" s="28" t="s">
        <v>319</v>
      </c>
      <c r="M264" s="28" t="s">
        <v>319</v>
      </c>
      <c r="N264" s="28" t="s">
        <v>319</v>
      </c>
      <c r="O264" s="28" t="s">
        <v>319</v>
      </c>
      <c r="P264" s="28" t="s">
        <v>319</v>
      </c>
      <c r="Q264" s="5" t="s">
        <v>673</v>
      </c>
      <c r="R264" s="5" t="s">
        <v>667</v>
      </c>
      <c r="S264" s="6" t="s">
        <v>672</v>
      </c>
      <c r="T264" s="5"/>
      <c r="U264" s="5">
        <v>65000</v>
      </c>
      <c r="V264" s="5"/>
      <c r="W264" s="6" t="s">
        <v>665</v>
      </c>
      <c r="X264" s="5"/>
      <c r="Y264" s="105">
        <v>18.5</v>
      </c>
      <c r="Z264" s="5"/>
      <c r="AA264" s="6" t="s">
        <v>963</v>
      </c>
      <c r="AB264" s="6"/>
      <c r="AC264" s="6">
        <v>18.149999999999999</v>
      </c>
      <c r="AD264" s="6"/>
      <c r="AE264" s="6" t="s">
        <v>956</v>
      </c>
      <c r="AF264" s="6"/>
      <c r="AG264" s="12">
        <v>44.7</v>
      </c>
      <c r="AH264" s="6"/>
      <c r="AI264" s="6" t="s">
        <v>977</v>
      </c>
      <c r="AJ264" s="112"/>
      <c r="AK264" s="112">
        <v>1.0200000000000001E-2</v>
      </c>
      <c r="AL264" s="6"/>
      <c r="AM264" s="6"/>
      <c r="AN264" s="6"/>
      <c r="AO264" s="5"/>
      <c r="AP264" s="6"/>
      <c r="AQ264" s="28" t="s">
        <v>319</v>
      </c>
      <c r="AR264" s="28" t="s">
        <v>319</v>
      </c>
      <c r="AS264" s="28" t="s">
        <v>319</v>
      </c>
      <c r="AT264" s="28" t="s">
        <v>319</v>
      </c>
      <c r="AU264" s="28" t="s">
        <v>319</v>
      </c>
      <c r="AV264" s="28" t="s">
        <v>319</v>
      </c>
      <c r="AW264" s="28" t="s">
        <v>319</v>
      </c>
      <c r="AX264" s="28" t="s">
        <v>319</v>
      </c>
      <c r="AY264" s="28" t="s">
        <v>319</v>
      </c>
      <c r="AZ264" s="28" t="s">
        <v>319</v>
      </c>
      <c r="BA264" s="28" t="s">
        <v>319</v>
      </c>
      <c r="BB264" s="6" t="s">
        <v>984</v>
      </c>
      <c r="BC264" s="106">
        <v>-47</v>
      </c>
      <c r="BD264" s="106">
        <v>90</v>
      </c>
      <c r="BE264" s="6" t="s">
        <v>1014</v>
      </c>
      <c r="BF264" s="6"/>
      <c r="BG264" s="12">
        <v>19.5</v>
      </c>
      <c r="BH264" s="28" t="s">
        <v>319</v>
      </c>
      <c r="BI264" s="28" t="s">
        <v>319</v>
      </c>
      <c r="BJ264" s="28" t="s">
        <v>319</v>
      </c>
      <c r="BK264" s="28" t="s">
        <v>319</v>
      </c>
      <c r="BL264" s="28" t="s">
        <v>319</v>
      </c>
      <c r="BM264" s="28" t="s">
        <v>319</v>
      </c>
      <c r="BN264" s="28" t="s">
        <v>319</v>
      </c>
      <c r="BO264" s="28" t="s">
        <v>319</v>
      </c>
      <c r="BP264" s="28" t="s">
        <v>319</v>
      </c>
      <c r="BQ264" s="28" t="s">
        <v>319</v>
      </c>
      <c r="BR264" s="5"/>
      <c r="BS264" s="105"/>
      <c r="BT264" s="6"/>
      <c r="BU264" s="12">
        <v>42</v>
      </c>
      <c r="BV264" s="6" t="s">
        <v>1044</v>
      </c>
      <c r="BW264" s="105">
        <v>1.3740000000000001</v>
      </c>
      <c r="BX264" s="6"/>
      <c r="BY264" s="6"/>
      <c r="BZ264" s="30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9"/>
      <c r="DB264" s="6"/>
      <c r="DC264" s="30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 t="s">
        <v>319</v>
      </c>
      <c r="DO264" s="28" t="s">
        <v>319</v>
      </c>
      <c r="DP264" s="28" t="s">
        <v>319</v>
      </c>
      <c r="DQ264" s="28" t="s">
        <v>319</v>
      </c>
      <c r="DR264" s="28" t="s">
        <v>319</v>
      </c>
      <c r="DS264" s="28" t="s">
        <v>319</v>
      </c>
      <c r="DT264" s="28" t="s">
        <v>319</v>
      </c>
      <c r="DU264" s="28" t="s">
        <v>319</v>
      </c>
      <c r="DV264" s="28" t="s">
        <v>319</v>
      </c>
      <c r="DW264" s="28" t="s">
        <v>319</v>
      </c>
      <c r="DX264" s="28" t="s">
        <v>319</v>
      </c>
      <c r="DY264" s="28" t="s">
        <v>319</v>
      </c>
      <c r="DZ264" s="28" t="s">
        <v>319</v>
      </c>
      <c r="EA264" s="28" t="s">
        <v>319</v>
      </c>
      <c r="EB264" s="28" t="s">
        <v>319</v>
      </c>
      <c r="EC264" s="28" t="s">
        <v>319</v>
      </c>
      <c r="ED264" s="28" t="s">
        <v>319</v>
      </c>
      <c r="EE264" s="28"/>
      <c r="EF264" s="28" t="s">
        <v>319</v>
      </c>
      <c r="EG264" s="28" t="s">
        <v>319</v>
      </c>
      <c r="EH264" s="28" t="s">
        <v>319</v>
      </c>
      <c r="EI264" s="28" t="s">
        <v>319</v>
      </c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7"/>
      <c r="FK264" s="6"/>
      <c r="FL264" s="6"/>
      <c r="FM264" s="94"/>
    </row>
    <row r="265" spans="1:169" s="3" customFormat="1" x14ac:dyDescent="0.4">
      <c r="A265" s="93"/>
      <c r="B265" s="93"/>
      <c r="C265" s="26"/>
      <c r="D265" s="27" t="s">
        <v>319</v>
      </c>
      <c r="E265" s="2" t="s">
        <v>412</v>
      </c>
      <c r="F265" s="28" t="s">
        <v>319</v>
      </c>
      <c r="G265" s="28" t="s">
        <v>319</v>
      </c>
      <c r="H265" s="28" t="s">
        <v>319</v>
      </c>
      <c r="I265" s="6" t="s">
        <v>413</v>
      </c>
      <c r="J265" s="28" t="s">
        <v>319</v>
      </c>
      <c r="K265" s="28" t="s">
        <v>319</v>
      </c>
      <c r="L265" s="28" t="s">
        <v>319</v>
      </c>
      <c r="M265" s="28" t="s">
        <v>319</v>
      </c>
      <c r="N265" s="28" t="s">
        <v>319</v>
      </c>
      <c r="O265" s="28" t="s">
        <v>319</v>
      </c>
      <c r="P265" s="28" t="s">
        <v>319</v>
      </c>
      <c r="Q265" s="5" t="s">
        <v>721</v>
      </c>
      <c r="R265" s="5" t="s">
        <v>667</v>
      </c>
      <c r="S265" s="6" t="s">
        <v>672</v>
      </c>
      <c r="T265" s="5" t="s">
        <v>919</v>
      </c>
      <c r="U265" s="5" t="s">
        <v>920</v>
      </c>
      <c r="V265" s="5" t="s">
        <v>921</v>
      </c>
      <c r="W265" s="6" t="s">
        <v>665</v>
      </c>
      <c r="X265" s="105">
        <v>17.38</v>
      </c>
      <c r="Y265" s="105">
        <v>17.309999999999999</v>
      </c>
      <c r="Z265" s="105">
        <v>17.3</v>
      </c>
      <c r="AA265" s="6" t="s">
        <v>963</v>
      </c>
      <c r="AB265" s="6">
        <v>8.379999999999999</v>
      </c>
      <c r="AC265" s="6">
        <v>8.2099999999999991</v>
      </c>
      <c r="AD265" s="6">
        <v>8.16</v>
      </c>
      <c r="AE265" s="6" t="s">
        <v>1406</v>
      </c>
      <c r="AF265" s="6"/>
      <c r="AG265" s="12">
        <v>41.9</v>
      </c>
      <c r="AH265" s="6"/>
      <c r="AI265" s="6" t="s">
        <v>977</v>
      </c>
      <c r="AJ265" s="108"/>
      <c r="AK265" s="112">
        <v>1.01E-2</v>
      </c>
      <c r="AL265" s="6"/>
      <c r="AM265" s="6"/>
      <c r="AN265" s="6"/>
      <c r="AO265" s="5"/>
      <c r="AP265" s="6"/>
      <c r="AQ265" s="28" t="s">
        <v>319</v>
      </c>
      <c r="AR265" s="28" t="s">
        <v>319</v>
      </c>
      <c r="AS265" s="28" t="s">
        <v>319</v>
      </c>
      <c r="AT265" s="28" t="s">
        <v>319</v>
      </c>
      <c r="AU265" s="28" t="s">
        <v>319</v>
      </c>
      <c r="AV265" s="28" t="s">
        <v>319</v>
      </c>
      <c r="AW265" s="28" t="s">
        <v>319</v>
      </c>
      <c r="AX265" s="28" t="s">
        <v>319</v>
      </c>
      <c r="AY265" s="28" t="s">
        <v>319</v>
      </c>
      <c r="AZ265" s="28" t="s">
        <v>319</v>
      </c>
      <c r="BA265" s="28" t="s">
        <v>319</v>
      </c>
      <c r="BB265" s="6" t="s">
        <v>1410</v>
      </c>
      <c r="BC265" s="106">
        <v>-47</v>
      </c>
      <c r="BD265" s="106">
        <v>90</v>
      </c>
      <c r="BE265" s="6" t="s">
        <v>1008</v>
      </c>
      <c r="BF265" s="6"/>
      <c r="BG265" s="12">
        <v>19.5</v>
      </c>
      <c r="BH265" s="28" t="s">
        <v>319</v>
      </c>
      <c r="BI265" s="28" t="s">
        <v>319</v>
      </c>
      <c r="BJ265" s="28" t="s">
        <v>319</v>
      </c>
      <c r="BK265" s="28" t="s">
        <v>319</v>
      </c>
      <c r="BL265" s="28" t="s">
        <v>319</v>
      </c>
      <c r="BM265" s="28" t="s">
        <v>319</v>
      </c>
      <c r="BN265" s="28" t="s">
        <v>319</v>
      </c>
      <c r="BO265" s="28" t="s">
        <v>319</v>
      </c>
      <c r="BP265" s="28" t="s">
        <v>319</v>
      </c>
      <c r="BQ265" s="28" t="s">
        <v>319</v>
      </c>
      <c r="BR265" s="5"/>
      <c r="BS265" s="105"/>
      <c r="BT265" s="6"/>
      <c r="BU265" s="12">
        <v>40.9</v>
      </c>
      <c r="BV265" s="6" t="s">
        <v>1047</v>
      </c>
      <c r="BW265" s="105">
        <v>1.3580000000000001</v>
      </c>
      <c r="BX265" s="6"/>
      <c r="BY265" s="6"/>
      <c r="BZ265" s="30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9"/>
      <c r="DB265" s="6"/>
      <c r="DC265" s="30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 t="s">
        <v>319</v>
      </c>
      <c r="DO265" s="28" t="s">
        <v>319</v>
      </c>
      <c r="DP265" s="28" t="s">
        <v>319</v>
      </c>
      <c r="DQ265" s="28" t="s">
        <v>319</v>
      </c>
      <c r="DR265" s="28" t="s">
        <v>319</v>
      </c>
      <c r="DS265" s="28" t="s">
        <v>319</v>
      </c>
      <c r="DT265" s="28" t="s">
        <v>319</v>
      </c>
      <c r="DU265" s="28" t="s">
        <v>319</v>
      </c>
      <c r="DV265" s="28" t="s">
        <v>319</v>
      </c>
      <c r="DW265" s="28" t="s">
        <v>319</v>
      </c>
      <c r="DX265" s="28" t="s">
        <v>319</v>
      </c>
      <c r="DY265" s="28" t="s">
        <v>319</v>
      </c>
      <c r="DZ265" s="28" t="s">
        <v>319</v>
      </c>
      <c r="EA265" s="28" t="s">
        <v>319</v>
      </c>
      <c r="EB265" s="28" t="s">
        <v>319</v>
      </c>
      <c r="EC265" s="28" t="s">
        <v>319</v>
      </c>
      <c r="ED265" s="28" t="s">
        <v>319</v>
      </c>
      <c r="EE265" s="28"/>
      <c r="EF265" s="28" t="s">
        <v>319</v>
      </c>
      <c r="EG265" s="28" t="s">
        <v>319</v>
      </c>
      <c r="EH265" s="28" t="s">
        <v>319</v>
      </c>
      <c r="EI265" s="28" t="s">
        <v>319</v>
      </c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7"/>
      <c r="FK265" s="6"/>
      <c r="FL265" s="6"/>
      <c r="FM265" s="94"/>
    </row>
    <row r="266" spans="1:169" s="22" customFormat="1" x14ac:dyDescent="0.4">
      <c r="C266" s="44"/>
      <c r="D266" s="17"/>
      <c r="E266" s="16" t="s">
        <v>1400</v>
      </c>
      <c r="F266" s="18" t="s">
        <v>319</v>
      </c>
      <c r="G266" s="18" t="s">
        <v>319</v>
      </c>
      <c r="H266" s="18" t="s">
        <v>319</v>
      </c>
      <c r="I266" s="8" t="s">
        <v>413</v>
      </c>
      <c r="J266" s="18"/>
      <c r="K266" s="18"/>
      <c r="L266" s="18"/>
      <c r="M266" s="18"/>
      <c r="N266" s="18"/>
      <c r="O266" s="18"/>
      <c r="P266" s="18"/>
      <c r="Q266" s="7" t="s">
        <v>1401</v>
      </c>
      <c r="R266" s="7" t="s">
        <v>1402</v>
      </c>
      <c r="S266" s="8" t="s">
        <v>1403</v>
      </c>
      <c r="T266" s="7"/>
      <c r="U266" s="7"/>
      <c r="V266" s="201">
        <f>525*475*2</f>
        <v>498750</v>
      </c>
      <c r="W266" s="8" t="s">
        <v>1404</v>
      </c>
      <c r="X266" s="202"/>
      <c r="Y266" s="202"/>
      <c r="Z266" s="202">
        <v>22.8</v>
      </c>
      <c r="AA266" s="8" t="s">
        <v>1405</v>
      </c>
      <c r="AB266" s="237"/>
      <c r="AC266" s="237"/>
      <c r="AD266" s="237">
        <v>4.3899999999999997</v>
      </c>
      <c r="AE266" s="8" t="s">
        <v>1407</v>
      </c>
      <c r="AF266" s="8"/>
      <c r="AG266" s="11">
        <v>41.9</v>
      </c>
      <c r="AH266" s="8"/>
      <c r="AI266" s="8" t="s">
        <v>1408</v>
      </c>
      <c r="AJ266" s="10"/>
      <c r="AK266" s="23">
        <v>7.1999999999999995E-2</v>
      </c>
      <c r="AL266" s="8"/>
      <c r="AM266" s="8" t="s">
        <v>1409</v>
      </c>
      <c r="AN266" s="8"/>
      <c r="AO266" s="7">
        <v>18.37</v>
      </c>
      <c r="AP266" s="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8" t="s">
        <v>1411</v>
      </c>
      <c r="BC266" s="9">
        <v>-47</v>
      </c>
      <c r="BD266" s="9">
        <v>90</v>
      </c>
      <c r="BE266" s="8" t="s">
        <v>1008</v>
      </c>
      <c r="BF266" s="8"/>
      <c r="BG266" s="185">
        <v>26</v>
      </c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7">
        <v>91.5</v>
      </c>
      <c r="BS266" s="11">
        <v>474.9</v>
      </c>
      <c r="BT266" s="8"/>
      <c r="BU266" s="11"/>
      <c r="BV266" s="8"/>
      <c r="BW266" s="14"/>
      <c r="BX266" s="8" t="s">
        <v>1412</v>
      </c>
      <c r="BY266" s="8"/>
      <c r="BZ266" s="20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9"/>
      <c r="DB266" s="8"/>
      <c r="DC266" s="20"/>
      <c r="DD266" s="18"/>
      <c r="DE266" s="18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7"/>
      <c r="FK266" s="8"/>
      <c r="FL266" s="8"/>
      <c r="FM266" s="82"/>
    </row>
    <row r="267" spans="1:169" s="3" customFormat="1" x14ac:dyDescent="0.4">
      <c r="A267" s="93"/>
      <c r="B267" s="93"/>
      <c r="C267" s="26"/>
      <c r="D267" s="27" t="s">
        <v>319</v>
      </c>
      <c r="E267" s="2" t="s">
        <v>416</v>
      </c>
      <c r="F267" s="28" t="s">
        <v>319</v>
      </c>
      <c r="G267" s="28" t="s">
        <v>319</v>
      </c>
      <c r="H267" s="28" t="s">
        <v>319</v>
      </c>
      <c r="I267" s="6" t="s">
        <v>1387</v>
      </c>
      <c r="J267" s="28" t="s">
        <v>319</v>
      </c>
      <c r="K267" s="28" t="s">
        <v>319</v>
      </c>
      <c r="L267" s="28" t="s">
        <v>319</v>
      </c>
      <c r="M267" s="28" t="s">
        <v>319</v>
      </c>
      <c r="N267" s="28" t="s">
        <v>319</v>
      </c>
      <c r="O267" s="28" t="s">
        <v>319</v>
      </c>
      <c r="P267" s="28" t="s">
        <v>319</v>
      </c>
      <c r="Q267" s="5" t="s">
        <v>721</v>
      </c>
      <c r="R267" s="5" t="s">
        <v>663</v>
      </c>
      <c r="S267" s="6" t="s">
        <v>678</v>
      </c>
      <c r="T267" s="5"/>
      <c r="U267" s="5"/>
      <c r="V267" s="223">
        <f>60*466.2</f>
        <v>27972</v>
      </c>
      <c r="W267" s="6" t="s">
        <v>665</v>
      </c>
      <c r="X267" s="5"/>
      <c r="Y267" s="5"/>
      <c r="Z267" s="222">
        <v>31.39</v>
      </c>
      <c r="AA267" s="6" t="s">
        <v>963</v>
      </c>
      <c r="AB267" s="6"/>
      <c r="AC267" s="6"/>
      <c r="AD267" s="219" t="s">
        <v>1470</v>
      </c>
      <c r="AE267" s="6" t="s">
        <v>956</v>
      </c>
      <c r="AF267" s="6"/>
      <c r="AG267" s="12">
        <v>46.5</v>
      </c>
      <c r="AH267" s="6"/>
      <c r="AI267" s="6" t="s">
        <v>964</v>
      </c>
      <c r="AJ267" s="108"/>
      <c r="AK267" s="108">
        <v>7.0000000000000007E-2</v>
      </c>
      <c r="AL267" s="6"/>
      <c r="AM267" s="6" t="s">
        <v>958</v>
      </c>
      <c r="AN267" s="6"/>
      <c r="AO267" s="105">
        <v>19.43</v>
      </c>
      <c r="AP267" s="6"/>
      <c r="AQ267" s="28" t="s">
        <v>319</v>
      </c>
      <c r="AR267" s="28" t="s">
        <v>319</v>
      </c>
      <c r="AS267" s="28" t="s">
        <v>319</v>
      </c>
      <c r="AT267" s="28" t="s">
        <v>319</v>
      </c>
      <c r="AU267" s="28" t="s">
        <v>319</v>
      </c>
      <c r="AV267" s="28" t="s">
        <v>319</v>
      </c>
      <c r="AW267" s="28" t="s">
        <v>319</v>
      </c>
      <c r="AX267" s="28" t="s">
        <v>319</v>
      </c>
      <c r="AY267" s="28" t="s">
        <v>319</v>
      </c>
      <c r="AZ267" s="28" t="s">
        <v>319</v>
      </c>
      <c r="BA267" s="28" t="s">
        <v>319</v>
      </c>
      <c r="BB267" s="6" t="s">
        <v>984</v>
      </c>
      <c r="BC267" s="106">
        <v>-47</v>
      </c>
      <c r="BD267" s="106">
        <v>75</v>
      </c>
      <c r="BE267" s="6" t="s">
        <v>1010</v>
      </c>
      <c r="BF267" s="6"/>
      <c r="BG267" s="12">
        <v>33.9</v>
      </c>
      <c r="BH267" s="28" t="s">
        <v>319</v>
      </c>
      <c r="BI267" s="28" t="s">
        <v>319</v>
      </c>
      <c r="BJ267" s="28" t="s">
        <v>319</v>
      </c>
      <c r="BK267" s="28" t="s">
        <v>319</v>
      </c>
      <c r="BL267" s="28" t="s">
        <v>319</v>
      </c>
      <c r="BM267" s="28" t="s">
        <v>319</v>
      </c>
      <c r="BN267" s="28" t="s">
        <v>319</v>
      </c>
      <c r="BO267" s="28" t="s">
        <v>319</v>
      </c>
      <c r="BP267" s="28" t="s">
        <v>319</v>
      </c>
      <c r="BQ267" s="28" t="s">
        <v>319</v>
      </c>
      <c r="BR267" s="105">
        <v>47.09</v>
      </c>
      <c r="BS267" s="12">
        <v>466.2</v>
      </c>
      <c r="BT267" s="6"/>
      <c r="BU267" s="5"/>
      <c r="BV267" s="6"/>
      <c r="BW267" s="111"/>
      <c r="BX267" s="6"/>
      <c r="BY267" s="6"/>
      <c r="BZ267" s="30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9"/>
      <c r="DB267" s="6"/>
      <c r="DC267" s="30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 t="s">
        <v>319</v>
      </c>
      <c r="DO267" s="28" t="s">
        <v>319</v>
      </c>
      <c r="DP267" s="28" t="s">
        <v>319</v>
      </c>
      <c r="DQ267" s="28" t="s">
        <v>319</v>
      </c>
      <c r="DR267" s="28" t="s">
        <v>319</v>
      </c>
      <c r="DS267" s="28" t="s">
        <v>319</v>
      </c>
      <c r="DT267" s="28" t="s">
        <v>319</v>
      </c>
      <c r="DU267" s="28" t="s">
        <v>319</v>
      </c>
      <c r="DV267" s="28" t="s">
        <v>319</v>
      </c>
      <c r="DW267" s="28" t="s">
        <v>319</v>
      </c>
      <c r="DX267" s="28" t="s">
        <v>319</v>
      </c>
      <c r="DY267" s="28" t="s">
        <v>319</v>
      </c>
      <c r="DZ267" s="28" t="s">
        <v>319</v>
      </c>
      <c r="EA267" s="28" t="s">
        <v>319</v>
      </c>
      <c r="EB267" s="28" t="s">
        <v>319</v>
      </c>
      <c r="EC267" s="28" t="s">
        <v>319</v>
      </c>
      <c r="ED267" s="28" t="s">
        <v>319</v>
      </c>
      <c r="EE267" s="28"/>
      <c r="EF267" s="28" t="s">
        <v>319</v>
      </c>
      <c r="EG267" s="28" t="s">
        <v>319</v>
      </c>
      <c r="EH267" s="28" t="s">
        <v>319</v>
      </c>
      <c r="EI267" s="28" t="s">
        <v>319</v>
      </c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7"/>
      <c r="FK267" s="6"/>
      <c r="FL267" s="6"/>
      <c r="FM267" s="97"/>
    </row>
    <row r="268" spans="1:169" s="3" customFormat="1" x14ac:dyDescent="0.4">
      <c r="A268" s="93"/>
      <c r="B268" s="93"/>
      <c r="C268" s="26"/>
      <c r="D268" s="27" t="s">
        <v>319</v>
      </c>
      <c r="E268" s="2" t="s">
        <v>414</v>
      </c>
      <c r="F268" s="28" t="s">
        <v>319</v>
      </c>
      <c r="G268" s="28" t="s">
        <v>319</v>
      </c>
      <c r="H268" s="28" t="s">
        <v>319</v>
      </c>
      <c r="I268" s="6" t="s">
        <v>415</v>
      </c>
      <c r="J268" s="28" t="s">
        <v>319</v>
      </c>
      <c r="K268" s="28" t="s">
        <v>319</v>
      </c>
      <c r="L268" s="28" t="s">
        <v>319</v>
      </c>
      <c r="M268" s="28" t="s">
        <v>319</v>
      </c>
      <c r="N268" s="28" t="s">
        <v>319</v>
      </c>
      <c r="O268" s="28" t="s">
        <v>319</v>
      </c>
      <c r="P268" s="28" t="s">
        <v>319</v>
      </c>
      <c r="Q268" s="5" t="s">
        <v>721</v>
      </c>
      <c r="R268" s="5" t="s">
        <v>663</v>
      </c>
      <c r="S268" s="6" t="s">
        <v>669</v>
      </c>
      <c r="T268" s="5"/>
      <c r="U268" s="5"/>
      <c r="V268" s="223">
        <f>525*464*2</f>
        <v>487200</v>
      </c>
      <c r="W268" s="6" t="s">
        <v>665</v>
      </c>
      <c r="X268" s="5"/>
      <c r="Y268" s="5"/>
      <c r="Z268" s="222">
        <v>23.98</v>
      </c>
      <c r="AA268" s="6" t="s">
        <v>963</v>
      </c>
      <c r="AB268" s="6"/>
      <c r="AC268" s="6"/>
      <c r="AD268" s="219" t="s">
        <v>1469</v>
      </c>
      <c r="AE268" s="6" t="s">
        <v>956</v>
      </c>
      <c r="AF268" s="6"/>
      <c r="AG268" s="12">
        <v>47.7</v>
      </c>
      <c r="AH268" s="6"/>
      <c r="AI268" s="6" t="s">
        <v>965</v>
      </c>
      <c r="AJ268" s="108"/>
      <c r="AK268" s="108">
        <v>6.9000000000000006E-2</v>
      </c>
      <c r="AL268" s="6"/>
      <c r="AM268" s="6" t="s">
        <v>958</v>
      </c>
      <c r="AN268" s="6"/>
      <c r="AO268" s="105">
        <v>19.649999999999999</v>
      </c>
      <c r="AP268" s="6"/>
      <c r="AQ268" s="28" t="s">
        <v>319</v>
      </c>
      <c r="AR268" s="28" t="s">
        <v>319</v>
      </c>
      <c r="AS268" s="28" t="s">
        <v>319</v>
      </c>
      <c r="AT268" s="28" t="s">
        <v>319</v>
      </c>
      <c r="AU268" s="28" t="s">
        <v>319</v>
      </c>
      <c r="AV268" s="28" t="s">
        <v>319</v>
      </c>
      <c r="AW268" s="28" t="s">
        <v>319</v>
      </c>
      <c r="AX268" s="28" t="s">
        <v>319</v>
      </c>
      <c r="AY268" s="28" t="s">
        <v>319</v>
      </c>
      <c r="AZ268" s="28" t="s">
        <v>319</v>
      </c>
      <c r="BA268" s="28" t="s">
        <v>319</v>
      </c>
      <c r="BB268" s="6" t="s">
        <v>984</v>
      </c>
      <c r="BC268" s="106">
        <v>-47</v>
      </c>
      <c r="BD268" s="183">
        <v>90</v>
      </c>
      <c r="BE268" s="6" t="s">
        <v>1014</v>
      </c>
      <c r="BF268" s="6"/>
      <c r="BG268" s="185">
        <v>25.5</v>
      </c>
      <c r="BH268" s="28" t="s">
        <v>319</v>
      </c>
      <c r="BI268" s="28" t="s">
        <v>319</v>
      </c>
      <c r="BJ268" s="28" t="s">
        <v>319</v>
      </c>
      <c r="BK268" s="28" t="s">
        <v>319</v>
      </c>
      <c r="BL268" s="28" t="s">
        <v>319</v>
      </c>
      <c r="BM268" s="28" t="s">
        <v>319</v>
      </c>
      <c r="BN268" s="28" t="s">
        <v>319</v>
      </c>
      <c r="BO268" s="28" t="s">
        <v>319</v>
      </c>
      <c r="BP268" s="28" t="s">
        <v>319</v>
      </c>
      <c r="BQ268" s="28" t="s">
        <v>319</v>
      </c>
      <c r="BR268" s="105">
        <v>46.64</v>
      </c>
      <c r="BS268" s="12">
        <v>465.2</v>
      </c>
      <c r="BT268" s="6"/>
      <c r="BU268" s="5"/>
      <c r="BV268" s="6"/>
      <c r="BW268" s="111"/>
      <c r="BX268" s="6"/>
      <c r="BY268" s="6"/>
      <c r="BZ268" s="30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9"/>
      <c r="DB268" s="6"/>
      <c r="DC268" s="30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 t="s">
        <v>319</v>
      </c>
      <c r="DO268" s="28" t="s">
        <v>319</v>
      </c>
      <c r="DP268" s="28" t="s">
        <v>319</v>
      </c>
      <c r="DQ268" s="28" t="s">
        <v>319</v>
      </c>
      <c r="DR268" s="28" t="s">
        <v>319</v>
      </c>
      <c r="DS268" s="28" t="s">
        <v>319</v>
      </c>
      <c r="DT268" s="28" t="s">
        <v>319</v>
      </c>
      <c r="DU268" s="28" t="s">
        <v>319</v>
      </c>
      <c r="DV268" s="28" t="s">
        <v>319</v>
      </c>
      <c r="DW268" s="28" t="s">
        <v>319</v>
      </c>
      <c r="DX268" s="28" t="s">
        <v>319</v>
      </c>
      <c r="DY268" s="28" t="s">
        <v>319</v>
      </c>
      <c r="DZ268" s="28" t="s">
        <v>319</v>
      </c>
      <c r="EA268" s="28" t="s">
        <v>319</v>
      </c>
      <c r="EB268" s="28" t="s">
        <v>319</v>
      </c>
      <c r="EC268" s="28" t="s">
        <v>319</v>
      </c>
      <c r="ED268" s="28" t="s">
        <v>319</v>
      </c>
      <c r="EE268" s="28"/>
      <c r="EF268" s="28" t="s">
        <v>319</v>
      </c>
      <c r="EG268" s="28" t="s">
        <v>319</v>
      </c>
      <c r="EH268" s="28" t="s">
        <v>319</v>
      </c>
      <c r="EI268" s="28" t="s">
        <v>319</v>
      </c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7"/>
      <c r="FK268" s="6"/>
      <c r="FL268" s="6"/>
      <c r="FM268" s="97"/>
    </row>
    <row r="269" spans="1:169" s="3" customFormat="1" x14ac:dyDescent="0.4">
      <c r="A269" s="93"/>
      <c r="B269" s="93"/>
      <c r="C269" s="26"/>
      <c r="D269" s="27" t="s">
        <v>319</v>
      </c>
      <c r="E269" s="2" t="s">
        <v>417</v>
      </c>
      <c r="F269" s="28" t="s">
        <v>319</v>
      </c>
      <c r="G269" s="28" t="s">
        <v>319</v>
      </c>
      <c r="H269" s="28" t="s">
        <v>319</v>
      </c>
      <c r="I269" s="6" t="s">
        <v>418</v>
      </c>
      <c r="J269" s="28" t="s">
        <v>319</v>
      </c>
      <c r="K269" s="28" t="s">
        <v>319</v>
      </c>
      <c r="L269" s="28" t="s">
        <v>319</v>
      </c>
      <c r="M269" s="28" t="s">
        <v>319</v>
      </c>
      <c r="N269" s="28" t="s">
        <v>319</v>
      </c>
      <c r="O269" s="28" t="s">
        <v>319</v>
      </c>
      <c r="P269" s="28" t="s">
        <v>319</v>
      </c>
      <c r="Q269" s="5" t="s">
        <v>721</v>
      </c>
      <c r="R269" s="5" t="s">
        <v>663</v>
      </c>
      <c r="S269" s="6" t="s">
        <v>669</v>
      </c>
      <c r="T269" s="5" t="s">
        <v>922</v>
      </c>
      <c r="U269" s="5" t="s">
        <v>923</v>
      </c>
      <c r="V269" s="5" t="s">
        <v>924</v>
      </c>
      <c r="W269" s="6" t="s">
        <v>665</v>
      </c>
      <c r="X269" s="105">
        <v>30.82</v>
      </c>
      <c r="Y269" s="105">
        <v>29.5</v>
      </c>
      <c r="Z269" s="105">
        <v>29.04</v>
      </c>
      <c r="AA269" s="6" t="s">
        <v>963</v>
      </c>
      <c r="AB269" s="225">
        <f>13.45+0.91</f>
        <v>14.36</v>
      </c>
      <c r="AC269" s="225">
        <f>11.83+0.91</f>
        <v>12.74</v>
      </c>
      <c r="AD269" s="225">
        <f>11.27+0.91</f>
        <v>12.18</v>
      </c>
      <c r="AE269" s="6" t="s">
        <v>956</v>
      </c>
      <c r="AF269" s="6"/>
      <c r="AG269" s="12">
        <v>46.5</v>
      </c>
      <c r="AH269" s="6"/>
      <c r="AI269" s="6" t="s">
        <v>965</v>
      </c>
      <c r="AJ269" s="108"/>
      <c r="AK269" s="108">
        <v>7.0000000000000007E-2</v>
      </c>
      <c r="AL269" s="6"/>
      <c r="AM269" s="6" t="s">
        <v>958</v>
      </c>
      <c r="AN269" s="6"/>
      <c r="AO269" s="105">
        <v>19.420000000000002</v>
      </c>
      <c r="AP269" s="6"/>
      <c r="AQ269" s="28" t="s">
        <v>319</v>
      </c>
      <c r="AR269" s="28" t="s">
        <v>319</v>
      </c>
      <c r="AS269" s="28" t="s">
        <v>319</v>
      </c>
      <c r="AT269" s="28" t="s">
        <v>319</v>
      </c>
      <c r="AU269" s="28" t="s">
        <v>319</v>
      </c>
      <c r="AV269" s="28" t="s">
        <v>319</v>
      </c>
      <c r="AW269" s="28" t="s">
        <v>319</v>
      </c>
      <c r="AX269" s="28" t="s">
        <v>319</v>
      </c>
      <c r="AY269" s="28" t="s">
        <v>319</v>
      </c>
      <c r="AZ269" s="28" t="s">
        <v>319</v>
      </c>
      <c r="BA269" s="28" t="s">
        <v>319</v>
      </c>
      <c r="BB269" s="6" t="s">
        <v>984</v>
      </c>
      <c r="BC269" s="106">
        <v>-47</v>
      </c>
      <c r="BD269" s="106">
        <v>75</v>
      </c>
      <c r="BE269" s="6" t="s">
        <v>1014</v>
      </c>
      <c r="BF269" s="6"/>
      <c r="BG269" s="12">
        <v>34</v>
      </c>
      <c r="BH269" s="28" t="s">
        <v>319</v>
      </c>
      <c r="BI269" s="28" t="s">
        <v>319</v>
      </c>
      <c r="BJ269" s="28" t="s">
        <v>319</v>
      </c>
      <c r="BK269" s="28" t="s">
        <v>319</v>
      </c>
      <c r="BL269" s="28" t="s">
        <v>319</v>
      </c>
      <c r="BM269" s="28" t="s">
        <v>319</v>
      </c>
      <c r="BN269" s="28" t="s">
        <v>319</v>
      </c>
      <c r="BO269" s="28" t="s">
        <v>319</v>
      </c>
      <c r="BP269" s="28" t="s">
        <v>319</v>
      </c>
      <c r="BQ269" s="28" t="s">
        <v>319</v>
      </c>
      <c r="BR269" s="105">
        <v>47.09</v>
      </c>
      <c r="BS269" s="12">
        <v>466.2</v>
      </c>
      <c r="BT269" s="6"/>
      <c r="BU269" s="5"/>
      <c r="BV269" s="6"/>
      <c r="BW269" s="111"/>
      <c r="BX269" s="6"/>
      <c r="BY269" s="6"/>
      <c r="BZ269" s="30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9"/>
      <c r="DB269" s="6"/>
      <c r="DC269" s="30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 t="s">
        <v>319</v>
      </c>
      <c r="DO269" s="28" t="s">
        <v>319</v>
      </c>
      <c r="DP269" s="28" t="s">
        <v>319</v>
      </c>
      <c r="DQ269" s="28" t="s">
        <v>319</v>
      </c>
      <c r="DR269" s="28" t="s">
        <v>319</v>
      </c>
      <c r="DS269" s="28" t="s">
        <v>319</v>
      </c>
      <c r="DT269" s="28" t="s">
        <v>319</v>
      </c>
      <c r="DU269" s="28" t="s">
        <v>319</v>
      </c>
      <c r="DV269" s="28" t="s">
        <v>319</v>
      </c>
      <c r="DW269" s="28" t="s">
        <v>319</v>
      </c>
      <c r="DX269" s="28" t="s">
        <v>319</v>
      </c>
      <c r="DY269" s="28" t="s">
        <v>319</v>
      </c>
      <c r="DZ269" s="28" t="s">
        <v>319</v>
      </c>
      <c r="EA269" s="28" t="s">
        <v>319</v>
      </c>
      <c r="EB269" s="28" t="s">
        <v>319</v>
      </c>
      <c r="EC269" s="28" t="s">
        <v>319</v>
      </c>
      <c r="ED269" s="28" t="s">
        <v>319</v>
      </c>
      <c r="EE269" s="28"/>
      <c r="EF269" s="28" t="s">
        <v>319</v>
      </c>
      <c r="EG269" s="28" t="s">
        <v>319</v>
      </c>
      <c r="EH269" s="28" t="s">
        <v>319</v>
      </c>
      <c r="EI269" s="28" t="s">
        <v>319</v>
      </c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7"/>
      <c r="FK269" s="6"/>
      <c r="FL269" s="6"/>
      <c r="FM269" s="97"/>
    </row>
    <row r="270" spans="1:169" s="3" customFormat="1" x14ac:dyDescent="0.4">
      <c r="A270" s="93"/>
      <c r="B270" s="93"/>
      <c r="C270" s="26"/>
      <c r="D270" s="27" t="s">
        <v>319</v>
      </c>
      <c r="E270" s="2" t="s">
        <v>419</v>
      </c>
      <c r="F270" s="28" t="s">
        <v>319</v>
      </c>
      <c r="G270" s="28" t="s">
        <v>319</v>
      </c>
      <c r="H270" s="28" t="s">
        <v>319</v>
      </c>
      <c r="I270" s="6" t="s">
        <v>1388</v>
      </c>
      <c r="J270" s="28" t="s">
        <v>319</v>
      </c>
      <c r="K270" s="28" t="s">
        <v>319</v>
      </c>
      <c r="L270" s="28" t="s">
        <v>319</v>
      </c>
      <c r="M270" s="28" t="s">
        <v>319</v>
      </c>
      <c r="N270" s="28" t="s">
        <v>319</v>
      </c>
      <c r="O270" s="28" t="s">
        <v>319</v>
      </c>
      <c r="P270" s="28" t="s">
        <v>319</v>
      </c>
      <c r="Q270" s="5" t="s">
        <v>721</v>
      </c>
      <c r="R270" s="5" t="s">
        <v>663</v>
      </c>
      <c r="S270" s="6" t="s">
        <v>678</v>
      </c>
      <c r="T270" s="5" t="s">
        <v>925</v>
      </c>
      <c r="U270" s="5" t="s">
        <v>926</v>
      </c>
      <c r="V270" s="5">
        <v>65000</v>
      </c>
      <c r="W270" s="6" t="s">
        <v>665</v>
      </c>
      <c r="X270" s="105">
        <v>30.86</v>
      </c>
      <c r="Y270" s="105">
        <v>29.59</v>
      </c>
      <c r="Z270" s="105">
        <v>29.15</v>
      </c>
      <c r="AA270" s="6" t="s">
        <v>968</v>
      </c>
      <c r="AB270" s="225">
        <f>2.51+0.93</f>
        <v>3.44</v>
      </c>
      <c r="AC270" s="225">
        <f>1.16+0.93</f>
        <v>2.09</v>
      </c>
      <c r="AD270" s="225">
        <f>0.7+0.93</f>
        <v>1.63</v>
      </c>
      <c r="AE270" s="6" t="s">
        <v>967</v>
      </c>
      <c r="AF270" s="6"/>
      <c r="AG270" s="12">
        <v>46.4</v>
      </c>
      <c r="AH270" s="6"/>
      <c r="AI270" s="6" t="s">
        <v>965</v>
      </c>
      <c r="AJ270" s="108"/>
      <c r="AK270" s="108">
        <v>7.0000000000000007E-2</v>
      </c>
      <c r="AL270" s="6"/>
      <c r="AM270" s="6" t="s">
        <v>958</v>
      </c>
      <c r="AN270" s="6"/>
      <c r="AO270" s="105">
        <v>19.41</v>
      </c>
      <c r="AP270" s="6"/>
      <c r="AQ270" s="28" t="s">
        <v>319</v>
      </c>
      <c r="AR270" s="28" t="s">
        <v>319</v>
      </c>
      <c r="AS270" s="28" t="s">
        <v>319</v>
      </c>
      <c r="AT270" s="28" t="s">
        <v>319</v>
      </c>
      <c r="AU270" s="28" t="s">
        <v>319</v>
      </c>
      <c r="AV270" s="28" t="s">
        <v>319</v>
      </c>
      <c r="AW270" s="28" t="s">
        <v>319</v>
      </c>
      <c r="AX270" s="28" t="s">
        <v>319</v>
      </c>
      <c r="AY270" s="28" t="s">
        <v>319</v>
      </c>
      <c r="AZ270" s="28" t="s">
        <v>319</v>
      </c>
      <c r="BA270" s="28" t="s">
        <v>319</v>
      </c>
      <c r="BB270" s="6" t="s">
        <v>984</v>
      </c>
      <c r="BC270" s="106">
        <v>-47</v>
      </c>
      <c r="BD270" s="106">
        <v>75</v>
      </c>
      <c r="BE270" s="6" t="s">
        <v>1014</v>
      </c>
      <c r="BF270" s="6"/>
      <c r="BG270" s="12">
        <v>34</v>
      </c>
      <c r="BH270" s="28" t="s">
        <v>319</v>
      </c>
      <c r="BI270" s="28" t="s">
        <v>319</v>
      </c>
      <c r="BJ270" s="28" t="s">
        <v>319</v>
      </c>
      <c r="BK270" s="28" t="s">
        <v>319</v>
      </c>
      <c r="BL270" s="28" t="s">
        <v>319</v>
      </c>
      <c r="BM270" s="28" t="s">
        <v>319</v>
      </c>
      <c r="BN270" s="28" t="s">
        <v>319</v>
      </c>
      <c r="BO270" s="28" t="s">
        <v>319</v>
      </c>
      <c r="BP270" s="28" t="s">
        <v>319</v>
      </c>
      <c r="BQ270" s="28" t="s">
        <v>319</v>
      </c>
      <c r="BR270" s="105">
        <v>47.09</v>
      </c>
      <c r="BS270" s="12">
        <v>466.2</v>
      </c>
      <c r="BT270" s="6"/>
      <c r="BU270" s="5"/>
      <c r="BV270" s="6"/>
      <c r="BW270" s="111"/>
      <c r="BX270" s="6"/>
      <c r="BY270" s="6"/>
      <c r="BZ270" s="30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9"/>
      <c r="DB270" s="6"/>
      <c r="DC270" s="30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 t="s">
        <v>319</v>
      </c>
      <c r="DO270" s="28" t="s">
        <v>319</v>
      </c>
      <c r="DP270" s="28" t="s">
        <v>319</v>
      </c>
      <c r="DQ270" s="28" t="s">
        <v>319</v>
      </c>
      <c r="DR270" s="28" t="s">
        <v>319</v>
      </c>
      <c r="DS270" s="28" t="s">
        <v>319</v>
      </c>
      <c r="DT270" s="28" t="s">
        <v>319</v>
      </c>
      <c r="DU270" s="28" t="s">
        <v>319</v>
      </c>
      <c r="DV270" s="28" t="s">
        <v>319</v>
      </c>
      <c r="DW270" s="28" t="s">
        <v>319</v>
      </c>
      <c r="DX270" s="28" t="s">
        <v>319</v>
      </c>
      <c r="DY270" s="28" t="s">
        <v>319</v>
      </c>
      <c r="DZ270" s="28" t="s">
        <v>319</v>
      </c>
      <c r="EA270" s="28" t="s">
        <v>319</v>
      </c>
      <c r="EB270" s="28" t="s">
        <v>319</v>
      </c>
      <c r="EC270" s="28" t="s">
        <v>319</v>
      </c>
      <c r="ED270" s="28" t="s">
        <v>319</v>
      </c>
      <c r="EE270" s="28"/>
      <c r="EF270" s="28" t="s">
        <v>319</v>
      </c>
      <c r="EG270" s="28" t="s">
        <v>319</v>
      </c>
      <c r="EH270" s="28" t="s">
        <v>319</v>
      </c>
      <c r="EI270" s="28" t="s">
        <v>319</v>
      </c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7"/>
      <c r="FK270" s="6"/>
      <c r="FL270" s="6"/>
      <c r="FM270" s="97"/>
    </row>
    <row r="271" spans="1:169" s="43" customFormat="1" x14ac:dyDescent="0.4">
      <c r="A271" s="116"/>
      <c r="B271" s="116"/>
      <c r="C271" s="117"/>
      <c r="D271" s="118" t="s">
        <v>319</v>
      </c>
      <c r="E271" s="119" t="s">
        <v>420</v>
      </c>
      <c r="F271" s="152" t="s">
        <v>319</v>
      </c>
      <c r="G271" s="152" t="s">
        <v>319</v>
      </c>
      <c r="H271" s="152" t="s">
        <v>319</v>
      </c>
      <c r="I271" s="120" t="s">
        <v>418</v>
      </c>
      <c r="J271" s="152" t="s">
        <v>319</v>
      </c>
      <c r="K271" s="152" t="s">
        <v>319</v>
      </c>
      <c r="L271" s="152" t="s">
        <v>319</v>
      </c>
      <c r="M271" s="152" t="s">
        <v>319</v>
      </c>
      <c r="N271" s="152" t="s">
        <v>319</v>
      </c>
      <c r="O271" s="152" t="s">
        <v>319</v>
      </c>
      <c r="P271" s="152" t="s">
        <v>319</v>
      </c>
      <c r="Q271" s="121" t="s">
        <v>721</v>
      </c>
      <c r="R271" s="121" t="s">
        <v>663</v>
      </c>
      <c r="S271" s="120" t="s">
        <v>669</v>
      </c>
      <c r="T271" s="121" t="s">
        <v>922</v>
      </c>
      <c r="U271" s="121" t="s">
        <v>927</v>
      </c>
      <c r="V271" s="125">
        <v>72272</v>
      </c>
      <c r="W271" s="120" t="s">
        <v>665</v>
      </c>
      <c r="X271" s="122">
        <v>16.52</v>
      </c>
      <c r="Y271" s="122">
        <v>16.45</v>
      </c>
      <c r="Z271" s="122">
        <v>16.28</v>
      </c>
      <c r="AA271" s="120" t="s">
        <v>963</v>
      </c>
      <c r="AB271" s="120">
        <v>0.98000000000000043</v>
      </c>
      <c r="AC271" s="120">
        <v>0.83000000000000007</v>
      </c>
      <c r="AD271" s="120">
        <v>0.44000000000000128</v>
      </c>
      <c r="AE271" s="120" t="s">
        <v>956</v>
      </c>
      <c r="AF271" s="120"/>
      <c r="AG271" s="125">
        <v>-47</v>
      </c>
      <c r="AH271" s="120"/>
      <c r="AI271" s="120" t="s">
        <v>965</v>
      </c>
      <c r="AJ271" s="124"/>
      <c r="AK271" s="124">
        <v>0.17899999999999999</v>
      </c>
      <c r="AL271" s="120"/>
      <c r="AM271" s="120" t="s">
        <v>958</v>
      </c>
      <c r="AN271" s="120"/>
      <c r="AO271" s="122">
        <v>1.06</v>
      </c>
      <c r="AP271" s="120"/>
      <c r="AQ271" s="152" t="s">
        <v>319</v>
      </c>
      <c r="AR271" s="152" t="s">
        <v>319</v>
      </c>
      <c r="AS271" s="152" t="s">
        <v>319</v>
      </c>
      <c r="AT271" s="152" t="s">
        <v>319</v>
      </c>
      <c r="AU271" s="152" t="s">
        <v>319</v>
      </c>
      <c r="AV271" s="152" t="s">
        <v>319</v>
      </c>
      <c r="AW271" s="152" t="s">
        <v>319</v>
      </c>
      <c r="AX271" s="152" t="s">
        <v>319</v>
      </c>
      <c r="AY271" s="152" t="s">
        <v>319</v>
      </c>
      <c r="AZ271" s="152" t="s">
        <v>319</v>
      </c>
      <c r="BA271" s="152" t="s">
        <v>319</v>
      </c>
      <c r="BB271" s="120" t="s">
        <v>984</v>
      </c>
      <c r="BC271" s="125">
        <v>-47</v>
      </c>
      <c r="BD271" s="125">
        <v>65</v>
      </c>
      <c r="BE271" s="120" t="s">
        <v>1014</v>
      </c>
      <c r="BF271" s="120"/>
      <c r="BG271" s="123">
        <v>27</v>
      </c>
      <c r="BH271" s="152" t="s">
        <v>319</v>
      </c>
      <c r="BI271" s="152" t="s">
        <v>319</v>
      </c>
      <c r="BJ271" s="152" t="s">
        <v>319</v>
      </c>
      <c r="BK271" s="152" t="s">
        <v>319</v>
      </c>
      <c r="BL271" s="152" t="s">
        <v>319</v>
      </c>
      <c r="BM271" s="152" t="s">
        <v>319</v>
      </c>
      <c r="BN271" s="152" t="s">
        <v>319</v>
      </c>
      <c r="BO271" s="152" t="s">
        <v>319</v>
      </c>
      <c r="BP271" s="152" t="s">
        <v>319</v>
      </c>
      <c r="BQ271" s="152" t="s">
        <v>319</v>
      </c>
      <c r="BR271" s="123">
        <v>47.1</v>
      </c>
      <c r="BS271" s="123">
        <v>608.1</v>
      </c>
      <c r="BT271" s="120"/>
      <c r="BU271" s="121"/>
      <c r="BV271" s="120"/>
      <c r="BW271" s="156"/>
      <c r="BX271" s="120"/>
      <c r="BY271" s="120"/>
      <c r="BZ271" s="153"/>
      <c r="CA271" s="152"/>
      <c r="CB271" s="152"/>
      <c r="CC271" s="152"/>
      <c r="CD271" s="152"/>
      <c r="CE271" s="152"/>
      <c r="CF271" s="152"/>
      <c r="CG271" s="152"/>
      <c r="CH271" s="152"/>
      <c r="CI271" s="152"/>
      <c r="CJ271" s="152"/>
      <c r="CK271" s="152"/>
      <c r="CL271" s="152"/>
      <c r="CM271" s="152"/>
      <c r="CN271" s="152"/>
      <c r="CO271" s="152"/>
      <c r="CP271" s="152"/>
      <c r="CQ271" s="152"/>
      <c r="CR271" s="152"/>
      <c r="CS271" s="152"/>
      <c r="CT271" s="152"/>
      <c r="CU271" s="152"/>
      <c r="CV271" s="152"/>
      <c r="CW271" s="152"/>
      <c r="CX271" s="152"/>
      <c r="CY271" s="152"/>
      <c r="CZ271" s="152"/>
      <c r="DA271" s="154"/>
      <c r="DB271" s="120"/>
      <c r="DC271" s="153"/>
      <c r="DD271" s="152"/>
      <c r="DE271" s="152"/>
      <c r="DF271" s="152"/>
      <c r="DG271" s="152"/>
      <c r="DH271" s="152"/>
      <c r="DI271" s="152"/>
      <c r="DJ271" s="152"/>
      <c r="DK271" s="152"/>
      <c r="DL271" s="152"/>
      <c r="DM271" s="152"/>
      <c r="DN271" s="152" t="s">
        <v>319</v>
      </c>
      <c r="DO271" s="152" t="s">
        <v>319</v>
      </c>
      <c r="DP271" s="152" t="s">
        <v>319</v>
      </c>
      <c r="DQ271" s="152" t="s">
        <v>319</v>
      </c>
      <c r="DR271" s="152" t="s">
        <v>319</v>
      </c>
      <c r="DS271" s="152" t="s">
        <v>319</v>
      </c>
      <c r="DT271" s="152" t="s">
        <v>319</v>
      </c>
      <c r="DU271" s="152" t="s">
        <v>319</v>
      </c>
      <c r="DV271" s="152" t="s">
        <v>319</v>
      </c>
      <c r="DW271" s="152" t="s">
        <v>319</v>
      </c>
      <c r="DX271" s="152" t="s">
        <v>319</v>
      </c>
      <c r="DY271" s="152" t="s">
        <v>319</v>
      </c>
      <c r="DZ271" s="152" t="s">
        <v>319</v>
      </c>
      <c r="EA271" s="152" t="s">
        <v>319</v>
      </c>
      <c r="EB271" s="152" t="s">
        <v>319</v>
      </c>
      <c r="EC271" s="152" t="s">
        <v>319</v>
      </c>
      <c r="ED271" s="152" t="s">
        <v>319</v>
      </c>
      <c r="EE271" s="152"/>
      <c r="EF271" s="152" t="s">
        <v>319</v>
      </c>
      <c r="EG271" s="152" t="s">
        <v>319</v>
      </c>
      <c r="EH271" s="152" t="s">
        <v>319</v>
      </c>
      <c r="EI271" s="152" t="s">
        <v>319</v>
      </c>
      <c r="EJ271" s="152"/>
      <c r="EK271" s="152"/>
      <c r="EL271" s="152"/>
      <c r="EM271" s="152"/>
      <c r="EN271" s="152"/>
      <c r="EO271" s="152"/>
      <c r="EP271" s="152"/>
      <c r="EQ271" s="152"/>
      <c r="ER271" s="152"/>
      <c r="ES271" s="152"/>
      <c r="ET271" s="152"/>
      <c r="EU271" s="152"/>
      <c r="EV271" s="152"/>
      <c r="EW271" s="152"/>
      <c r="EX271" s="152"/>
      <c r="EY271" s="152"/>
      <c r="EZ271" s="152"/>
      <c r="FA271" s="152"/>
      <c r="FB271" s="152"/>
      <c r="FC271" s="152"/>
      <c r="FD271" s="152"/>
      <c r="FE271" s="152"/>
      <c r="FF271" s="152"/>
      <c r="FG271" s="152"/>
      <c r="FH271" s="152"/>
      <c r="FI271" s="152"/>
      <c r="FJ271" s="118"/>
      <c r="FK271" s="120"/>
      <c r="FL271" s="120"/>
      <c r="FM271" s="97"/>
    </row>
    <row r="272" spans="1:169" s="3" customFormat="1" x14ac:dyDescent="0.4">
      <c r="A272" s="93"/>
      <c r="B272" s="93"/>
      <c r="C272" s="26"/>
      <c r="D272" s="27" t="s">
        <v>319</v>
      </c>
      <c r="E272" s="2" t="s">
        <v>513</v>
      </c>
      <c r="F272" s="28" t="s">
        <v>319</v>
      </c>
      <c r="G272" s="28" t="s">
        <v>319</v>
      </c>
      <c r="H272" s="28" t="s">
        <v>319</v>
      </c>
      <c r="I272" s="6" t="s">
        <v>418</v>
      </c>
      <c r="J272" s="28" t="s">
        <v>319</v>
      </c>
      <c r="K272" s="28" t="s">
        <v>319</v>
      </c>
      <c r="L272" s="28" t="s">
        <v>319</v>
      </c>
      <c r="M272" s="28" t="s">
        <v>319</v>
      </c>
      <c r="N272" s="28" t="s">
        <v>319</v>
      </c>
      <c r="O272" s="28" t="s">
        <v>319</v>
      </c>
      <c r="P272" s="28" t="s">
        <v>319</v>
      </c>
      <c r="Q272" s="5" t="s">
        <v>721</v>
      </c>
      <c r="R272" s="5" t="s">
        <v>663</v>
      </c>
      <c r="S272" s="6" t="s">
        <v>669</v>
      </c>
      <c r="T272" s="5"/>
      <c r="U272" s="5">
        <v>15000</v>
      </c>
      <c r="V272" s="106">
        <v>65000</v>
      </c>
      <c r="W272" s="6" t="s">
        <v>665</v>
      </c>
      <c r="X272" s="5"/>
      <c r="Y272" s="5"/>
      <c r="Z272" s="105">
        <v>29</v>
      </c>
      <c r="AA272" s="6" t="s">
        <v>963</v>
      </c>
      <c r="AB272" s="6"/>
      <c r="AC272" s="6"/>
      <c r="AD272" s="6">
        <v>24</v>
      </c>
      <c r="AE272" s="6" t="s">
        <v>956</v>
      </c>
      <c r="AF272" s="6"/>
      <c r="AG272" s="12">
        <v>46.4</v>
      </c>
      <c r="AH272" s="6"/>
      <c r="AI272" s="6" t="s">
        <v>965</v>
      </c>
      <c r="AJ272" s="112"/>
      <c r="AK272" s="108">
        <v>7.0000000000000007E-2</v>
      </c>
      <c r="AL272" s="6"/>
      <c r="AM272" s="6" t="s">
        <v>958</v>
      </c>
      <c r="AN272" s="6"/>
      <c r="AO272" s="105">
        <v>19.41</v>
      </c>
      <c r="AP272" s="6"/>
      <c r="AQ272" s="28" t="s">
        <v>319</v>
      </c>
      <c r="AR272" s="28" t="s">
        <v>319</v>
      </c>
      <c r="AS272" s="28" t="s">
        <v>319</v>
      </c>
      <c r="AT272" s="28" t="s">
        <v>319</v>
      </c>
      <c r="AU272" s="28" t="s">
        <v>319</v>
      </c>
      <c r="AV272" s="28" t="s">
        <v>319</v>
      </c>
      <c r="AW272" s="28" t="s">
        <v>319</v>
      </c>
      <c r="AX272" s="28" t="s">
        <v>319</v>
      </c>
      <c r="AY272" s="28" t="s">
        <v>319</v>
      </c>
      <c r="AZ272" s="28" t="s">
        <v>319</v>
      </c>
      <c r="BA272" s="28" t="s">
        <v>319</v>
      </c>
      <c r="BB272" s="6" t="s">
        <v>984</v>
      </c>
      <c r="BC272" s="106">
        <v>-47</v>
      </c>
      <c r="BD272" s="106">
        <v>75</v>
      </c>
      <c r="BE272" s="6" t="s">
        <v>1008</v>
      </c>
      <c r="BF272" s="6"/>
      <c r="BG272" s="185">
        <v>46</v>
      </c>
      <c r="BH272" s="28" t="s">
        <v>319</v>
      </c>
      <c r="BI272" s="28" t="s">
        <v>319</v>
      </c>
      <c r="BJ272" s="28" t="s">
        <v>319</v>
      </c>
      <c r="BK272" s="28" t="s">
        <v>319</v>
      </c>
      <c r="BL272" s="28" t="s">
        <v>319</v>
      </c>
      <c r="BM272" s="28" t="s">
        <v>319</v>
      </c>
      <c r="BN272" s="28" t="s">
        <v>319</v>
      </c>
      <c r="BO272" s="28" t="s">
        <v>319</v>
      </c>
      <c r="BP272" s="28" t="s">
        <v>319</v>
      </c>
      <c r="BQ272" s="28" t="s">
        <v>319</v>
      </c>
      <c r="BR272" s="105">
        <v>47.09</v>
      </c>
      <c r="BS272" s="12">
        <v>466.2</v>
      </c>
      <c r="BT272" s="6"/>
      <c r="BU272" s="5"/>
      <c r="BV272" s="6"/>
      <c r="BW272" s="111"/>
      <c r="BX272" s="6" t="s">
        <v>1054</v>
      </c>
      <c r="BY272" s="6"/>
      <c r="BZ272" s="30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9"/>
      <c r="DB272" s="6"/>
      <c r="DC272" s="30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 t="s">
        <v>319</v>
      </c>
      <c r="DO272" s="28" t="s">
        <v>319</v>
      </c>
      <c r="DP272" s="28" t="s">
        <v>319</v>
      </c>
      <c r="DQ272" s="28" t="s">
        <v>319</v>
      </c>
      <c r="DR272" s="28" t="s">
        <v>319</v>
      </c>
      <c r="DS272" s="28" t="s">
        <v>319</v>
      </c>
      <c r="DT272" s="28" t="s">
        <v>319</v>
      </c>
      <c r="DU272" s="28" t="s">
        <v>319</v>
      </c>
      <c r="DV272" s="28" t="s">
        <v>319</v>
      </c>
      <c r="DW272" s="28" t="s">
        <v>319</v>
      </c>
      <c r="DX272" s="28" t="s">
        <v>319</v>
      </c>
      <c r="DY272" s="28" t="s">
        <v>319</v>
      </c>
      <c r="DZ272" s="28" t="s">
        <v>319</v>
      </c>
      <c r="EA272" s="28" t="s">
        <v>319</v>
      </c>
      <c r="EB272" s="28" t="s">
        <v>319</v>
      </c>
      <c r="EC272" s="28" t="s">
        <v>319</v>
      </c>
      <c r="ED272" s="28" t="s">
        <v>319</v>
      </c>
      <c r="EE272" s="28"/>
      <c r="EF272" s="28" t="s">
        <v>319</v>
      </c>
      <c r="EG272" s="28" t="s">
        <v>319</v>
      </c>
      <c r="EH272" s="28" t="s">
        <v>319</v>
      </c>
      <c r="EI272" s="28" t="s">
        <v>319</v>
      </c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7"/>
      <c r="FK272" s="6"/>
      <c r="FL272" s="6"/>
      <c r="FM272" s="97"/>
    </row>
    <row r="273" spans="1:169" s="3" customFormat="1" x14ac:dyDescent="0.4">
      <c r="A273" s="93"/>
      <c r="B273" s="93"/>
      <c r="C273" s="26"/>
      <c r="D273" s="27" t="s">
        <v>319</v>
      </c>
      <c r="E273" s="2" t="s">
        <v>421</v>
      </c>
      <c r="F273" s="28" t="s">
        <v>319</v>
      </c>
      <c r="G273" s="28" t="s">
        <v>319</v>
      </c>
      <c r="H273" s="28" t="s">
        <v>319</v>
      </c>
      <c r="I273" s="6" t="s">
        <v>422</v>
      </c>
      <c r="J273" s="28" t="s">
        <v>319</v>
      </c>
      <c r="K273" s="28" t="s">
        <v>319</v>
      </c>
      <c r="L273" s="28" t="s">
        <v>319</v>
      </c>
      <c r="M273" s="28" t="s">
        <v>319</v>
      </c>
      <c r="N273" s="28" t="s">
        <v>319</v>
      </c>
      <c r="O273" s="28" t="s">
        <v>319</v>
      </c>
      <c r="P273" s="28" t="s">
        <v>319</v>
      </c>
      <c r="Q273" s="5" t="s">
        <v>673</v>
      </c>
      <c r="R273" s="5" t="s">
        <v>663</v>
      </c>
      <c r="S273" s="6" t="s">
        <v>672</v>
      </c>
      <c r="T273" s="5" t="s">
        <v>1101</v>
      </c>
      <c r="U273" s="5" t="s">
        <v>928</v>
      </c>
      <c r="V273" s="5" t="s">
        <v>929</v>
      </c>
      <c r="W273" s="6" t="s">
        <v>665</v>
      </c>
      <c r="X273" s="105">
        <v>15.5</v>
      </c>
      <c r="Y273" s="105">
        <v>14</v>
      </c>
      <c r="Z273" s="105">
        <v>13.2</v>
      </c>
      <c r="AA273" s="6" t="s">
        <v>963</v>
      </c>
      <c r="AB273" s="6">
        <v>9.3000000000000007</v>
      </c>
      <c r="AC273" s="6">
        <v>7.7</v>
      </c>
      <c r="AD273" s="225">
        <f>6.9-0.58</f>
        <v>6.32</v>
      </c>
      <c r="AE273" s="6" t="s">
        <v>956</v>
      </c>
      <c r="AF273" s="6"/>
      <c r="AG273" s="12">
        <v>39.9</v>
      </c>
      <c r="AH273" s="6"/>
      <c r="AI273" s="6" t="s">
        <v>973</v>
      </c>
      <c r="AJ273" s="108"/>
      <c r="AK273" s="108">
        <v>0.13300000000000001</v>
      </c>
      <c r="AL273" s="6"/>
      <c r="AM273" s="6" t="s">
        <v>958</v>
      </c>
      <c r="AN273" s="6"/>
      <c r="AO273" s="105">
        <v>4.49</v>
      </c>
      <c r="AP273" s="6"/>
      <c r="AQ273" s="28" t="s">
        <v>319</v>
      </c>
      <c r="AR273" s="28" t="s">
        <v>319</v>
      </c>
      <c r="AS273" s="28" t="s">
        <v>319</v>
      </c>
      <c r="AT273" s="28" t="s">
        <v>319</v>
      </c>
      <c r="AU273" s="28" t="s">
        <v>319</v>
      </c>
      <c r="AV273" s="28" t="s">
        <v>319</v>
      </c>
      <c r="AW273" s="28" t="s">
        <v>319</v>
      </c>
      <c r="AX273" s="28" t="s">
        <v>319</v>
      </c>
      <c r="AY273" s="28" t="s">
        <v>319</v>
      </c>
      <c r="AZ273" s="28" t="s">
        <v>319</v>
      </c>
      <c r="BA273" s="28" t="s">
        <v>319</v>
      </c>
      <c r="BB273" s="6" t="s">
        <v>984</v>
      </c>
      <c r="BC273" s="5" t="s">
        <v>681</v>
      </c>
      <c r="BD273" s="106">
        <v>75</v>
      </c>
      <c r="BE273" s="6" t="s">
        <v>1014</v>
      </c>
      <c r="BF273" s="6"/>
      <c r="BG273" s="12">
        <v>18.5</v>
      </c>
      <c r="BH273" s="28" t="s">
        <v>319</v>
      </c>
      <c r="BI273" s="28" t="s">
        <v>319</v>
      </c>
      <c r="BJ273" s="28" t="s">
        <v>319</v>
      </c>
      <c r="BK273" s="28" t="s">
        <v>319</v>
      </c>
      <c r="BL273" s="28" t="s">
        <v>319</v>
      </c>
      <c r="BM273" s="28" t="s">
        <v>319</v>
      </c>
      <c r="BN273" s="28" t="s">
        <v>319</v>
      </c>
      <c r="BO273" s="28" t="s">
        <v>319</v>
      </c>
      <c r="BP273" s="28" t="s">
        <v>319</v>
      </c>
      <c r="BQ273" s="28" t="s">
        <v>319</v>
      </c>
      <c r="BR273" s="12">
        <v>42.4</v>
      </c>
      <c r="BS273" s="12">
        <v>580.9</v>
      </c>
      <c r="BT273" s="6"/>
      <c r="BU273" s="5"/>
      <c r="BV273" s="6"/>
      <c r="BW273" s="111"/>
      <c r="BX273" s="6"/>
      <c r="BY273" s="6"/>
      <c r="BZ273" s="30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9"/>
      <c r="DB273" s="6" t="s">
        <v>1054</v>
      </c>
      <c r="DC273" s="30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 t="s">
        <v>319</v>
      </c>
      <c r="DO273" s="28" t="s">
        <v>319</v>
      </c>
      <c r="DP273" s="28" t="s">
        <v>319</v>
      </c>
      <c r="DQ273" s="28" t="s">
        <v>319</v>
      </c>
      <c r="DR273" s="28" t="s">
        <v>319</v>
      </c>
      <c r="DS273" s="28" t="s">
        <v>319</v>
      </c>
      <c r="DT273" s="28" t="s">
        <v>319</v>
      </c>
      <c r="DU273" s="28" t="s">
        <v>319</v>
      </c>
      <c r="DV273" s="28" t="s">
        <v>319</v>
      </c>
      <c r="DW273" s="28" t="s">
        <v>319</v>
      </c>
      <c r="DX273" s="28" t="s">
        <v>319</v>
      </c>
      <c r="DY273" s="28" t="s">
        <v>319</v>
      </c>
      <c r="DZ273" s="28" t="s">
        <v>319</v>
      </c>
      <c r="EA273" s="28" t="s">
        <v>319</v>
      </c>
      <c r="EB273" s="28" t="s">
        <v>319</v>
      </c>
      <c r="EC273" s="28" t="s">
        <v>319</v>
      </c>
      <c r="ED273" s="28" t="s">
        <v>319</v>
      </c>
      <c r="EE273" s="28"/>
      <c r="EF273" s="28" t="s">
        <v>319</v>
      </c>
      <c r="EG273" s="28" t="s">
        <v>319</v>
      </c>
      <c r="EH273" s="28" t="s">
        <v>319</v>
      </c>
      <c r="EI273" s="28" t="s">
        <v>319</v>
      </c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7"/>
      <c r="FK273" s="6"/>
      <c r="FL273" s="6"/>
      <c r="FM273" s="97"/>
    </row>
    <row r="274" spans="1:169" s="3" customFormat="1" ht="52.2" x14ac:dyDescent="0.4">
      <c r="A274" s="93"/>
      <c r="B274" s="93"/>
      <c r="C274" s="26"/>
      <c r="D274" s="27" t="s">
        <v>319</v>
      </c>
      <c r="E274" s="2" t="s">
        <v>423</v>
      </c>
      <c r="F274" s="28" t="s">
        <v>319</v>
      </c>
      <c r="G274" s="28" t="s">
        <v>319</v>
      </c>
      <c r="H274" s="28" t="s">
        <v>319</v>
      </c>
      <c r="I274" s="6" t="s">
        <v>422</v>
      </c>
      <c r="J274" s="28" t="s">
        <v>319</v>
      </c>
      <c r="K274" s="28" t="s">
        <v>319</v>
      </c>
      <c r="L274" s="28" t="s">
        <v>319</v>
      </c>
      <c r="M274" s="28" t="s">
        <v>319</v>
      </c>
      <c r="N274" s="28" t="s">
        <v>319</v>
      </c>
      <c r="O274" s="28" t="s">
        <v>319</v>
      </c>
      <c r="P274" s="28" t="s">
        <v>319</v>
      </c>
      <c r="Q274" s="5" t="s">
        <v>673</v>
      </c>
      <c r="R274" s="5" t="s">
        <v>663</v>
      </c>
      <c r="S274" s="6" t="s">
        <v>672</v>
      </c>
      <c r="T274" s="5"/>
      <c r="U274" s="5"/>
      <c r="V274" s="223">
        <f>38*608.4</f>
        <v>23119.200000000001</v>
      </c>
      <c r="W274" s="6" t="s">
        <v>665</v>
      </c>
      <c r="X274" s="5"/>
      <c r="Y274" s="5"/>
      <c r="Z274" s="222">
        <v>10.96</v>
      </c>
      <c r="AA274" s="6" t="s">
        <v>963</v>
      </c>
      <c r="AB274" s="6"/>
      <c r="AC274" s="103"/>
      <c r="AD274" s="219" t="s">
        <v>1471</v>
      </c>
      <c r="AE274" s="6" t="s">
        <v>956</v>
      </c>
      <c r="AF274" s="6"/>
      <c r="AG274" s="12">
        <v>106.2</v>
      </c>
      <c r="AH274" s="6"/>
      <c r="AI274" s="6" t="s">
        <v>965</v>
      </c>
      <c r="AJ274" s="112"/>
      <c r="AK274" s="108">
        <v>0.14299999999999999</v>
      </c>
      <c r="AL274" s="6"/>
      <c r="AM274" s="6" t="s">
        <v>958</v>
      </c>
      <c r="AN274" s="6"/>
      <c r="AO274" s="105">
        <v>5.6</v>
      </c>
      <c r="AP274" s="6"/>
      <c r="AQ274" s="28" t="s">
        <v>319</v>
      </c>
      <c r="AR274" s="28" t="s">
        <v>319</v>
      </c>
      <c r="AS274" s="28" t="s">
        <v>319</v>
      </c>
      <c r="AT274" s="28" t="s">
        <v>319</v>
      </c>
      <c r="AU274" s="28" t="s">
        <v>319</v>
      </c>
      <c r="AV274" s="28" t="s">
        <v>319</v>
      </c>
      <c r="AW274" s="28" t="s">
        <v>319</v>
      </c>
      <c r="AX274" s="28" t="s">
        <v>319</v>
      </c>
      <c r="AY274" s="28" t="s">
        <v>319</v>
      </c>
      <c r="AZ274" s="28" t="s">
        <v>319</v>
      </c>
      <c r="BA274" s="28" t="s">
        <v>319</v>
      </c>
      <c r="BB274" s="6" t="s">
        <v>984</v>
      </c>
      <c r="BC274" s="5" t="s">
        <v>681</v>
      </c>
      <c r="BD274" s="106">
        <v>150</v>
      </c>
      <c r="BE274" s="6" t="s">
        <v>1014</v>
      </c>
      <c r="BF274" s="6"/>
      <c r="BG274" s="185">
        <v>13.4</v>
      </c>
      <c r="BH274" s="28" t="s">
        <v>319</v>
      </c>
      <c r="BI274" s="28" t="s">
        <v>319</v>
      </c>
      <c r="BJ274" s="28" t="s">
        <v>319</v>
      </c>
      <c r="BK274" s="28" t="s">
        <v>319</v>
      </c>
      <c r="BL274" s="28" t="s">
        <v>319</v>
      </c>
      <c r="BM274" s="28" t="s">
        <v>319</v>
      </c>
      <c r="BN274" s="28" t="s">
        <v>319</v>
      </c>
      <c r="BO274" s="28" t="s">
        <v>319</v>
      </c>
      <c r="BP274" s="28" t="s">
        <v>319</v>
      </c>
      <c r="BQ274" s="28" t="s">
        <v>319</v>
      </c>
      <c r="BR274" s="12">
        <v>40.4</v>
      </c>
      <c r="BS274" s="12">
        <v>608.1</v>
      </c>
      <c r="BT274" s="6"/>
      <c r="BU274" s="5"/>
      <c r="BV274" s="6"/>
      <c r="BW274" s="111"/>
      <c r="BX274" s="6"/>
      <c r="BY274" s="6"/>
      <c r="BZ274" s="30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9"/>
      <c r="DB274" s="6"/>
      <c r="DC274" s="30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 t="s">
        <v>319</v>
      </c>
      <c r="DO274" s="28" t="s">
        <v>319</v>
      </c>
      <c r="DP274" s="28" t="s">
        <v>319</v>
      </c>
      <c r="DQ274" s="28" t="s">
        <v>319</v>
      </c>
      <c r="DR274" s="28" t="s">
        <v>319</v>
      </c>
      <c r="DS274" s="28" t="s">
        <v>319</v>
      </c>
      <c r="DT274" s="28" t="s">
        <v>319</v>
      </c>
      <c r="DU274" s="28" t="s">
        <v>319</v>
      </c>
      <c r="DV274" s="28" t="s">
        <v>319</v>
      </c>
      <c r="DW274" s="28" t="s">
        <v>319</v>
      </c>
      <c r="DX274" s="28" t="s">
        <v>319</v>
      </c>
      <c r="DY274" s="28" t="s">
        <v>319</v>
      </c>
      <c r="DZ274" s="28" t="s">
        <v>319</v>
      </c>
      <c r="EA274" s="28" t="s">
        <v>319</v>
      </c>
      <c r="EB274" s="28" t="s">
        <v>319</v>
      </c>
      <c r="EC274" s="28" t="s">
        <v>319</v>
      </c>
      <c r="ED274" s="28" t="s">
        <v>319</v>
      </c>
      <c r="EE274" s="28"/>
      <c r="EF274" s="28" t="s">
        <v>319</v>
      </c>
      <c r="EG274" s="28" t="s">
        <v>319</v>
      </c>
      <c r="EH274" s="28" t="s">
        <v>319</v>
      </c>
      <c r="EI274" s="28" t="s">
        <v>319</v>
      </c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7"/>
      <c r="FK274" s="15" t="s">
        <v>1056</v>
      </c>
      <c r="FL274" s="6"/>
      <c r="FM274" s="97"/>
    </row>
    <row r="275" spans="1:169" s="3" customFormat="1" x14ac:dyDescent="0.4">
      <c r="A275" s="93"/>
      <c r="B275" s="93"/>
      <c r="C275" s="26"/>
      <c r="D275" s="27" t="s">
        <v>319</v>
      </c>
      <c r="E275" s="2" t="s">
        <v>424</v>
      </c>
      <c r="F275" s="28" t="s">
        <v>319</v>
      </c>
      <c r="G275" s="28" t="s">
        <v>319</v>
      </c>
      <c r="H275" s="28" t="s">
        <v>319</v>
      </c>
      <c r="I275" s="6" t="s">
        <v>425</v>
      </c>
      <c r="J275" s="28" t="s">
        <v>319</v>
      </c>
      <c r="K275" s="28" t="s">
        <v>319</v>
      </c>
      <c r="L275" s="28" t="s">
        <v>319</v>
      </c>
      <c r="M275" s="28" t="s">
        <v>319</v>
      </c>
      <c r="N275" s="28" t="s">
        <v>319</v>
      </c>
      <c r="O275" s="28" t="s">
        <v>319</v>
      </c>
      <c r="P275" s="28" t="s">
        <v>319</v>
      </c>
      <c r="Q275" s="5" t="s">
        <v>675</v>
      </c>
      <c r="R275" s="5" t="s">
        <v>667</v>
      </c>
      <c r="S275" s="6" t="s">
        <v>669</v>
      </c>
      <c r="T275" s="5" t="s">
        <v>930</v>
      </c>
      <c r="U275" s="5" t="s">
        <v>931</v>
      </c>
      <c r="V275" s="5" t="s">
        <v>932</v>
      </c>
      <c r="W275" s="6" t="s">
        <v>665</v>
      </c>
      <c r="X275" s="105">
        <v>2.83</v>
      </c>
      <c r="Y275" s="105">
        <v>2.81</v>
      </c>
      <c r="Z275" s="105">
        <v>2.8</v>
      </c>
      <c r="AA275" s="6" t="s">
        <v>994</v>
      </c>
      <c r="AB275" s="6">
        <v>0.18000000000000016</v>
      </c>
      <c r="AC275" s="6">
        <v>0.16000000000000014</v>
      </c>
      <c r="AD275" s="6">
        <v>0.14999999999999991</v>
      </c>
      <c r="AE275" s="6" t="s">
        <v>956</v>
      </c>
      <c r="AF275" s="6"/>
      <c r="AG275" s="12">
        <v>160</v>
      </c>
      <c r="AH275" s="6"/>
      <c r="AI275" s="6" t="s">
        <v>965</v>
      </c>
      <c r="AJ275" s="112"/>
      <c r="AK275" s="112">
        <v>1.4E-2</v>
      </c>
      <c r="AL275" s="6"/>
      <c r="AM275" s="6"/>
      <c r="AN275" s="6"/>
      <c r="AO275" s="5"/>
      <c r="AP275" s="6"/>
      <c r="AQ275" s="28" t="s">
        <v>319</v>
      </c>
      <c r="AR275" s="28" t="s">
        <v>319</v>
      </c>
      <c r="AS275" s="28" t="s">
        <v>319</v>
      </c>
      <c r="AT275" s="28" t="s">
        <v>319</v>
      </c>
      <c r="AU275" s="28" t="s">
        <v>319</v>
      </c>
      <c r="AV275" s="28" t="s">
        <v>319</v>
      </c>
      <c r="AW275" s="28" t="s">
        <v>319</v>
      </c>
      <c r="AX275" s="28" t="s">
        <v>319</v>
      </c>
      <c r="AY275" s="28" t="s">
        <v>319</v>
      </c>
      <c r="AZ275" s="28" t="s">
        <v>319</v>
      </c>
      <c r="BA275" s="28" t="s">
        <v>319</v>
      </c>
      <c r="BB275" s="6" t="s">
        <v>984</v>
      </c>
      <c r="BC275" s="5" t="s">
        <v>681</v>
      </c>
      <c r="BD275" s="106">
        <v>200</v>
      </c>
      <c r="BE275" s="6" t="s">
        <v>1014</v>
      </c>
      <c r="BF275" s="181" t="s">
        <v>1448</v>
      </c>
      <c r="BG275" s="12">
        <v>6</v>
      </c>
      <c r="BH275" s="28" t="s">
        <v>319</v>
      </c>
      <c r="BI275" s="28" t="s">
        <v>319</v>
      </c>
      <c r="BJ275" s="28" t="s">
        <v>319</v>
      </c>
      <c r="BK275" s="28" t="s">
        <v>319</v>
      </c>
      <c r="BL275" s="28" t="s">
        <v>319</v>
      </c>
      <c r="BM275" s="28" t="s">
        <v>319</v>
      </c>
      <c r="BN275" s="28" t="s">
        <v>319</v>
      </c>
      <c r="BO275" s="28" t="s">
        <v>319</v>
      </c>
      <c r="BP275" s="28" t="s">
        <v>319</v>
      </c>
      <c r="BQ275" s="28" t="s">
        <v>319</v>
      </c>
      <c r="BR275" s="5"/>
      <c r="BS275" s="105"/>
      <c r="BT275" s="6"/>
      <c r="BU275" s="12">
        <v>18</v>
      </c>
      <c r="BV275" s="6" t="s">
        <v>1020</v>
      </c>
      <c r="BW275" s="105">
        <v>1.35</v>
      </c>
      <c r="BX275" s="6"/>
      <c r="BY275" s="6"/>
      <c r="BZ275" s="30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9"/>
      <c r="DB275" s="6"/>
      <c r="DC275" s="30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 t="s">
        <v>319</v>
      </c>
      <c r="DO275" s="28" t="s">
        <v>319</v>
      </c>
      <c r="DP275" s="28" t="s">
        <v>319</v>
      </c>
      <c r="DQ275" s="28" t="s">
        <v>319</v>
      </c>
      <c r="DR275" s="28" t="s">
        <v>319</v>
      </c>
      <c r="DS275" s="28" t="s">
        <v>319</v>
      </c>
      <c r="DT275" s="28" t="s">
        <v>319</v>
      </c>
      <c r="DU275" s="28" t="s">
        <v>319</v>
      </c>
      <c r="DV275" s="28" t="s">
        <v>319</v>
      </c>
      <c r="DW275" s="28" t="s">
        <v>319</v>
      </c>
      <c r="DX275" s="28" t="s">
        <v>319</v>
      </c>
      <c r="DY275" s="28" t="s">
        <v>319</v>
      </c>
      <c r="DZ275" s="28" t="s">
        <v>319</v>
      </c>
      <c r="EA275" s="28" t="s">
        <v>319</v>
      </c>
      <c r="EB275" s="28" t="s">
        <v>319</v>
      </c>
      <c r="EC275" s="28" t="s">
        <v>319</v>
      </c>
      <c r="ED275" s="28" t="s">
        <v>319</v>
      </c>
      <c r="EE275" s="28"/>
      <c r="EF275" s="28" t="s">
        <v>319</v>
      </c>
      <c r="EG275" s="28" t="s">
        <v>319</v>
      </c>
      <c r="EH275" s="28" t="s">
        <v>319</v>
      </c>
      <c r="EI275" s="28" t="s">
        <v>319</v>
      </c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7"/>
      <c r="FK275" s="6"/>
      <c r="FL275" s="6"/>
      <c r="FM275" s="94"/>
    </row>
    <row r="276" spans="1:169" s="3" customFormat="1" x14ac:dyDescent="0.4">
      <c r="A276" s="93"/>
      <c r="B276" s="93"/>
      <c r="C276" s="26"/>
      <c r="D276" s="27" t="s">
        <v>319</v>
      </c>
      <c r="E276" s="2" t="s">
        <v>478</v>
      </c>
      <c r="F276" s="28" t="s">
        <v>319</v>
      </c>
      <c r="G276" s="28" t="s">
        <v>319</v>
      </c>
      <c r="H276" s="28" t="s">
        <v>319</v>
      </c>
      <c r="I276" s="6" t="s">
        <v>425</v>
      </c>
      <c r="J276" s="28" t="s">
        <v>319</v>
      </c>
      <c r="K276" s="28" t="s">
        <v>319</v>
      </c>
      <c r="L276" s="28" t="s">
        <v>319</v>
      </c>
      <c r="M276" s="28" t="s">
        <v>319</v>
      </c>
      <c r="N276" s="28" t="s">
        <v>319</v>
      </c>
      <c r="O276" s="28" t="s">
        <v>319</v>
      </c>
      <c r="P276" s="28" t="s">
        <v>319</v>
      </c>
      <c r="Q276" s="5" t="s">
        <v>676</v>
      </c>
      <c r="R276" s="5" t="s">
        <v>663</v>
      </c>
      <c r="S276" s="6" t="s">
        <v>678</v>
      </c>
      <c r="T276" s="5" t="s">
        <v>930</v>
      </c>
      <c r="U276" s="5" t="s">
        <v>931</v>
      </c>
      <c r="V276" s="5" t="s">
        <v>932</v>
      </c>
      <c r="W276" s="6" t="s">
        <v>665</v>
      </c>
      <c r="X276" s="115"/>
      <c r="Y276" s="12">
        <v>2.2000000000000002</v>
      </c>
      <c r="Z276" s="106"/>
      <c r="AA276" s="6" t="s">
        <v>955</v>
      </c>
      <c r="AB276" s="106"/>
      <c r="AC276" s="12">
        <v>1.2</v>
      </c>
      <c r="AD276" s="106"/>
      <c r="AE276" s="6" t="s">
        <v>956</v>
      </c>
      <c r="AF276" s="6"/>
      <c r="AG276" s="12">
        <v>138</v>
      </c>
      <c r="AH276" s="6"/>
      <c r="AI276" s="6" t="s">
        <v>965</v>
      </c>
      <c r="AJ276" s="112"/>
      <c r="AK276" s="108">
        <v>0.2</v>
      </c>
      <c r="AL276" s="6"/>
      <c r="AM276" s="6" t="s">
        <v>958</v>
      </c>
      <c r="AN276" s="6"/>
      <c r="AO276" s="202">
        <v>3</v>
      </c>
      <c r="AP276" s="6"/>
      <c r="AQ276" s="28" t="s">
        <v>319</v>
      </c>
      <c r="AR276" s="28" t="s">
        <v>319</v>
      </c>
      <c r="AS276" s="28" t="s">
        <v>319</v>
      </c>
      <c r="AT276" s="28" t="s">
        <v>319</v>
      </c>
      <c r="AU276" s="28" t="s">
        <v>319</v>
      </c>
      <c r="AV276" s="28" t="s">
        <v>319</v>
      </c>
      <c r="AW276" s="28" t="s">
        <v>319</v>
      </c>
      <c r="AX276" s="28" t="s">
        <v>319</v>
      </c>
      <c r="AY276" s="28" t="s">
        <v>319</v>
      </c>
      <c r="AZ276" s="28" t="s">
        <v>319</v>
      </c>
      <c r="BA276" s="28" t="s">
        <v>319</v>
      </c>
      <c r="BB276" s="6" t="s">
        <v>984</v>
      </c>
      <c r="BC276" s="5" t="s">
        <v>681</v>
      </c>
      <c r="BD276" s="106">
        <v>200</v>
      </c>
      <c r="BE276" s="6" t="s">
        <v>1014</v>
      </c>
      <c r="BF276" s="6"/>
      <c r="BG276" s="12">
        <v>6</v>
      </c>
      <c r="BH276" s="28" t="s">
        <v>319</v>
      </c>
      <c r="BI276" s="28" t="s">
        <v>319</v>
      </c>
      <c r="BJ276" s="28" t="s">
        <v>319</v>
      </c>
      <c r="BK276" s="28" t="s">
        <v>319</v>
      </c>
      <c r="BL276" s="28" t="s">
        <v>319</v>
      </c>
      <c r="BM276" s="28" t="s">
        <v>319</v>
      </c>
      <c r="BN276" s="28" t="s">
        <v>319</v>
      </c>
      <c r="BO276" s="28" t="s">
        <v>319</v>
      </c>
      <c r="BP276" s="28" t="s">
        <v>319</v>
      </c>
      <c r="BQ276" s="28" t="s">
        <v>319</v>
      </c>
      <c r="BR276" s="12">
        <v>225.5</v>
      </c>
      <c r="BS276" s="12">
        <v>927.6</v>
      </c>
      <c r="BT276" s="6"/>
      <c r="BU276" s="5"/>
      <c r="BV276" s="6"/>
      <c r="BW276" s="111"/>
      <c r="BX276" s="6"/>
      <c r="BY276" s="6"/>
      <c r="BZ276" s="30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9"/>
      <c r="DB276" s="219"/>
      <c r="DC276" s="30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 t="s">
        <v>319</v>
      </c>
      <c r="DO276" s="28" t="s">
        <v>319</v>
      </c>
      <c r="DP276" s="28" t="s">
        <v>319</v>
      </c>
      <c r="DQ276" s="28" t="s">
        <v>319</v>
      </c>
      <c r="DR276" s="28" t="s">
        <v>319</v>
      </c>
      <c r="DS276" s="28" t="s">
        <v>319</v>
      </c>
      <c r="DT276" s="28" t="s">
        <v>319</v>
      </c>
      <c r="DU276" s="28" t="s">
        <v>319</v>
      </c>
      <c r="DV276" s="28" t="s">
        <v>319</v>
      </c>
      <c r="DW276" s="28" t="s">
        <v>319</v>
      </c>
      <c r="DX276" s="28" t="s">
        <v>319</v>
      </c>
      <c r="DY276" s="28" t="s">
        <v>319</v>
      </c>
      <c r="DZ276" s="28" t="s">
        <v>319</v>
      </c>
      <c r="EA276" s="28" t="s">
        <v>319</v>
      </c>
      <c r="EB276" s="28" t="s">
        <v>319</v>
      </c>
      <c r="EC276" s="28" t="s">
        <v>319</v>
      </c>
      <c r="ED276" s="28" t="s">
        <v>319</v>
      </c>
      <c r="EE276" s="28"/>
      <c r="EF276" s="28" t="s">
        <v>319</v>
      </c>
      <c r="EG276" s="28" t="s">
        <v>319</v>
      </c>
      <c r="EH276" s="28" t="s">
        <v>319</v>
      </c>
      <c r="EI276" s="28" t="s">
        <v>319</v>
      </c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7"/>
      <c r="FK276" s="6"/>
      <c r="FL276" s="6"/>
      <c r="FM276" s="97"/>
    </row>
    <row r="277" spans="1:169" s="22" customFormat="1" x14ac:dyDescent="0.4">
      <c r="A277" s="93"/>
      <c r="B277" s="93"/>
      <c r="C277" s="26"/>
      <c r="D277" s="27"/>
      <c r="E277" s="2" t="s">
        <v>1243</v>
      </c>
      <c r="F277" s="28"/>
      <c r="G277" s="28"/>
      <c r="H277" s="28"/>
      <c r="I277" s="6" t="s">
        <v>426</v>
      </c>
      <c r="J277" s="28"/>
      <c r="K277" s="28"/>
      <c r="L277" s="28"/>
      <c r="M277" s="28"/>
      <c r="N277" s="28"/>
      <c r="O277" s="28"/>
      <c r="P277" s="28"/>
      <c r="Q277" s="5" t="s">
        <v>1282</v>
      </c>
      <c r="R277" s="5" t="s">
        <v>1280</v>
      </c>
      <c r="S277" s="6" t="s">
        <v>1281</v>
      </c>
      <c r="T277" s="223"/>
      <c r="U277" s="223"/>
      <c r="V277" s="226">
        <f>85*581.9</f>
        <v>49461.5</v>
      </c>
      <c r="W277" s="6" t="s">
        <v>665</v>
      </c>
      <c r="X277" s="222"/>
      <c r="Y277" s="222"/>
      <c r="Z277" s="222">
        <v>14.95</v>
      </c>
      <c r="AA277" s="6" t="s">
        <v>955</v>
      </c>
      <c r="AB277" s="227"/>
      <c r="AC277" s="227"/>
      <c r="AD277" s="227">
        <v>9.9</v>
      </c>
      <c r="AE277" s="6" t="s">
        <v>956</v>
      </c>
      <c r="AF277" s="6"/>
      <c r="AG277" s="12">
        <v>39.9</v>
      </c>
      <c r="AH277" s="6"/>
      <c r="AI277" s="6" t="s">
        <v>957</v>
      </c>
      <c r="AJ277" s="108"/>
      <c r="AK277" s="108">
        <v>0.13300000000000001</v>
      </c>
      <c r="AL277" s="6"/>
      <c r="AM277" s="6" t="s">
        <v>958</v>
      </c>
      <c r="AN277" s="6"/>
      <c r="AO277" s="105">
        <v>4.49</v>
      </c>
      <c r="AP277" s="6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6" t="s">
        <v>984</v>
      </c>
      <c r="BC277" s="5" t="s">
        <v>681</v>
      </c>
      <c r="BD277" s="106">
        <v>75</v>
      </c>
      <c r="BE277" s="6" t="s">
        <v>1008</v>
      </c>
      <c r="BF277" s="6"/>
      <c r="BG277" s="12">
        <v>18.5</v>
      </c>
      <c r="BH277" s="12">
        <v>42.5</v>
      </c>
      <c r="BI277" s="28"/>
      <c r="BJ277" s="28"/>
      <c r="BK277" s="28"/>
      <c r="BL277" s="28"/>
      <c r="BM277" s="28"/>
      <c r="BN277" s="28"/>
      <c r="BO277" s="28"/>
      <c r="BP277" s="28"/>
      <c r="BQ277" s="28"/>
      <c r="BR277" s="12">
        <v>42.5</v>
      </c>
      <c r="BS277" s="12">
        <v>581.9</v>
      </c>
      <c r="BT277" s="6"/>
      <c r="BU277" s="5"/>
      <c r="BV277" s="6"/>
      <c r="BW277" s="111"/>
      <c r="BX277" s="6"/>
      <c r="BY277" s="6"/>
      <c r="BZ277" s="30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9"/>
      <c r="DB277" s="6"/>
      <c r="DC277" s="30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7"/>
      <c r="FK277" s="6"/>
      <c r="FL277" s="6"/>
      <c r="FM277" s="94"/>
    </row>
    <row r="278" spans="1:169" s="3" customFormat="1" x14ac:dyDescent="0.4">
      <c r="A278" s="93"/>
      <c r="B278" s="93"/>
      <c r="C278" s="26"/>
      <c r="D278" s="27" t="s">
        <v>319</v>
      </c>
      <c r="E278" s="2" t="s">
        <v>1389</v>
      </c>
      <c r="F278" s="28" t="s">
        <v>319</v>
      </c>
      <c r="G278" s="28" t="s">
        <v>319</v>
      </c>
      <c r="H278" s="28" t="s">
        <v>319</v>
      </c>
      <c r="I278" s="6" t="s">
        <v>426</v>
      </c>
      <c r="J278" s="28" t="s">
        <v>319</v>
      </c>
      <c r="K278" s="28" t="s">
        <v>319</v>
      </c>
      <c r="L278" s="28" t="s">
        <v>319</v>
      </c>
      <c r="M278" s="28" t="s">
        <v>319</v>
      </c>
      <c r="N278" s="28" t="s">
        <v>319</v>
      </c>
      <c r="O278" s="28" t="s">
        <v>319</v>
      </c>
      <c r="P278" s="28" t="s">
        <v>319</v>
      </c>
      <c r="Q278" s="5" t="s">
        <v>673</v>
      </c>
      <c r="R278" s="5" t="s">
        <v>1285</v>
      </c>
      <c r="S278" s="6" t="s">
        <v>678</v>
      </c>
      <c r="T278" s="5"/>
      <c r="U278" s="5"/>
      <c r="V278" s="180">
        <v>1000</v>
      </c>
      <c r="W278" s="6" t="s">
        <v>665</v>
      </c>
      <c r="X278" s="5"/>
      <c r="Y278" s="5">
        <v>3.9</v>
      </c>
      <c r="Z278" s="109" t="s">
        <v>1279</v>
      </c>
      <c r="AA278" s="6" t="s">
        <v>963</v>
      </c>
      <c r="AB278" s="6"/>
      <c r="AC278" s="6" t="s">
        <v>1283</v>
      </c>
      <c r="AD278" s="99" t="s">
        <v>1284</v>
      </c>
      <c r="AE278" s="6" t="s">
        <v>956</v>
      </c>
      <c r="AF278" s="6"/>
      <c r="AG278" s="12">
        <v>39.5</v>
      </c>
      <c r="AH278" s="6"/>
      <c r="AI278" s="6" t="s">
        <v>965</v>
      </c>
      <c r="AJ278" s="108"/>
      <c r="AK278" s="108">
        <v>8.9999999999999993E-3</v>
      </c>
      <c r="AL278" s="6"/>
      <c r="AM278" s="6" t="s">
        <v>958</v>
      </c>
      <c r="AN278" s="6"/>
      <c r="AO278" s="109" t="s">
        <v>1284</v>
      </c>
      <c r="AP278" s="6"/>
      <c r="AQ278" s="28" t="s">
        <v>319</v>
      </c>
      <c r="AR278" s="28" t="s">
        <v>319</v>
      </c>
      <c r="AS278" s="28" t="s">
        <v>319</v>
      </c>
      <c r="AT278" s="28" t="s">
        <v>319</v>
      </c>
      <c r="AU278" s="28" t="s">
        <v>319</v>
      </c>
      <c r="AV278" s="28" t="s">
        <v>319</v>
      </c>
      <c r="AW278" s="28" t="s">
        <v>319</v>
      </c>
      <c r="AX278" s="28" t="s">
        <v>319</v>
      </c>
      <c r="AY278" s="28" t="s">
        <v>319</v>
      </c>
      <c r="AZ278" s="28" t="s">
        <v>319</v>
      </c>
      <c r="BA278" s="28" t="s">
        <v>319</v>
      </c>
      <c r="BB278" s="6" t="s">
        <v>984</v>
      </c>
      <c r="BC278" s="5" t="s">
        <v>681</v>
      </c>
      <c r="BD278" s="106">
        <v>75</v>
      </c>
      <c r="BE278" s="6" t="s">
        <v>1013</v>
      </c>
      <c r="BF278" s="6"/>
      <c r="BG278" s="12">
        <v>6</v>
      </c>
      <c r="BH278" s="28" t="s">
        <v>319</v>
      </c>
      <c r="BI278" s="28" t="s">
        <v>319</v>
      </c>
      <c r="BJ278" s="28" t="s">
        <v>319</v>
      </c>
      <c r="BK278" s="28" t="s">
        <v>319</v>
      </c>
      <c r="BL278" s="28" t="s">
        <v>319</v>
      </c>
      <c r="BM278" s="28" t="s">
        <v>319</v>
      </c>
      <c r="BN278" s="28" t="s">
        <v>319</v>
      </c>
      <c r="BO278" s="28" t="s">
        <v>319</v>
      </c>
      <c r="BP278" s="28" t="s">
        <v>319</v>
      </c>
      <c r="BQ278" s="28" t="s">
        <v>319</v>
      </c>
      <c r="BR278" s="115" t="s">
        <v>1279</v>
      </c>
      <c r="BS278" s="115" t="s">
        <v>1279</v>
      </c>
      <c r="BT278" s="6"/>
      <c r="BU278" s="12">
        <v>55.2</v>
      </c>
      <c r="BV278" s="6" t="s">
        <v>1048</v>
      </c>
      <c r="BW278" s="105">
        <v>1.147</v>
      </c>
      <c r="BX278" s="6"/>
      <c r="BY278" s="6"/>
      <c r="BZ278" s="30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9"/>
      <c r="DB278" s="6"/>
      <c r="DC278" s="30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 t="s">
        <v>319</v>
      </c>
      <c r="DO278" s="28" t="s">
        <v>319</v>
      </c>
      <c r="DP278" s="28" t="s">
        <v>319</v>
      </c>
      <c r="DQ278" s="28" t="s">
        <v>319</v>
      </c>
      <c r="DR278" s="28" t="s">
        <v>319</v>
      </c>
      <c r="DS278" s="28" t="s">
        <v>319</v>
      </c>
      <c r="DT278" s="28" t="s">
        <v>319</v>
      </c>
      <c r="DU278" s="28" t="s">
        <v>319</v>
      </c>
      <c r="DV278" s="28" t="s">
        <v>319</v>
      </c>
      <c r="DW278" s="28" t="s">
        <v>319</v>
      </c>
      <c r="DX278" s="28" t="s">
        <v>319</v>
      </c>
      <c r="DY278" s="28" t="s">
        <v>319</v>
      </c>
      <c r="DZ278" s="28" t="s">
        <v>319</v>
      </c>
      <c r="EA278" s="28" t="s">
        <v>319</v>
      </c>
      <c r="EB278" s="28" t="s">
        <v>319</v>
      </c>
      <c r="EC278" s="28" t="s">
        <v>319</v>
      </c>
      <c r="ED278" s="28" t="s">
        <v>319</v>
      </c>
      <c r="EE278" s="28"/>
      <c r="EF278" s="28" t="s">
        <v>319</v>
      </c>
      <c r="EG278" s="28" t="s">
        <v>319</v>
      </c>
      <c r="EH278" s="28" t="s">
        <v>319</v>
      </c>
      <c r="EI278" s="28" t="s">
        <v>319</v>
      </c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7"/>
      <c r="FK278" s="6"/>
      <c r="FL278" s="6"/>
      <c r="FM278" s="94"/>
    </row>
    <row r="279" spans="1:169" s="3" customFormat="1" x14ac:dyDescent="0.4">
      <c r="A279" s="93"/>
      <c r="B279" s="93"/>
      <c r="C279" s="26"/>
      <c r="D279" s="27" t="s">
        <v>319</v>
      </c>
      <c r="E279" s="2" t="s">
        <v>427</v>
      </c>
      <c r="F279" s="28" t="s">
        <v>319</v>
      </c>
      <c r="G279" s="28" t="s">
        <v>319</v>
      </c>
      <c r="H279" s="28" t="s">
        <v>319</v>
      </c>
      <c r="I279" s="6" t="s">
        <v>426</v>
      </c>
      <c r="J279" s="28" t="s">
        <v>319</v>
      </c>
      <c r="K279" s="28" t="s">
        <v>319</v>
      </c>
      <c r="L279" s="28" t="s">
        <v>319</v>
      </c>
      <c r="M279" s="28" t="s">
        <v>319</v>
      </c>
      <c r="N279" s="28" t="s">
        <v>319</v>
      </c>
      <c r="O279" s="28" t="s">
        <v>319</v>
      </c>
      <c r="P279" s="28" t="s">
        <v>319</v>
      </c>
      <c r="Q279" s="5" t="s">
        <v>673</v>
      </c>
      <c r="R279" s="5" t="s">
        <v>663</v>
      </c>
      <c r="S279" s="6" t="s">
        <v>672</v>
      </c>
      <c r="T279" s="5" t="s">
        <v>933</v>
      </c>
      <c r="U279" s="5" t="s">
        <v>934</v>
      </c>
      <c r="V279" s="5" t="s">
        <v>935</v>
      </c>
      <c r="W279" s="6" t="s">
        <v>665</v>
      </c>
      <c r="X279" s="105">
        <v>15.51</v>
      </c>
      <c r="Y279" s="105">
        <v>13.88</v>
      </c>
      <c r="Z279" s="105">
        <v>12.97</v>
      </c>
      <c r="AA279" s="6" t="s">
        <v>968</v>
      </c>
      <c r="AB279" s="225">
        <f>4.43+1.58</f>
        <v>6.01</v>
      </c>
      <c r="AC279" s="225">
        <f>2.03+1.58</f>
        <v>3.61</v>
      </c>
      <c r="AD279" s="225">
        <f>0.7+1.58</f>
        <v>2.2800000000000002</v>
      </c>
      <c r="AE279" s="6" t="s">
        <v>956</v>
      </c>
      <c r="AF279" s="6"/>
      <c r="AG279" s="12">
        <v>39.9</v>
      </c>
      <c r="AH279" s="6"/>
      <c r="AI279" s="6" t="s">
        <v>965</v>
      </c>
      <c r="AJ279" s="108"/>
      <c r="AK279" s="108">
        <v>0.13300000000000001</v>
      </c>
      <c r="AL279" s="6"/>
      <c r="AM279" s="6" t="s">
        <v>958</v>
      </c>
      <c r="AN279" s="6"/>
      <c r="AO279" s="105">
        <v>4.49</v>
      </c>
      <c r="AP279" s="6"/>
      <c r="AQ279" s="28" t="s">
        <v>319</v>
      </c>
      <c r="AR279" s="28" t="s">
        <v>319</v>
      </c>
      <c r="AS279" s="28" t="s">
        <v>319</v>
      </c>
      <c r="AT279" s="28" t="s">
        <v>319</v>
      </c>
      <c r="AU279" s="28" t="s">
        <v>319</v>
      </c>
      <c r="AV279" s="28" t="s">
        <v>319</v>
      </c>
      <c r="AW279" s="28" t="s">
        <v>319</v>
      </c>
      <c r="AX279" s="28" t="s">
        <v>319</v>
      </c>
      <c r="AY279" s="28" t="s">
        <v>319</v>
      </c>
      <c r="AZ279" s="28" t="s">
        <v>319</v>
      </c>
      <c r="BA279" s="28" t="s">
        <v>319</v>
      </c>
      <c r="BB279" s="6" t="s">
        <v>984</v>
      </c>
      <c r="BC279" s="5" t="s">
        <v>681</v>
      </c>
      <c r="BD279" s="106">
        <v>75</v>
      </c>
      <c r="BE279" s="6" t="s">
        <v>1013</v>
      </c>
      <c r="BF279" s="6"/>
      <c r="BG279" s="12">
        <v>18.5</v>
      </c>
      <c r="BH279" s="28" t="s">
        <v>319</v>
      </c>
      <c r="BI279" s="28" t="s">
        <v>319</v>
      </c>
      <c r="BJ279" s="28" t="s">
        <v>319</v>
      </c>
      <c r="BK279" s="28" t="s">
        <v>319</v>
      </c>
      <c r="BL279" s="28" t="s">
        <v>319</v>
      </c>
      <c r="BM279" s="28" t="s">
        <v>319</v>
      </c>
      <c r="BN279" s="28" t="s">
        <v>319</v>
      </c>
      <c r="BO279" s="28" t="s">
        <v>319</v>
      </c>
      <c r="BP279" s="28" t="s">
        <v>319</v>
      </c>
      <c r="BQ279" s="28" t="s">
        <v>319</v>
      </c>
      <c r="BR279" s="12">
        <v>42.5</v>
      </c>
      <c r="BS279" s="12">
        <v>581.9</v>
      </c>
      <c r="BT279" s="6"/>
      <c r="BU279" s="5"/>
      <c r="BV279" s="6"/>
      <c r="BW279" s="111"/>
      <c r="BX279" s="6"/>
      <c r="BY279" s="6"/>
      <c r="BZ279" s="30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9"/>
      <c r="DB279" s="6"/>
      <c r="DC279" s="30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 t="s">
        <v>319</v>
      </c>
      <c r="DO279" s="28" t="s">
        <v>319</v>
      </c>
      <c r="DP279" s="28" t="s">
        <v>319</v>
      </c>
      <c r="DQ279" s="28" t="s">
        <v>319</v>
      </c>
      <c r="DR279" s="28" t="s">
        <v>319</v>
      </c>
      <c r="DS279" s="28" t="s">
        <v>319</v>
      </c>
      <c r="DT279" s="28" t="s">
        <v>319</v>
      </c>
      <c r="DU279" s="28" t="s">
        <v>319</v>
      </c>
      <c r="DV279" s="28" t="s">
        <v>319</v>
      </c>
      <c r="DW279" s="28" t="s">
        <v>319</v>
      </c>
      <c r="DX279" s="28" t="s">
        <v>319</v>
      </c>
      <c r="DY279" s="28" t="s">
        <v>319</v>
      </c>
      <c r="DZ279" s="28" t="s">
        <v>319</v>
      </c>
      <c r="EA279" s="28" t="s">
        <v>319</v>
      </c>
      <c r="EB279" s="28" t="s">
        <v>319</v>
      </c>
      <c r="EC279" s="28" t="s">
        <v>319</v>
      </c>
      <c r="ED279" s="28" t="s">
        <v>319</v>
      </c>
      <c r="EE279" s="28"/>
      <c r="EF279" s="28" t="s">
        <v>319</v>
      </c>
      <c r="EG279" s="28" t="s">
        <v>319</v>
      </c>
      <c r="EH279" s="28" t="s">
        <v>319</v>
      </c>
      <c r="EI279" s="28" t="s">
        <v>319</v>
      </c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7"/>
      <c r="FK279" s="6"/>
      <c r="FL279" s="6"/>
      <c r="FM279" s="97"/>
    </row>
    <row r="280" spans="1:169" s="3" customFormat="1" x14ac:dyDescent="0.4">
      <c r="A280" s="93"/>
      <c r="B280" s="93"/>
      <c r="C280" s="26"/>
      <c r="D280" s="27" t="s">
        <v>319</v>
      </c>
      <c r="E280" s="2" t="s">
        <v>514</v>
      </c>
      <c r="F280" s="28" t="s">
        <v>319</v>
      </c>
      <c r="G280" s="28" t="s">
        <v>319</v>
      </c>
      <c r="H280" s="28" t="s">
        <v>319</v>
      </c>
      <c r="I280" s="6" t="s">
        <v>426</v>
      </c>
      <c r="J280" s="28" t="s">
        <v>319</v>
      </c>
      <c r="K280" s="28" t="s">
        <v>319</v>
      </c>
      <c r="L280" s="28" t="s">
        <v>319</v>
      </c>
      <c r="M280" s="28" t="s">
        <v>319</v>
      </c>
      <c r="N280" s="28" t="s">
        <v>319</v>
      </c>
      <c r="O280" s="28" t="s">
        <v>319</v>
      </c>
      <c r="P280" s="28" t="s">
        <v>319</v>
      </c>
      <c r="Q280" s="5" t="s">
        <v>673</v>
      </c>
      <c r="R280" s="5" t="s">
        <v>667</v>
      </c>
      <c r="S280" s="6" t="s">
        <v>678</v>
      </c>
      <c r="T280" s="5"/>
      <c r="U280" s="229">
        <v>4886</v>
      </c>
      <c r="V280" s="5"/>
      <c r="W280" s="6" t="s">
        <v>665</v>
      </c>
      <c r="X280" s="5"/>
      <c r="Y280" s="105">
        <v>4.04</v>
      </c>
      <c r="Z280" s="5"/>
      <c r="AA280" s="6" t="s">
        <v>963</v>
      </c>
      <c r="AB280" s="6"/>
      <c r="AC280" s="6">
        <v>0.14000000000000012</v>
      </c>
      <c r="AD280" s="6"/>
      <c r="AE280" s="6" t="s">
        <v>956</v>
      </c>
      <c r="AF280" s="6"/>
      <c r="AG280" s="12">
        <v>44.9</v>
      </c>
      <c r="AH280" s="6"/>
      <c r="AI280" s="6" t="s">
        <v>976</v>
      </c>
      <c r="AJ280" s="108"/>
      <c r="AK280" s="112">
        <v>8.8999999999999999E-3</v>
      </c>
      <c r="AL280" s="6"/>
      <c r="AM280" s="6"/>
      <c r="AN280" s="6"/>
      <c r="AO280" s="5"/>
      <c r="AP280" s="6"/>
      <c r="AQ280" s="28" t="s">
        <v>319</v>
      </c>
      <c r="AR280" s="28" t="s">
        <v>319</v>
      </c>
      <c r="AS280" s="28" t="s">
        <v>319</v>
      </c>
      <c r="AT280" s="28" t="s">
        <v>319</v>
      </c>
      <c r="AU280" s="28" t="s">
        <v>319</v>
      </c>
      <c r="AV280" s="28" t="s">
        <v>319</v>
      </c>
      <c r="AW280" s="28" t="s">
        <v>319</v>
      </c>
      <c r="AX280" s="28" t="s">
        <v>319</v>
      </c>
      <c r="AY280" s="28" t="s">
        <v>319</v>
      </c>
      <c r="AZ280" s="28" t="s">
        <v>319</v>
      </c>
      <c r="BA280" s="28" t="s">
        <v>319</v>
      </c>
      <c r="BB280" s="6" t="s">
        <v>984</v>
      </c>
      <c r="BC280" s="5" t="s">
        <v>681</v>
      </c>
      <c r="BD280" s="106">
        <v>135</v>
      </c>
      <c r="BE280" s="6" t="s">
        <v>1014</v>
      </c>
      <c r="BF280" s="6"/>
      <c r="BG280" s="12">
        <v>6</v>
      </c>
      <c r="BH280" s="28" t="s">
        <v>319</v>
      </c>
      <c r="BI280" s="28" t="s">
        <v>319</v>
      </c>
      <c r="BJ280" s="28" t="s">
        <v>319</v>
      </c>
      <c r="BK280" s="28" t="s">
        <v>319</v>
      </c>
      <c r="BL280" s="28" t="s">
        <v>319</v>
      </c>
      <c r="BM280" s="28" t="s">
        <v>319</v>
      </c>
      <c r="BN280" s="28" t="s">
        <v>319</v>
      </c>
      <c r="BO280" s="28" t="s">
        <v>319</v>
      </c>
      <c r="BP280" s="28" t="s">
        <v>319</v>
      </c>
      <c r="BQ280" s="28" t="s">
        <v>319</v>
      </c>
      <c r="BR280" s="5"/>
      <c r="BS280" s="105"/>
      <c r="BT280" s="6"/>
      <c r="BU280" s="12">
        <v>55.2</v>
      </c>
      <c r="BV280" s="6" t="s">
        <v>1048</v>
      </c>
      <c r="BW280" s="105">
        <v>1.147</v>
      </c>
      <c r="BX280" s="6"/>
      <c r="BY280" s="6"/>
      <c r="BZ280" s="30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9"/>
      <c r="DB280" s="6"/>
      <c r="DC280" s="30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 t="s">
        <v>319</v>
      </c>
      <c r="DO280" s="28" t="s">
        <v>319</v>
      </c>
      <c r="DP280" s="28" t="s">
        <v>319</v>
      </c>
      <c r="DQ280" s="28" t="s">
        <v>319</v>
      </c>
      <c r="DR280" s="28" t="s">
        <v>319</v>
      </c>
      <c r="DS280" s="28" t="s">
        <v>319</v>
      </c>
      <c r="DT280" s="28" t="s">
        <v>319</v>
      </c>
      <c r="DU280" s="28" t="s">
        <v>319</v>
      </c>
      <c r="DV280" s="28" t="s">
        <v>319</v>
      </c>
      <c r="DW280" s="28" t="s">
        <v>319</v>
      </c>
      <c r="DX280" s="28" t="s">
        <v>319</v>
      </c>
      <c r="DY280" s="28" t="s">
        <v>319</v>
      </c>
      <c r="DZ280" s="28" t="s">
        <v>319</v>
      </c>
      <c r="EA280" s="28" t="s">
        <v>319</v>
      </c>
      <c r="EB280" s="28" t="s">
        <v>319</v>
      </c>
      <c r="EC280" s="28" t="s">
        <v>319</v>
      </c>
      <c r="ED280" s="28" t="s">
        <v>319</v>
      </c>
      <c r="EE280" s="28"/>
      <c r="EF280" s="28" t="s">
        <v>319</v>
      </c>
      <c r="EG280" s="28" t="s">
        <v>319</v>
      </c>
      <c r="EH280" s="28" t="s">
        <v>319</v>
      </c>
      <c r="EI280" s="28" t="s">
        <v>319</v>
      </c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7"/>
      <c r="FK280" s="6"/>
      <c r="FL280" s="6"/>
      <c r="FM280" s="94"/>
    </row>
    <row r="281" spans="1:169" s="43" customFormat="1" x14ac:dyDescent="0.4">
      <c r="A281" s="116"/>
      <c r="B281" s="116"/>
      <c r="C281" s="117"/>
      <c r="D281" s="118" t="s">
        <v>319</v>
      </c>
      <c r="E281" s="119" t="s">
        <v>550</v>
      </c>
      <c r="F281" s="152" t="s">
        <v>319</v>
      </c>
      <c r="G281" s="152" t="s">
        <v>319</v>
      </c>
      <c r="H281" s="152" t="s">
        <v>319</v>
      </c>
      <c r="I281" s="120" t="s">
        <v>426</v>
      </c>
      <c r="J281" s="152" t="s">
        <v>319</v>
      </c>
      <c r="K281" s="152" t="s">
        <v>319</v>
      </c>
      <c r="L281" s="152" t="s">
        <v>319</v>
      </c>
      <c r="M281" s="152" t="s">
        <v>319</v>
      </c>
      <c r="N281" s="152" t="s">
        <v>319</v>
      </c>
      <c r="O281" s="152" t="s">
        <v>319</v>
      </c>
      <c r="P281" s="152" t="s">
        <v>319</v>
      </c>
      <c r="Q281" s="121" t="s">
        <v>936</v>
      </c>
      <c r="R281" s="121" t="s">
        <v>667</v>
      </c>
      <c r="S281" s="120" t="s">
        <v>678</v>
      </c>
      <c r="T281" s="121">
        <v>500</v>
      </c>
      <c r="U281" s="121"/>
      <c r="V281" s="121">
        <v>1000</v>
      </c>
      <c r="W281" s="120" t="s">
        <v>665</v>
      </c>
      <c r="X281" s="121"/>
      <c r="Y281" s="157" t="s">
        <v>937</v>
      </c>
      <c r="Z281" s="157"/>
      <c r="AA281" s="120" t="s">
        <v>963</v>
      </c>
      <c r="AB281" s="120"/>
      <c r="AC281" s="120" t="s">
        <v>1005</v>
      </c>
      <c r="AD281" s="120"/>
      <c r="AE281" s="120" t="s">
        <v>956</v>
      </c>
      <c r="AF281" s="120"/>
      <c r="AG281" s="157" t="s">
        <v>1006</v>
      </c>
      <c r="AH281" s="120"/>
      <c r="AI281" s="120" t="s">
        <v>965</v>
      </c>
      <c r="AJ281" s="157"/>
      <c r="AK281" s="157" t="s">
        <v>1007</v>
      </c>
      <c r="AL281" s="120"/>
      <c r="AM281" s="120"/>
      <c r="AN281" s="120"/>
      <c r="AO281" s="157"/>
      <c r="AP281" s="120"/>
      <c r="AQ281" s="152" t="s">
        <v>319</v>
      </c>
      <c r="AR281" s="152" t="s">
        <v>319</v>
      </c>
      <c r="AS281" s="152" t="s">
        <v>319</v>
      </c>
      <c r="AT281" s="152" t="s">
        <v>319</v>
      </c>
      <c r="AU281" s="152" t="s">
        <v>319</v>
      </c>
      <c r="AV281" s="152" t="s">
        <v>319</v>
      </c>
      <c r="AW281" s="152" t="s">
        <v>319</v>
      </c>
      <c r="AX281" s="152" t="s">
        <v>319</v>
      </c>
      <c r="AY281" s="152" t="s">
        <v>319</v>
      </c>
      <c r="AZ281" s="152" t="s">
        <v>319</v>
      </c>
      <c r="BA281" s="152" t="s">
        <v>319</v>
      </c>
      <c r="BB281" s="120" t="s">
        <v>961</v>
      </c>
      <c r="BC281" s="157" t="s">
        <v>1009</v>
      </c>
      <c r="BD281" s="157" t="s">
        <v>1015</v>
      </c>
      <c r="BE281" s="120" t="s">
        <v>1014</v>
      </c>
      <c r="BF281" s="120"/>
      <c r="BG281" s="123">
        <v>6</v>
      </c>
      <c r="BH281" s="152" t="s">
        <v>319</v>
      </c>
      <c r="BI281" s="152" t="s">
        <v>319</v>
      </c>
      <c r="BJ281" s="152" t="s">
        <v>319</v>
      </c>
      <c r="BK281" s="152" t="s">
        <v>319</v>
      </c>
      <c r="BL281" s="152" t="s">
        <v>319</v>
      </c>
      <c r="BM281" s="152" t="s">
        <v>319</v>
      </c>
      <c r="BN281" s="152" t="s">
        <v>319</v>
      </c>
      <c r="BO281" s="152" t="s">
        <v>319</v>
      </c>
      <c r="BP281" s="152" t="s">
        <v>319</v>
      </c>
      <c r="BQ281" s="152" t="s">
        <v>319</v>
      </c>
      <c r="BR281" s="157"/>
      <c r="BS281" s="157"/>
      <c r="BT281" s="120"/>
      <c r="BU281" s="157" t="s">
        <v>1049</v>
      </c>
      <c r="BV281" s="120" t="s">
        <v>1048</v>
      </c>
      <c r="BW281" s="158" t="s">
        <v>670</v>
      </c>
      <c r="BX281" s="120"/>
      <c r="BY281" s="120"/>
      <c r="BZ281" s="153"/>
      <c r="CA281" s="152"/>
      <c r="CB281" s="152"/>
      <c r="CC281" s="152"/>
      <c r="CD281" s="152"/>
      <c r="CE281" s="152"/>
      <c r="CF281" s="152"/>
      <c r="CG281" s="152"/>
      <c r="CH281" s="152"/>
      <c r="CI281" s="152"/>
      <c r="CJ281" s="152"/>
      <c r="CK281" s="152"/>
      <c r="CL281" s="152"/>
      <c r="CM281" s="152"/>
      <c r="CN281" s="152"/>
      <c r="CO281" s="152"/>
      <c r="CP281" s="152"/>
      <c r="CQ281" s="152"/>
      <c r="CR281" s="152"/>
      <c r="CS281" s="152"/>
      <c r="CT281" s="152"/>
      <c r="CU281" s="152"/>
      <c r="CV281" s="152"/>
      <c r="CW281" s="152"/>
      <c r="CX281" s="152"/>
      <c r="CY281" s="152"/>
      <c r="CZ281" s="152"/>
      <c r="DA281" s="154"/>
      <c r="DB281" s="120"/>
      <c r="DC281" s="153"/>
      <c r="DD281" s="152"/>
      <c r="DE281" s="152"/>
      <c r="DF281" s="152"/>
      <c r="DG281" s="152"/>
      <c r="DH281" s="152"/>
      <c r="DI281" s="152"/>
      <c r="DJ281" s="152"/>
      <c r="DK281" s="152"/>
      <c r="DL281" s="152"/>
      <c r="DM281" s="152"/>
      <c r="DN281" s="152" t="s">
        <v>319</v>
      </c>
      <c r="DO281" s="152" t="s">
        <v>319</v>
      </c>
      <c r="DP281" s="152" t="s">
        <v>319</v>
      </c>
      <c r="DQ281" s="152" t="s">
        <v>319</v>
      </c>
      <c r="DR281" s="152" t="s">
        <v>319</v>
      </c>
      <c r="DS281" s="152" t="s">
        <v>319</v>
      </c>
      <c r="DT281" s="152" t="s">
        <v>319</v>
      </c>
      <c r="DU281" s="152" t="s">
        <v>319</v>
      </c>
      <c r="DV281" s="152" t="s">
        <v>319</v>
      </c>
      <c r="DW281" s="152" t="s">
        <v>319</v>
      </c>
      <c r="DX281" s="152" t="s">
        <v>319</v>
      </c>
      <c r="DY281" s="152" t="s">
        <v>319</v>
      </c>
      <c r="DZ281" s="152" t="s">
        <v>319</v>
      </c>
      <c r="EA281" s="152" t="s">
        <v>319</v>
      </c>
      <c r="EB281" s="152" t="s">
        <v>319</v>
      </c>
      <c r="EC281" s="152" t="s">
        <v>319</v>
      </c>
      <c r="ED281" s="152" t="s">
        <v>319</v>
      </c>
      <c r="EE281" s="152"/>
      <c r="EF281" s="152" t="s">
        <v>319</v>
      </c>
      <c r="EG281" s="152" t="s">
        <v>319</v>
      </c>
      <c r="EH281" s="152" t="s">
        <v>319</v>
      </c>
      <c r="EI281" s="152" t="s">
        <v>319</v>
      </c>
      <c r="EJ281" s="152"/>
      <c r="EK281" s="152"/>
      <c r="EL281" s="152"/>
      <c r="EM281" s="152"/>
      <c r="EN281" s="152"/>
      <c r="EO281" s="152"/>
      <c r="EP281" s="152"/>
      <c r="EQ281" s="152"/>
      <c r="ER281" s="152"/>
      <c r="ES281" s="152"/>
      <c r="ET281" s="152"/>
      <c r="EU281" s="152"/>
      <c r="EV281" s="152"/>
      <c r="EW281" s="152"/>
      <c r="EX281" s="152"/>
      <c r="EY281" s="152"/>
      <c r="EZ281" s="152"/>
      <c r="FA281" s="152"/>
      <c r="FB281" s="152"/>
      <c r="FC281" s="152"/>
      <c r="FD281" s="152"/>
      <c r="FE281" s="152"/>
      <c r="FF281" s="152"/>
      <c r="FG281" s="152"/>
      <c r="FH281" s="152"/>
      <c r="FI281" s="152"/>
      <c r="FJ281" s="118"/>
      <c r="FK281" s="120"/>
      <c r="FL281" s="120"/>
      <c r="FM281" s="94"/>
    </row>
    <row r="282" spans="1:169" s="276" customFormat="1" x14ac:dyDescent="0.4">
      <c r="A282" s="93"/>
      <c r="B282" s="93"/>
      <c r="C282" s="26"/>
      <c r="D282" s="27"/>
      <c r="E282" s="269" t="s">
        <v>1102</v>
      </c>
      <c r="F282" s="28"/>
      <c r="G282" s="28"/>
      <c r="H282" s="28"/>
      <c r="I282" s="270" t="s">
        <v>1221</v>
      </c>
      <c r="J282" s="28"/>
      <c r="K282" s="28"/>
      <c r="L282" s="28"/>
      <c r="M282" s="28"/>
      <c r="N282" s="28"/>
      <c r="O282" s="28"/>
      <c r="P282" s="28"/>
      <c r="Q282" s="271" t="s">
        <v>673</v>
      </c>
      <c r="R282" s="271" t="s">
        <v>667</v>
      </c>
      <c r="S282" s="270" t="s">
        <v>664</v>
      </c>
      <c r="T282" s="271">
        <v>500</v>
      </c>
      <c r="U282" s="271"/>
      <c r="V282" s="271">
        <v>1000</v>
      </c>
      <c r="W282" s="270" t="s">
        <v>665</v>
      </c>
      <c r="X282" s="271"/>
      <c r="Y282" s="272" t="s">
        <v>937</v>
      </c>
      <c r="Z282" s="272"/>
      <c r="AA282" s="270" t="s">
        <v>955</v>
      </c>
      <c r="AB282" s="270"/>
      <c r="AC282" s="270" t="s">
        <v>1103</v>
      </c>
      <c r="AD282" s="270"/>
      <c r="AE282" s="270" t="s">
        <v>956</v>
      </c>
      <c r="AF282" s="270"/>
      <c r="AG282" s="272" t="s">
        <v>1006</v>
      </c>
      <c r="AH282" s="270"/>
      <c r="AI282" s="6" t="s">
        <v>957</v>
      </c>
      <c r="AJ282" s="101"/>
      <c r="AK282" s="101" t="s">
        <v>1007</v>
      </c>
      <c r="AL282" s="6"/>
      <c r="AM282" s="270" t="s">
        <v>958</v>
      </c>
      <c r="AN282" s="6"/>
      <c r="AO282" s="272"/>
      <c r="AP282" s="6"/>
      <c r="AQ282" s="28" t="s">
        <v>319</v>
      </c>
      <c r="AR282" s="28" t="s">
        <v>319</v>
      </c>
      <c r="AS282" s="28" t="s">
        <v>319</v>
      </c>
      <c r="AT282" s="28" t="s">
        <v>319</v>
      </c>
      <c r="AU282" s="28" t="s">
        <v>319</v>
      </c>
      <c r="AV282" s="28" t="s">
        <v>319</v>
      </c>
      <c r="AW282" s="28" t="s">
        <v>319</v>
      </c>
      <c r="AX282" s="28" t="s">
        <v>319</v>
      </c>
      <c r="AY282" s="28" t="s">
        <v>319</v>
      </c>
      <c r="AZ282" s="28" t="s">
        <v>319</v>
      </c>
      <c r="BA282" s="28" t="s">
        <v>319</v>
      </c>
      <c r="BB282" s="270" t="s">
        <v>956</v>
      </c>
      <c r="BC282" s="272" t="s">
        <v>680</v>
      </c>
      <c r="BD282" s="272" t="s">
        <v>1461</v>
      </c>
      <c r="BE282" s="270" t="s">
        <v>1008</v>
      </c>
      <c r="BF282" s="270"/>
      <c r="BG282" s="273">
        <v>6</v>
      </c>
      <c r="BH282" s="28" t="s">
        <v>319</v>
      </c>
      <c r="BI282" s="28" t="s">
        <v>319</v>
      </c>
      <c r="BJ282" s="28" t="s">
        <v>319</v>
      </c>
      <c r="BK282" s="28" t="s">
        <v>319</v>
      </c>
      <c r="BL282" s="28" t="s">
        <v>319</v>
      </c>
      <c r="BM282" s="28" t="s">
        <v>319</v>
      </c>
      <c r="BN282" s="28" t="s">
        <v>319</v>
      </c>
      <c r="BO282" s="28" t="s">
        <v>319</v>
      </c>
      <c r="BP282" s="28" t="s">
        <v>319</v>
      </c>
      <c r="BQ282" s="28" t="s">
        <v>319</v>
      </c>
      <c r="BR282" s="272"/>
      <c r="BS282" s="272"/>
      <c r="BT282" s="6"/>
      <c r="BU282" s="272" t="s">
        <v>1049</v>
      </c>
      <c r="BV282" s="270" t="s">
        <v>1048</v>
      </c>
      <c r="BW282" s="274">
        <v>1.147</v>
      </c>
      <c r="BX282" s="270"/>
      <c r="BY282" s="270"/>
      <c r="BZ282" s="30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9"/>
      <c r="DB282" s="270"/>
      <c r="DC282" s="30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 t="s">
        <v>319</v>
      </c>
      <c r="DO282" s="28" t="s">
        <v>319</v>
      </c>
      <c r="DP282" s="28" t="s">
        <v>319</v>
      </c>
      <c r="DQ282" s="28" t="s">
        <v>319</v>
      </c>
      <c r="DR282" s="28" t="s">
        <v>319</v>
      </c>
      <c r="DS282" s="28" t="s">
        <v>319</v>
      </c>
      <c r="DT282" s="28" t="s">
        <v>319</v>
      </c>
      <c r="DU282" s="28" t="s">
        <v>319</v>
      </c>
      <c r="DV282" s="28" t="s">
        <v>319</v>
      </c>
      <c r="DW282" s="28" t="s">
        <v>319</v>
      </c>
      <c r="DX282" s="28" t="s">
        <v>319</v>
      </c>
      <c r="DY282" s="28" t="s">
        <v>319</v>
      </c>
      <c r="DZ282" s="28" t="s">
        <v>319</v>
      </c>
      <c r="EA282" s="28" t="s">
        <v>319</v>
      </c>
      <c r="EB282" s="28" t="s">
        <v>319</v>
      </c>
      <c r="EC282" s="28" t="s">
        <v>319</v>
      </c>
      <c r="ED282" s="28" t="s">
        <v>319</v>
      </c>
      <c r="EE282" s="28"/>
      <c r="EF282" s="28" t="s">
        <v>319</v>
      </c>
      <c r="EG282" s="28" t="s">
        <v>319</v>
      </c>
      <c r="EH282" s="28" t="s">
        <v>319</v>
      </c>
      <c r="EI282" s="28" t="s">
        <v>319</v>
      </c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7"/>
      <c r="FK282" s="270"/>
      <c r="FL282" s="270"/>
      <c r="FM282" s="275"/>
    </row>
    <row r="283" spans="1:169" s="3" customFormat="1" ht="52.2" x14ac:dyDescent="0.4">
      <c r="A283" s="93"/>
      <c r="B283" s="93"/>
      <c r="C283" s="26"/>
      <c r="D283" s="27" t="s">
        <v>319</v>
      </c>
      <c r="E283" s="2" t="s">
        <v>428</v>
      </c>
      <c r="F283" s="28" t="s">
        <v>319</v>
      </c>
      <c r="G283" s="28" t="s">
        <v>319</v>
      </c>
      <c r="H283" s="28" t="s">
        <v>319</v>
      </c>
      <c r="I283" s="6" t="s">
        <v>429</v>
      </c>
      <c r="J283" s="28" t="s">
        <v>319</v>
      </c>
      <c r="K283" s="28" t="s">
        <v>319</v>
      </c>
      <c r="L283" s="28" t="s">
        <v>319</v>
      </c>
      <c r="M283" s="28" t="s">
        <v>319</v>
      </c>
      <c r="N283" s="28" t="s">
        <v>319</v>
      </c>
      <c r="O283" s="28" t="s">
        <v>319</v>
      </c>
      <c r="P283" s="28" t="s">
        <v>319</v>
      </c>
      <c r="Q283" s="5" t="s">
        <v>673</v>
      </c>
      <c r="R283" s="5" t="s">
        <v>663</v>
      </c>
      <c r="S283" s="6" t="s">
        <v>678</v>
      </c>
      <c r="T283" s="5" t="s">
        <v>938</v>
      </c>
      <c r="U283" s="5" t="s">
        <v>939</v>
      </c>
      <c r="V283" s="5" t="s">
        <v>940</v>
      </c>
      <c r="W283" s="6" t="s">
        <v>665</v>
      </c>
      <c r="X283" s="105">
        <v>9.9700000000000006</v>
      </c>
      <c r="Y283" s="105">
        <v>8.89</v>
      </c>
      <c r="Z283" s="105">
        <v>8.68</v>
      </c>
      <c r="AA283" s="6" t="s">
        <v>963</v>
      </c>
      <c r="AB283" s="6">
        <v>2.8200000000000003</v>
      </c>
      <c r="AC283" s="6">
        <v>1.0700000000000003</v>
      </c>
      <c r="AD283" s="6">
        <v>0.69999999999999929</v>
      </c>
      <c r="AE283" s="6" t="s">
        <v>960</v>
      </c>
      <c r="AF283" s="6"/>
      <c r="AG283" s="12">
        <v>106.2</v>
      </c>
      <c r="AH283" s="6"/>
      <c r="AI283" s="6" t="s">
        <v>965</v>
      </c>
      <c r="AJ283" s="108"/>
      <c r="AK283" s="108">
        <v>0.14299999999999999</v>
      </c>
      <c r="AL283" s="6"/>
      <c r="AM283" s="6" t="s">
        <v>958</v>
      </c>
      <c r="AN283" s="6"/>
      <c r="AO283" s="105">
        <v>5.6</v>
      </c>
      <c r="AP283" s="6"/>
      <c r="AQ283" s="28" t="s">
        <v>319</v>
      </c>
      <c r="AR283" s="28" t="s">
        <v>319</v>
      </c>
      <c r="AS283" s="28" t="s">
        <v>319</v>
      </c>
      <c r="AT283" s="28" t="s">
        <v>319</v>
      </c>
      <c r="AU283" s="28" t="s">
        <v>319</v>
      </c>
      <c r="AV283" s="28" t="s">
        <v>319</v>
      </c>
      <c r="AW283" s="28" t="s">
        <v>319</v>
      </c>
      <c r="AX283" s="28" t="s">
        <v>319</v>
      </c>
      <c r="AY283" s="28" t="s">
        <v>319</v>
      </c>
      <c r="AZ283" s="28" t="s">
        <v>319</v>
      </c>
      <c r="BA283" s="28" t="s">
        <v>319</v>
      </c>
      <c r="BB283" s="6" t="s">
        <v>984</v>
      </c>
      <c r="BC283" s="5" t="s">
        <v>681</v>
      </c>
      <c r="BD283" s="106">
        <v>150</v>
      </c>
      <c r="BE283" s="6" t="s">
        <v>1014</v>
      </c>
      <c r="BF283" s="6"/>
      <c r="BG283" s="185">
        <v>13.4</v>
      </c>
      <c r="BH283" s="28" t="s">
        <v>319</v>
      </c>
      <c r="BI283" s="28" t="s">
        <v>319</v>
      </c>
      <c r="BJ283" s="28" t="s">
        <v>319</v>
      </c>
      <c r="BK283" s="28" t="s">
        <v>319</v>
      </c>
      <c r="BL283" s="28" t="s">
        <v>319</v>
      </c>
      <c r="BM283" s="28" t="s">
        <v>319</v>
      </c>
      <c r="BN283" s="28" t="s">
        <v>319</v>
      </c>
      <c r="BO283" s="28" t="s">
        <v>319</v>
      </c>
      <c r="BP283" s="28" t="s">
        <v>319</v>
      </c>
      <c r="BQ283" s="28" t="s">
        <v>319</v>
      </c>
      <c r="BR283" s="12">
        <v>40.4</v>
      </c>
      <c r="BS283" s="12">
        <v>608.1</v>
      </c>
      <c r="BT283" s="6"/>
      <c r="BU283" s="5"/>
      <c r="BV283" s="6"/>
      <c r="BW283" s="111"/>
      <c r="BX283" s="6"/>
      <c r="BY283" s="6"/>
      <c r="BZ283" s="30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9"/>
      <c r="DB283" s="6"/>
      <c r="DC283" s="30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 t="s">
        <v>319</v>
      </c>
      <c r="DO283" s="28" t="s">
        <v>319</v>
      </c>
      <c r="DP283" s="28" t="s">
        <v>319</v>
      </c>
      <c r="DQ283" s="28" t="s">
        <v>319</v>
      </c>
      <c r="DR283" s="28" t="s">
        <v>319</v>
      </c>
      <c r="DS283" s="28" t="s">
        <v>319</v>
      </c>
      <c r="DT283" s="28" t="s">
        <v>319</v>
      </c>
      <c r="DU283" s="28" t="s">
        <v>319</v>
      </c>
      <c r="DV283" s="28" t="s">
        <v>319</v>
      </c>
      <c r="DW283" s="28" t="s">
        <v>319</v>
      </c>
      <c r="DX283" s="28" t="s">
        <v>319</v>
      </c>
      <c r="DY283" s="28" t="s">
        <v>319</v>
      </c>
      <c r="DZ283" s="28" t="s">
        <v>319</v>
      </c>
      <c r="EA283" s="28" t="s">
        <v>319</v>
      </c>
      <c r="EB283" s="28" t="s">
        <v>319</v>
      </c>
      <c r="EC283" s="28" t="s">
        <v>319</v>
      </c>
      <c r="ED283" s="28" t="s">
        <v>319</v>
      </c>
      <c r="EE283" s="28"/>
      <c r="EF283" s="28" t="s">
        <v>319</v>
      </c>
      <c r="EG283" s="28" t="s">
        <v>319</v>
      </c>
      <c r="EH283" s="28" t="s">
        <v>319</v>
      </c>
      <c r="EI283" s="28" t="s">
        <v>319</v>
      </c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7"/>
      <c r="FK283" s="15" t="s">
        <v>1056</v>
      </c>
      <c r="FL283" s="6"/>
      <c r="FM283" s="97"/>
    </row>
    <row r="284" spans="1:169" s="3" customFormat="1" ht="16.5" customHeight="1" x14ac:dyDescent="0.4">
      <c r="A284" s="93"/>
      <c r="B284" s="93"/>
      <c r="C284" s="26"/>
      <c r="D284" s="27" t="s">
        <v>319</v>
      </c>
      <c r="E284" s="2" t="s">
        <v>430</v>
      </c>
      <c r="F284" s="28" t="s">
        <v>319</v>
      </c>
      <c r="G284" s="28" t="s">
        <v>319</v>
      </c>
      <c r="H284" s="28" t="s">
        <v>319</v>
      </c>
      <c r="I284" s="6" t="s">
        <v>431</v>
      </c>
      <c r="J284" s="28" t="s">
        <v>319</v>
      </c>
      <c r="K284" s="28" t="s">
        <v>319</v>
      </c>
      <c r="L284" s="28" t="s">
        <v>319</v>
      </c>
      <c r="M284" s="28" t="s">
        <v>319</v>
      </c>
      <c r="N284" s="28" t="s">
        <v>319</v>
      </c>
      <c r="O284" s="28" t="s">
        <v>319</v>
      </c>
      <c r="P284" s="28" t="s">
        <v>319</v>
      </c>
      <c r="Q284" s="5" t="s">
        <v>721</v>
      </c>
      <c r="R284" s="5" t="s">
        <v>667</v>
      </c>
      <c r="S284" s="6" t="s">
        <v>678</v>
      </c>
      <c r="T284" s="5"/>
      <c r="U284" s="110">
        <v>304869.33333333331</v>
      </c>
      <c r="V284" s="5"/>
      <c r="W284" s="6" t="s">
        <v>665</v>
      </c>
      <c r="X284" s="5"/>
      <c r="Y284" s="111">
        <v>9.2379916566114364</v>
      </c>
      <c r="Z284" s="5"/>
      <c r="AA284" s="6" t="s">
        <v>963</v>
      </c>
      <c r="AB284" s="6"/>
      <c r="AC284" s="13">
        <v>8.3201404765825107</v>
      </c>
      <c r="AD284" s="6"/>
      <c r="AE284" s="6" t="s">
        <v>956</v>
      </c>
      <c r="AF284" s="6"/>
      <c r="AG284" s="13">
        <v>46.1</v>
      </c>
      <c r="AH284" s="6"/>
      <c r="AI284" s="6" t="s">
        <v>965</v>
      </c>
      <c r="AJ284" s="108"/>
      <c r="AK284" s="5">
        <v>0.01</v>
      </c>
      <c r="AL284" s="6"/>
      <c r="AM284" s="6" t="s">
        <v>1361</v>
      </c>
      <c r="AN284" s="6"/>
      <c r="AO284" s="5"/>
      <c r="AP284" s="6"/>
      <c r="AQ284" s="28" t="s">
        <v>319</v>
      </c>
      <c r="AR284" s="28" t="s">
        <v>319</v>
      </c>
      <c r="AS284" s="28" t="s">
        <v>319</v>
      </c>
      <c r="AT284" s="28" t="s">
        <v>319</v>
      </c>
      <c r="AU284" s="28" t="s">
        <v>319</v>
      </c>
      <c r="AV284" s="28" t="s">
        <v>319</v>
      </c>
      <c r="AW284" s="28" t="s">
        <v>319</v>
      </c>
      <c r="AX284" s="28" t="s">
        <v>319</v>
      </c>
      <c r="AY284" s="28" t="s">
        <v>319</v>
      </c>
      <c r="AZ284" s="28" t="s">
        <v>319</v>
      </c>
      <c r="BA284" s="28" t="s">
        <v>319</v>
      </c>
      <c r="BB284" s="6" t="s">
        <v>984</v>
      </c>
      <c r="BC284" s="106">
        <v>-47</v>
      </c>
      <c r="BD284" s="106">
        <v>100</v>
      </c>
      <c r="BE284" s="6" t="s">
        <v>1010</v>
      </c>
      <c r="BF284" s="6"/>
      <c r="BG284" s="12">
        <v>27</v>
      </c>
      <c r="BH284" s="28" t="s">
        <v>319</v>
      </c>
      <c r="BI284" s="28" t="s">
        <v>319</v>
      </c>
      <c r="BJ284" s="28" t="s">
        <v>319</v>
      </c>
      <c r="BK284" s="28" t="s">
        <v>319</v>
      </c>
      <c r="BL284" s="28" t="s">
        <v>319</v>
      </c>
      <c r="BM284" s="28" t="s">
        <v>319</v>
      </c>
      <c r="BN284" s="28" t="s">
        <v>319</v>
      </c>
      <c r="BO284" s="28" t="s">
        <v>319</v>
      </c>
      <c r="BP284" s="28" t="s">
        <v>319</v>
      </c>
      <c r="BQ284" s="28" t="s">
        <v>319</v>
      </c>
      <c r="BR284" s="5"/>
      <c r="BS284" s="5"/>
      <c r="BT284" s="6"/>
      <c r="BU284" s="5">
        <v>42.1</v>
      </c>
      <c r="BV284" s="244">
        <v>0.92200000000000004</v>
      </c>
      <c r="BW284" s="111">
        <v>1.22</v>
      </c>
      <c r="BX284" s="6"/>
      <c r="BY284" s="6"/>
      <c r="BZ284" s="30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9"/>
      <c r="DB284" s="6"/>
      <c r="DC284" s="30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 t="s">
        <v>319</v>
      </c>
      <c r="DO284" s="28" t="s">
        <v>319</v>
      </c>
      <c r="DP284" s="28" t="s">
        <v>319</v>
      </c>
      <c r="DQ284" s="28" t="s">
        <v>319</v>
      </c>
      <c r="DR284" s="28" t="s">
        <v>319</v>
      </c>
      <c r="DS284" s="28" t="s">
        <v>319</v>
      </c>
      <c r="DT284" s="28" t="s">
        <v>319</v>
      </c>
      <c r="DU284" s="28" t="s">
        <v>319</v>
      </c>
      <c r="DV284" s="28" t="s">
        <v>319</v>
      </c>
      <c r="DW284" s="28" t="s">
        <v>319</v>
      </c>
      <c r="DX284" s="28" t="s">
        <v>319</v>
      </c>
      <c r="DY284" s="28" t="s">
        <v>319</v>
      </c>
      <c r="DZ284" s="28" t="s">
        <v>319</v>
      </c>
      <c r="EA284" s="28" t="s">
        <v>319</v>
      </c>
      <c r="EB284" s="28" t="s">
        <v>319</v>
      </c>
      <c r="EC284" s="28" t="s">
        <v>319</v>
      </c>
      <c r="ED284" s="28" t="s">
        <v>319</v>
      </c>
      <c r="EE284" s="28"/>
      <c r="EF284" s="28" t="s">
        <v>319</v>
      </c>
      <c r="EG284" s="28" t="s">
        <v>319</v>
      </c>
      <c r="EH284" s="28" t="s">
        <v>319</v>
      </c>
      <c r="EI284" s="28" t="s">
        <v>319</v>
      </c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7"/>
      <c r="FK284" s="6"/>
      <c r="FL284" s="6"/>
      <c r="FM284" s="94"/>
    </row>
    <row r="285" spans="1:169" s="3" customFormat="1" ht="16.5" customHeight="1" x14ac:dyDescent="0.4">
      <c r="A285" s="93"/>
      <c r="B285" s="93"/>
      <c r="C285" s="26"/>
      <c r="D285" s="27"/>
      <c r="E285" s="2" t="s">
        <v>430</v>
      </c>
      <c r="F285" s="28" t="s">
        <v>319</v>
      </c>
      <c r="G285" s="28" t="s">
        <v>319</v>
      </c>
      <c r="H285" s="28" t="s">
        <v>319</v>
      </c>
      <c r="I285" s="6" t="s">
        <v>431</v>
      </c>
      <c r="J285" s="28" t="s">
        <v>319</v>
      </c>
      <c r="K285" s="28" t="s">
        <v>319</v>
      </c>
      <c r="L285" s="28" t="s">
        <v>319</v>
      </c>
      <c r="M285" s="28" t="s">
        <v>319</v>
      </c>
      <c r="N285" s="28" t="s">
        <v>319</v>
      </c>
      <c r="O285" s="28" t="s">
        <v>319</v>
      </c>
      <c r="P285" s="28" t="s">
        <v>319</v>
      </c>
      <c r="Q285" s="5" t="s">
        <v>721</v>
      </c>
      <c r="R285" s="5" t="s">
        <v>667</v>
      </c>
      <c r="S285" s="6" t="s">
        <v>664</v>
      </c>
      <c r="T285" s="5"/>
      <c r="U285" s="110">
        <v>526324.66666666663</v>
      </c>
      <c r="V285" s="5"/>
      <c r="W285" s="6" t="s">
        <v>665</v>
      </c>
      <c r="X285" s="5"/>
      <c r="Y285" s="111">
        <v>21.246337537991373</v>
      </c>
      <c r="Z285" s="5"/>
      <c r="AA285" s="6" t="s">
        <v>955</v>
      </c>
      <c r="AB285" s="6"/>
      <c r="AC285" s="13">
        <v>20.001075529147478</v>
      </c>
      <c r="AD285" s="6"/>
      <c r="AE285" s="6" t="s">
        <v>956</v>
      </c>
      <c r="AF285" s="6"/>
      <c r="AG285" s="13">
        <v>84.4</v>
      </c>
      <c r="AH285" s="6"/>
      <c r="AI285" s="6" t="s">
        <v>957</v>
      </c>
      <c r="AJ285" s="108"/>
      <c r="AK285" s="5">
        <v>0.01</v>
      </c>
      <c r="AL285" s="6"/>
      <c r="AM285" s="6" t="s">
        <v>1361</v>
      </c>
      <c r="AN285" s="6"/>
      <c r="AO285" s="5"/>
      <c r="AP285" s="6"/>
      <c r="AQ285" s="28" t="s">
        <v>319</v>
      </c>
      <c r="AR285" s="28" t="s">
        <v>319</v>
      </c>
      <c r="AS285" s="28" t="s">
        <v>319</v>
      </c>
      <c r="AT285" s="28" t="s">
        <v>319</v>
      </c>
      <c r="AU285" s="28" t="s">
        <v>319</v>
      </c>
      <c r="AV285" s="28" t="s">
        <v>319</v>
      </c>
      <c r="AW285" s="28" t="s">
        <v>319</v>
      </c>
      <c r="AX285" s="28" t="s">
        <v>319</v>
      </c>
      <c r="AY285" s="28" t="s">
        <v>319</v>
      </c>
      <c r="AZ285" s="28" t="s">
        <v>319</v>
      </c>
      <c r="BA285" s="28" t="s">
        <v>319</v>
      </c>
      <c r="BB285" s="6" t="s">
        <v>984</v>
      </c>
      <c r="BC285" s="106">
        <v>-47</v>
      </c>
      <c r="BD285" s="106">
        <v>100</v>
      </c>
      <c r="BE285" s="6" t="s">
        <v>1008</v>
      </c>
      <c r="BF285" s="6"/>
      <c r="BG285" s="12">
        <v>27</v>
      </c>
      <c r="BH285" s="28" t="s">
        <v>319</v>
      </c>
      <c r="BI285" s="28" t="s">
        <v>319</v>
      </c>
      <c r="BJ285" s="28" t="s">
        <v>319</v>
      </c>
      <c r="BK285" s="28" t="s">
        <v>319</v>
      </c>
      <c r="BL285" s="28" t="s">
        <v>319</v>
      </c>
      <c r="BM285" s="28" t="s">
        <v>319</v>
      </c>
      <c r="BN285" s="28" t="s">
        <v>319</v>
      </c>
      <c r="BO285" s="28" t="s">
        <v>319</v>
      </c>
      <c r="BP285" s="28" t="s">
        <v>319</v>
      </c>
      <c r="BQ285" s="28" t="s">
        <v>319</v>
      </c>
      <c r="BR285" s="5"/>
      <c r="BS285" s="5"/>
      <c r="BT285" s="6"/>
      <c r="BU285" s="5">
        <v>42.1</v>
      </c>
      <c r="BV285" s="244">
        <v>0.92100000000000004</v>
      </c>
      <c r="BW285" s="111">
        <v>1.22</v>
      </c>
      <c r="BX285" s="6"/>
      <c r="BY285" s="6"/>
      <c r="BZ285" s="30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9"/>
      <c r="DB285" s="6"/>
      <c r="DC285" s="30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7"/>
      <c r="FK285" s="6"/>
      <c r="FL285" s="6"/>
      <c r="FM285" s="94"/>
    </row>
    <row r="286" spans="1:169" s="3" customFormat="1" ht="16.5" customHeight="1" x14ac:dyDescent="0.4">
      <c r="A286" s="93"/>
      <c r="B286" s="93"/>
      <c r="C286" s="26"/>
      <c r="D286" s="27"/>
      <c r="E286" s="2" t="s">
        <v>430</v>
      </c>
      <c r="F286" s="28" t="s">
        <v>319</v>
      </c>
      <c r="G286" s="28" t="s">
        <v>319</v>
      </c>
      <c r="H286" s="28" t="s">
        <v>319</v>
      </c>
      <c r="I286" s="6" t="s">
        <v>431</v>
      </c>
      <c r="J286" s="28" t="s">
        <v>319</v>
      </c>
      <c r="K286" s="28" t="s">
        <v>319</v>
      </c>
      <c r="L286" s="28" t="s">
        <v>319</v>
      </c>
      <c r="M286" s="28" t="s">
        <v>319</v>
      </c>
      <c r="N286" s="28" t="s">
        <v>319</v>
      </c>
      <c r="O286" s="28" t="s">
        <v>319</v>
      </c>
      <c r="P286" s="28" t="s">
        <v>319</v>
      </c>
      <c r="Q286" s="5" t="s">
        <v>721</v>
      </c>
      <c r="R286" s="5" t="s">
        <v>667</v>
      </c>
      <c r="S286" s="6" t="s">
        <v>664</v>
      </c>
      <c r="T286" s="5"/>
      <c r="U286" s="110">
        <v>396329.7</v>
      </c>
      <c r="V286" s="5"/>
      <c r="W286" s="6" t="s">
        <v>665</v>
      </c>
      <c r="X286" s="5"/>
      <c r="Y286" s="111">
        <v>8.6390978542242109</v>
      </c>
      <c r="Z286" s="5"/>
      <c r="AA286" s="6" t="s">
        <v>955</v>
      </c>
      <c r="AB286" s="6"/>
      <c r="AC286" s="13">
        <v>7.6152020699541954</v>
      </c>
      <c r="AD286" s="6"/>
      <c r="AE286" s="6" t="s">
        <v>956</v>
      </c>
      <c r="AF286" s="6"/>
      <c r="AG286" s="13">
        <v>46.1</v>
      </c>
      <c r="AH286" s="6"/>
      <c r="AI286" s="6" t="s">
        <v>957</v>
      </c>
      <c r="AJ286" s="108"/>
      <c r="AK286" s="5">
        <v>0.01</v>
      </c>
      <c r="AL286" s="6"/>
      <c r="AM286" s="6" t="s">
        <v>1361</v>
      </c>
      <c r="AN286" s="6"/>
      <c r="AO286" s="5"/>
      <c r="AP286" s="6"/>
      <c r="AQ286" s="28" t="s">
        <v>319</v>
      </c>
      <c r="AR286" s="28" t="s">
        <v>319</v>
      </c>
      <c r="AS286" s="28" t="s">
        <v>319</v>
      </c>
      <c r="AT286" s="28" t="s">
        <v>319</v>
      </c>
      <c r="AU286" s="28" t="s">
        <v>319</v>
      </c>
      <c r="AV286" s="28" t="s">
        <v>319</v>
      </c>
      <c r="AW286" s="28" t="s">
        <v>319</v>
      </c>
      <c r="AX286" s="28" t="s">
        <v>319</v>
      </c>
      <c r="AY286" s="28" t="s">
        <v>319</v>
      </c>
      <c r="AZ286" s="28" t="s">
        <v>319</v>
      </c>
      <c r="BA286" s="28" t="s">
        <v>319</v>
      </c>
      <c r="BB286" s="6" t="s">
        <v>984</v>
      </c>
      <c r="BC286" s="106">
        <v>-47</v>
      </c>
      <c r="BD286" s="106">
        <v>100</v>
      </c>
      <c r="BE286" s="6" t="s">
        <v>1008</v>
      </c>
      <c r="BF286" s="6"/>
      <c r="BG286" s="12">
        <v>27</v>
      </c>
      <c r="BH286" s="28" t="s">
        <v>319</v>
      </c>
      <c r="BI286" s="28" t="s">
        <v>319</v>
      </c>
      <c r="BJ286" s="28" t="s">
        <v>319</v>
      </c>
      <c r="BK286" s="28" t="s">
        <v>319</v>
      </c>
      <c r="BL286" s="28" t="s">
        <v>319</v>
      </c>
      <c r="BM286" s="28" t="s">
        <v>319</v>
      </c>
      <c r="BN286" s="28" t="s">
        <v>319</v>
      </c>
      <c r="BO286" s="28" t="s">
        <v>319</v>
      </c>
      <c r="BP286" s="28" t="s">
        <v>319</v>
      </c>
      <c r="BQ286" s="28" t="s">
        <v>319</v>
      </c>
      <c r="BR286" s="5"/>
      <c r="BS286" s="5"/>
      <c r="BT286" s="6"/>
      <c r="BU286" s="5">
        <v>42.1</v>
      </c>
      <c r="BV286" s="244">
        <v>0.92200000000000004</v>
      </c>
      <c r="BW286" s="111">
        <v>1.22</v>
      </c>
      <c r="BX286" s="6"/>
      <c r="BY286" s="6"/>
      <c r="BZ286" s="30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9"/>
      <c r="DB286" s="6"/>
      <c r="DC286" s="30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7"/>
      <c r="FK286" s="6"/>
      <c r="FL286" s="6"/>
      <c r="FM286" s="94"/>
    </row>
    <row r="287" spans="1:169" s="3" customFormat="1" ht="16.5" customHeight="1" x14ac:dyDescent="0.4">
      <c r="A287" s="93"/>
      <c r="B287" s="93"/>
      <c r="C287" s="26"/>
      <c r="D287" s="27"/>
      <c r="E287" s="2" t="s">
        <v>430</v>
      </c>
      <c r="F287" s="28" t="s">
        <v>319</v>
      </c>
      <c r="G287" s="28" t="s">
        <v>319</v>
      </c>
      <c r="H287" s="28" t="s">
        <v>319</v>
      </c>
      <c r="I287" s="6" t="s">
        <v>431</v>
      </c>
      <c r="J287" s="28" t="s">
        <v>319</v>
      </c>
      <c r="K287" s="28" t="s">
        <v>319</v>
      </c>
      <c r="L287" s="28" t="s">
        <v>319</v>
      </c>
      <c r="M287" s="28" t="s">
        <v>319</v>
      </c>
      <c r="N287" s="28" t="s">
        <v>319</v>
      </c>
      <c r="O287" s="28" t="s">
        <v>319</v>
      </c>
      <c r="P287" s="28" t="s">
        <v>319</v>
      </c>
      <c r="Q287" s="5" t="s">
        <v>721</v>
      </c>
      <c r="R287" s="5" t="s">
        <v>667</v>
      </c>
      <c r="S287" s="6" t="s">
        <v>664</v>
      </c>
      <c r="T287" s="5"/>
      <c r="U287" s="110">
        <v>684221.20000000007</v>
      </c>
      <c r="V287" s="5"/>
      <c r="W287" s="6" t="s">
        <v>665</v>
      </c>
      <c r="X287" s="5"/>
      <c r="Y287" s="111">
        <v>20.307664061987847</v>
      </c>
      <c r="Z287" s="5"/>
      <c r="AA287" s="6" t="s">
        <v>955</v>
      </c>
      <c r="AB287" s="6"/>
      <c r="AC287" s="13">
        <v>18.802214664551141</v>
      </c>
      <c r="AD287" s="6"/>
      <c r="AE287" s="6" t="s">
        <v>956</v>
      </c>
      <c r="AF287" s="6"/>
      <c r="AG287" s="13">
        <v>84.4</v>
      </c>
      <c r="AH287" s="6"/>
      <c r="AI287" s="6" t="s">
        <v>957</v>
      </c>
      <c r="AJ287" s="108"/>
      <c r="AK287" s="5">
        <v>0.01</v>
      </c>
      <c r="AL287" s="6"/>
      <c r="AM287" s="6" t="s">
        <v>1361</v>
      </c>
      <c r="AN287" s="6"/>
      <c r="AO287" s="5"/>
      <c r="AP287" s="6"/>
      <c r="AQ287" s="28" t="s">
        <v>319</v>
      </c>
      <c r="AR287" s="28" t="s">
        <v>319</v>
      </c>
      <c r="AS287" s="28" t="s">
        <v>319</v>
      </c>
      <c r="AT287" s="28" t="s">
        <v>319</v>
      </c>
      <c r="AU287" s="28" t="s">
        <v>319</v>
      </c>
      <c r="AV287" s="28" t="s">
        <v>319</v>
      </c>
      <c r="AW287" s="28" t="s">
        <v>319</v>
      </c>
      <c r="AX287" s="28" t="s">
        <v>319</v>
      </c>
      <c r="AY287" s="28" t="s">
        <v>319</v>
      </c>
      <c r="AZ287" s="28" t="s">
        <v>319</v>
      </c>
      <c r="BA287" s="28" t="s">
        <v>319</v>
      </c>
      <c r="BB287" s="6" t="s">
        <v>984</v>
      </c>
      <c r="BC287" s="106">
        <v>-47</v>
      </c>
      <c r="BD287" s="106">
        <v>100</v>
      </c>
      <c r="BE287" s="6" t="s">
        <v>1008</v>
      </c>
      <c r="BF287" s="6"/>
      <c r="BG287" s="12">
        <v>27</v>
      </c>
      <c r="BH287" s="28" t="s">
        <v>319</v>
      </c>
      <c r="BI287" s="28" t="s">
        <v>319</v>
      </c>
      <c r="BJ287" s="28" t="s">
        <v>319</v>
      </c>
      <c r="BK287" s="28" t="s">
        <v>319</v>
      </c>
      <c r="BL287" s="28" t="s">
        <v>319</v>
      </c>
      <c r="BM287" s="28" t="s">
        <v>319</v>
      </c>
      <c r="BN287" s="28" t="s">
        <v>319</v>
      </c>
      <c r="BO287" s="28" t="s">
        <v>319</v>
      </c>
      <c r="BP287" s="28" t="s">
        <v>319</v>
      </c>
      <c r="BQ287" s="28" t="s">
        <v>319</v>
      </c>
      <c r="BR287" s="5"/>
      <c r="BS287" s="5"/>
      <c r="BT287" s="6"/>
      <c r="BU287" s="5">
        <v>42.1</v>
      </c>
      <c r="BV287" s="244">
        <v>0.92100000000000004</v>
      </c>
      <c r="BW287" s="111">
        <v>1.22</v>
      </c>
      <c r="BX287" s="6"/>
      <c r="BY287" s="6"/>
      <c r="BZ287" s="30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9"/>
      <c r="DB287" s="6"/>
      <c r="DC287" s="30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7"/>
      <c r="FK287" s="6"/>
      <c r="FL287" s="6"/>
      <c r="FM287" s="94"/>
    </row>
    <row r="288" spans="1:169" s="3" customFormat="1" ht="34.799999999999997" x14ac:dyDescent="0.4">
      <c r="A288" s="93"/>
      <c r="B288" s="93"/>
      <c r="C288" s="26"/>
      <c r="D288" s="27" t="s">
        <v>319</v>
      </c>
      <c r="E288" s="2" t="s">
        <v>434</v>
      </c>
      <c r="F288" s="28" t="s">
        <v>319</v>
      </c>
      <c r="G288" s="28" t="s">
        <v>319</v>
      </c>
      <c r="H288" s="28" t="s">
        <v>319</v>
      </c>
      <c r="I288" s="6" t="s">
        <v>431</v>
      </c>
      <c r="J288" s="28" t="s">
        <v>319</v>
      </c>
      <c r="K288" s="28" t="s">
        <v>319</v>
      </c>
      <c r="L288" s="28" t="s">
        <v>319</v>
      </c>
      <c r="M288" s="28" t="s">
        <v>319</v>
      </c>
      <c r="N288" s="28" t="s">
        <v>319</v>
      </c>
      <c r="O288" s="28" t="s">
        <v>319</v>
      </c>
      <c r="P288" s="28" t="s">
        <v>319</v>
      </c>
      <c r="Q288" s="5" t="s">
        <v>721</v>
      </c>
      <c r="R288" s="5" t="s">
        <v>663</v>
      </c>
      <c r="S288" s="6" t="s">
        <v>669</v>
      </c>
      <c r="T288" s="5"/>
      <c r="U288" s="106">
        <v>50000</v>
      </c>
      <c r="V288" s="106">
        <v>55000</v>
      </c>
      <c r="W288" s="6" t="s">
        <v>665</v>
      </c>
      <c r="X288" s="5"/>
      <c r="Y288" s="223" t="s">
        <v>1466</v>
      </c>
      <c r="Z288" s="222">
        <v>23.01</v>
      </c>
      <c r="AA288" s="6" t="s">
        <v>968</v>
      </c>
      <c r="AB288" s="6"/>
      <c r="AC288" s="228" t="s">
        <v>1467</v>
      </c>
      <c r="AD288" s="6">
        <v>0.69999999999999929</v>
      </c>
      <c r="AE288" s="6" t="s">
        <v>956</v>
      </c>
      <c r="AF288" s="6"/>
      <c r="AG288" s="5" t="s">
        <v>1390</v>
      </c>
      <c r="AH288" s="6"/>
      <c r="AI288" s="6" t="s">
        <v>965</v>
      </c>
      <c r="AJ288" s="108"/>
      <c r="AK288" s="5" t="s">
        <v>1391</v>
      </c>
      <c r="AL288" s="6"/>
      <c r="AM288" s="6" t="s">
        <v>958</v>
      </c>
      <c r="AN288" s="6"/>
      <c r="AO288" s="5" t="s">
        <v>1392</v>
      </c>
      <c r="AP288" s="6"/>
      <c r="AQ288" s="28" t="s">
        <v>319</v>
      </c>
      <c r="AR288" s="28" t="s">
        <v>319</v>
      </c>
      <c r="AS288" s="28" t="s">
        <v>319</v>
      </c>
      <c r="AT288" s="28" t="s">
        <v>319</v>
      </c>
      <c r="AU288" s="28" t="s">
        <v>319</v>
      </c>
      <c r="AV288" s="28" t="s">
        <v>319</v>
      </c>
      <c r="AW288" s="28" t="s">
        <v>319</v>
      </c>
      <c r="AX288" s="28" t="s">
        <v>319</v>
      </c>
      <c r="AY288" s="28" t="s">
        <v>319</v>
      </c>
      <c r="AZ288" s="28" t="s">
        <v>319</v>
      </c>
      <c r="BA288" s="28" t="s">
        <v>319</v>
      </c>
      <c r="BB288" s="6" t="s">
        <v>984</v>
      </c>
      <c r="BC288" s="106">
        <v>-47</v>
      </c>
      <c r="BD288" s="106">
        <v>65</v>
      </c>
      <c r="BE288" s="6" t="s">
        <v>1008</v>
      </c>
      <c r="BF288" s="6"/>
      <c r="BG288" s="12">
        <v>40.799999999999997</v>
      </c>
      <c r="BH288" s="28" t="s">
        <v>319</v>
      </c>
      <c r="BI288" s="28" t="s">
        <v>319</v>
      </c>
      <c r="BJ288" s="28" t="s">
        <v>319</v>
      </c>
      <c r="BK288" s="28" t="s">
        <v>319</v>
      </c>
      <c r="BL288" s="28" t="s">
        <v>319</v>
      </c>
      <c r="BM288" s="28" t="s">
        <v>319</v>
      </c>
      <c r="BN288" s="28" t="s">
        <v>319</v>
      </c>
      <c r="BO288" s="28" t="s">
        <v>319</v>
      </c>
      <c r="BP288" s="28" t="s">
        <v>319</v>
      </c>
      <c r="BQ288" s="28" t="s">
        <v>319</v>
      </c>
      <c r="BR288" s="12">
        <v>47.1</v>
      </c>
      <c r="BS288" s="5" t="s">
        <v>1393</v>
      </c>
      <c r="BT288" s="6"/>
      <c r="BU288" s="5"/>
      <c r="BV288" s="6"/>
      <c r="BW288" s="111"/>
      <c r="BX288" s="6"/>
      <c r="BY288" s="6"/>
      <c r="BZ288" s="30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9"/>
      <c r="DB288" s="6" t="s">
        <v>1052</v>
      </c>
      <c r="DC288" s="30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 t="s">
        <v>319</v>
      </c>
      <c r="DO288" s="28" t="s">
        <v>319</v>
      </c>
      <c r="DP288" s="28" t="s">
        <v>319</v>
      </c>
      <c r="DQ288" s="28" t="s">
        <v>319</v>
      </c>
      <c r="DR288" s="28" t="s">
        <v>319</v>
      </c>
      <c r="DS288" s="28" t="s">
        <v>319</v>
      </c>
      <c r="DT288" s="28" t="s">
        <v>319</v>
      </c>
      <c r="DU288" s="28" t="s">
        <v>319</v>
      </c>
      <c r="DV288" s="28" t="s">
        <v>319</v>
      </c>
      <c r="DW288" s="28" t="s">
        <v>319</v>
      </c>
      <c r="DX288" s="28" t="s">
        <v>319</v>
      </c>
      <c r="DY288" s="28" t="s">
        <v>319</v>
      </c>
      <c r="DZ288" s="28" t="s">
        <v>319</v>
      </c>
      <c r="EA288" s="28" t="s">
        <v>319</v>
      </c>
      <c r="EB288" s="28" t="s">
        <v>319</v>
      </c>
      <c r="EC288" s="28" t="s">
        <v>319</v>
      </c>
      <c r="ED288" s="28" t="s">
        <v>319</v>
      </c>
      <c r="EE288" s="28"/>
      <c r="EF288" s="28" t="s">
        <v>319</v>
      </c>
      <c r="EG288" s="28" t="s">
        <v>319</v>
      </c>
      <c r="EH288" s="28" t="s">
        <v>319</v>
      </c>
      <c r="EI288" s="28" t="s">
        <v>319</v>
      </c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7"/>
      <c r="FK288" s="6"/>
      <c r="FL288" s="6"/>
      <c r="FM288" s="97"/>
    </row>
    <row r="289" spans="1:169" s="3" customFormat="1" x14ac:dyDescent="0.4">
      <c r="A289" s="93"/>
      <c r="B289" s="93"/>
      <c r="C289" s="26"/>
      <c r="D289" s="27" t="s">
        <v>319</v>
      </c>
      <c r="E289" s="2" t="s">
        <v>479</v>
      </c>
      <c r="F289" s="28" t="s">
        <v>319</v>
      </c>
      <c r="G289" s="28" t="s">
        <v>319</v>
      </c>
      <c r="H289" s="28" t="s">
        <v>319</v>
      </c>
      <c r="I289" s="6" t="s">
        <v>431</v>
      </c>
      <c r="J289" s="28" t="s">
        <v>319</v>
      </c>
      <c r="K289" s="28" t="s">
        <v>319</v>
      </c>
      <c r="L289" s="28" t="s">
        <v>319</v>
      </c>
      <c r="M289" s="28" t="s">
        <v>319</v>
      </c>
      <c r="N289" s="28" t="s">
        <v>319</v>
      </c>
      <c r="O289" s="28" t="s">
        <v>319</v>
      </c>
      <c r="P289" s="28" t="s">
        <v>319</v>
      </c>
      <c r="Q289" s="5" t="s">
        <v>721</v>
      </c>
      <c r="R289" s="5" t="s">
        <v>663</v>
      </c>
      <c r="S289" s="6" t="s">
        <v>672</v>
      </c>
      <c r="T289" s="5" t="s">
        <v>941</v>
      </c>
      <c r="U289" s="5" t="s">
        <v>942</v>
      </c>
      <c r="V289" s="106">
        <v>641369</v>
      </c>
      <c r="W289" s="6" t="s">
        <v>665</v>
      </c>
      <c r="X289" s="105">
        <v>3.48</v>
      </c>
      <c r="Y289" s="105">
        <v>3.33</v>
      </c>
      <c r="Z289" s="105">
        <v>3.17</v>
      </c>
      <c r="AA289" s="6" t="s">
        <v>963</v>
      </c>
      <c r="AB289" s="6">
        <v>1.65</v>
      </c>
      <c r="AC289" s="6">
        <v>1.48</v>
      </c>
      <c r="AD289" s="6">
        <v>1.41</v>
      </c>
      <c r="AE289" s="6" t="s">
        <v>956</v>
      </c>
      <c r="AF289" s="6"/>
      <c r="AG289" s="12">
        <v>-14.4</v>
      </c>
      <c r="AH289" s="6"/>
      <c r="AI289" s="6" t="s">
        <v>965</v>
      </c>
      <c r="AJ289" s="108"/>
      <c r="AK289" s="108">
        <v>0.124</v>
      </c>
      <c r="AL289" s="6"/>
      <c r="AM289" s="6" t="s">
        <v>958</v>
      </c>
      <c r="AN289" s="6"/>
      <c r="AO289" s="105">
        <v>4.1500000000000004</v>
      </c>
      <c r="AP289" s="6"/>
      <c r="AQ289" s="28" t="s">
        <v>319</v>
      </c>
      <c r="AR289" s="28" t="s">
        <v>319</v>
      </c>
      <c r="AS289" s="28" t="s">
        <v>319</v>
      </c>
      <c r="AT289" s="28" t="s">
        <v>319</v>
      </c>
      <c r="AU289" s="28" t="s">
        <v>319</v>
      </c>
      <c r="AV289" s="28" t="s">
        <v>319</v>
      </c>
      <c r="AW289" s="28" t="s">
        <v>319</v>
      </c>
      <c r="AX289" s="28" t="s">
        <v>319</v>
      </c>
      <c r="AY289" s="28" t="s">
        <v>319</v>
      </c>
      <c r="AZ289" s="28" t="s">
        <v>319</v>
      </c>
      <c r="BA289" s="28" t="s">
        <v>319</v>
      </c>
      <c r="BB289" s="6" t="s">
        <v>984</v>
      </c>
      <c r="BC289" s="106">
        <v>-47</v>
      </c>
      <c r="BD289" s="106">
        <v>65</v>
      </c>
      <c r="BE289" s="6" t="s">
        <v>1008</v>
      </c>
      <c r="BF289" s="6"/>
      <c r="BG289" s="12">
        <v>18</v>
      </c>
      <c r="BH289" s="28" t="s">
        <v>319</v>
      </c>
      <c r="BI289" s="28" t="s">
        <v>319</v>
      </c>
      <c r="BJ289" s="28" t="s">
        <v>319</v>
      </c>
      <c r="BK289" s="28" t="s">
        <v>319</v>
      </c>
      <c r="BL289" s="28" t="s">
        <v>319</v>
      </c>
      <c r="BM289" s="28" t="s">
        <v>319</v>
      </c>
      <c r="BN289" s="28" t="s">
        <v>319</v>
      </c>
      <c r="BO289" s="28" t="s">
        <v>319</v>
      </c>
      <c r="BP289" s="28" t="s">
        <v>319</v>
      </c>
      <c r="BQ289" s="28" t="s">
        <v>319</v>
      </c>
      <c r="BR289" s="12">
        <v>47.1</v>
      </c>
      <c r="BS289" s="12">
        <v>566</v>
      </c>
      <c r="BT289" s="6"/>
      <c r="BU289" s="5"/>
      <c r="BV289" s="6"/>
      <c r="BW289" s="111"/>
      <c r="BX289" s="6"/>
      <c r="BY289" s="6"/>
      <c r="BZ289" s="30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9"/>
      <c r="DB289" s="6"/>
      <c r="DC289" s="30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 t="s">
        <v>319</v>
      </c>
      <c r="DO289" s="28" t="s">
        <v>319</v>
      </c>
      <c r="DP289" s="28" t="s">
        <v>319</v>
      </c>
      <c r="DQ289" s="28" t="s">
        <v>319</v>
      </c>
      <c r="DR289" s="28" t="s">
        <v>319</v>
      </c>
      <c r="DS289" s="28" t="s">
        <v>319</v>
      </c>
      <c r="DT289" s="28" t="s">
        <v>319</v>
      </c>
      <c r="DU289" s="28" t="s">
        <v>319</v>
      </c>
      <c r="DV289" s="28" t="s">
        <v>319</v>
      </c>
      <c r="DW289" s="28" t="s">
        <v>319</v>
      </c>
      <c r="DX289" s="28" t="s">
        <v>319</v>
      </c>
      <c r="DY289" s="28" t="s">
        <v>319</v>
      </c>
      <c r="DZ289" s="28" t="s">
        <v>319</v>
      </c>
      <c r="EA289" s="28" t="s">
        <v>319</v>
      </c>
      <c r="EB289" s="28" t="s">
        <v>319</v>
      </c>
      <c r="EC289" s="28" t="s">
        <v>319</v>
      </c>
      <c r="ED289" s="28" t="s">
        <v>319</v>
      </c>
      <c r="EE289" s="28"/>
      <c r="EF289" s="28" t="s">
        <v>319</v>
      </c>
      <c r="EG289" s="28" t="s">
        <v>319</v>
      </c>
      <c r="EH289" s="28" t="s">
        <v>319</v>
      </c>
      <c r="EI289" s="28" t="s">
        <v>319</v>
      </c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7"/>
      <c r="FK289" s="6"/>
      <c r="FL289" s="6"/>
      <c r="FM289" s="97"/>
    </row>
    <row r="290" spans="1:169" s="3" customFormat="1" x14ac:dyDescent="0.4">
      <c r="A290" s="93"/>
      <c r="B290" s="93"/>
      <c r="C290" s="26"/>
      <c r="D290" s="27" t="s">
        <v>319</v>
      </c>
      <c r="E290" s="2" t="s">
        <v>551</v>
      </c>
      <c r="F290" s="28" t="s">
        <v>319</v>
      </c>
      <c r="G290" s="28" t="s">
        <v>319</v>
      </c>
      <c r="H290" s="28" t="s">
        <v>319</v>
      </c>
      <c r="I290" s="6" t="s">
        <v>431</v>
      </c>
      <c r="J290" s="28" t="s">
        <v>319</v>
      </c>
      <c r="K290" s="28" t="s">
        <v>319</v>
      </c>
      <c r="L290" s="28" t="s">
        <v>319</v>
      </c>
      <c r="M290" s="28" t="s">
        <v>319</v>
      </c>
      <c r="N290" s="28" t="s">
        <v>319</v>
      </c>
      <c r="O290" s="28" t="s">
        <v>319</v>
      </c>
      <c r="P290" s="28" t="s">
        <v>319</v>
      </c>
      <c r="Q290" s="5" t="s">
        <v>780</v>
      </c>
      <c r="R290" s="5" t="s">
        <v>943</v>
      </c>
      <c r="S290" s="6" t="s">
        <v>672</v>
      </c>
      <c r="T290" s="5"/>
      <c r="U290" s="5">
        <f>0.03*525300</f>
        <v>15759</v>
      </c>
      <c r="V290" s="5"/>
      <c r="W290" s="6" t="s">
        <v>665</v>
      </c>
      <c r="X290" s="105"/>
      <c r="Y290" s="105">
        <f>0.78+0.5</f>
        <v>1.28</v>
      </c>
      <c r="Z290" s="105"/>
      <c r="AA290" s="6" t="s">
        <v>963</v>
      </c>
      <c r="AB290" s="6"/>
      <c r="AC290" s="6" t="s">
        <v>1077</v>
      </c>
      <c r="AD290" s="6"/>
      <c r="AE290" s="6" t="s">
        <v>956</v>
      </c>
      <c r="AF290" s="6"/>
      <c r="AG290" s="12">
        <v>-34.1</v>
      </c>
      <c r="AH290" s="6"/>
      <c r="AI290" s="6" t="s">
        <v>965</v>
      </c>
      <c r="AJ290" s="108"/>
      <c r="AK290" s="5">
        <v>6.8999999999999999E-3</v>
      </c>
      <c r="AL290" s="6"/>
      <c r="AM290" s="6" t="s">
        <v>958</v>
      </c>
      <c r="AN290" s="6"/>
      <c r="AO290" s="105"/>
      <c r="AP290" s="6"/>
      <c r="AQ290" s="28" t="s">
        <v>319</v>
      </c>
      <c r="AR290" s="28" t="s">
        <v>319</v>
      </c>
      <c r="AS290" s="28" t="s">
        <v>319</v>
      </c>
      <c r="AT290" s="28" t="s">
        <v>319</v>
      </c>
      <c r="AU290" s="28" t="s">
        <v>319</v>
      </c>
      <c r="AV290" s="28" t="s">
        <v>319</v>
      </c>
      <c r="AW290" s="28" t="s">
        <v>319</v>
      </c>
      <c r="AX290" s="28" t="s">
        <v>319</v>
      </c>
      <c r="AY290" s="28" t="s">
        <v>319</v>
      </c>
      <c r="AZ290" s="28" t="s">
        <v>319</v>
      </c>
      <c r="BA290" s="28" t="s">
        <v>319</v>
      </c>
      <c r="BB290" s="6" t="s">
        <v>984</v>
      </c>
      <c r="BC290" s="106">
        <v>-47</v>
      </c>
      <c r="BD290" s="5">
        <v>65</v>
      </c>
      <c r="BE290" s="6" t="s">
        <v>1014</v>
      </c>
      <c r="BF290" s="6"/>
      <c r="BG290" s="13">
        <v>18</v>
      </c>
      <c r="BH290" s="28" t="s">
        <v>319</v>
      </c>
      <c r="BI290" s="28" t="s">
        <v>319</v>
      </c>
      <c r="BJ290" s="28" t="s">
        <v>319</v>
      </c>
      <c r="BK290" s="28" t="s">
        <v>319</v>
      </c>
      <c r="BL290" s="28" t="s">
        <v>319</v>
      </c>
      <c r="BM290" s="28" t="s">
        <v>319</v>
      </c>
      <c r="BN290" s="28" t="s">
        <v>319</v>
      </c>
      <c r="BO290" s="28" t="s">
        <v>319</v>
      </c>
      <c r="BP290" s="28" t="s">
        <v>319</v>
      </c>
      <c r="BQ290" s="28" t="s">
        <v>319</v>
      </c>
      <c r="BR290" s="12"/>
      <c r="BS290" s="12"/>
      <c r="BT290" s="6"/>
      <c r="BU290" s="13">
        <v>42.09</v>
      </c>
      <c r="BV290" s="5">
        <v>0.95399999999999996</v>
      </c>
      <c r="BW290" s="111">
        <v>1.1970000000000001</v>
      </c>
      <c r="BX290" s="6"/>
      <c r="BY290" s="6"/>
      <c r="BZ290" s="30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9"/>
      <c r="DB290" s="6"/>
      <c r="DC290" s="30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 t="s">
        <v>319</v>
      </c>
      <c r="DO290" s="28" t="s">
        <v>319</v>
      </c>
      <c r="DP290" s="28" t="s">
        <v>319</v>
      </c>
      <c r="DQ290" s="28" t="s">
        <v>319</v>
      </c>
      <c r="DR290" s="28" t="s">
        <v>319</v>
      </c>
      <c r="DS290" s="28" t="s">
        <v>319</v>
      </c>
      <c r="DT290" s="28" t="s">
        <v>319</v>
      </c>
      <c r="DU290" s="28" t="s">
        <v>319</v>
      </c>
      <c r="DV290" s="28" t="s">
        <v>319</v>
      </c>
      <c r="DW290" s="28" t="s">
        <v>319</v>
      </c>
      <c r="DX290" s="28" t="s">
        <v>319</v>
      </c>
      <c r="DY290" s="28" t="s">
        <v>319</v>
      </c>
      <c r="DZ290" s="28" t="s">
        <v>319</v>
      </c>
      <c r="EA290" s="28" t="s">
        <v>319</v>
      </c>
      <c r="EB290" s="28" t="s">
        <v>319</v>
      </c>
      <c r="EC290" s="28" t="s">
        <v>319</v>
      </c>
      <c r="ED290" s="28" t="s">
        <v>319</v>
      </c>
      <c r="EE290" s="28"/>
      <c r="EF290" s="28" t="s">
        <v>319</v>
      </c>
      <c r="EG290" s="28" t="s">
        <v>319</v>
      </c>
      <c r="EH290" s="28" t="s">
        <v>319</v>
      </c>
      <c r="EI290" s="28" t="s">
        <v>319</v>
      </c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7"/>
      <c r="FK290" s="6"/>
      <c r="FL290" s="6"/>
      <c r="FM290" s="94"/>
    </row>
    <row r="291" spans="1:169" s="3" customFormat="1" ht="16.5" customHeight="1" x14ac:dyDescent="0.4">
      <c r="A291" s="93"/>
      <c r="B291" s="93"/>
      <c r="C291" s="26"/>
      <c r="D291" s="27"/>
      <c r="E291" s="2" t="s">
        <v>1359</v>
      </c>
      <c r="F291" s="28"/>
      <c r="G291" s="28"/>
      <c r="H291" s="28"/>
      <c r="I291" s="6" t="s">
        <v>1362</v>
      </c>
      <c r="J291" s="28"/>
      <c r="K291" s="28"/>
      <c r="L291" s="28"/>
      <c r="M291" s="28"/>
      <c r="N291" s="28"/>
      <c r="O291" s="28"/>
      <c r="P291" s="28"/>
      <c r="Q291" s="5" t="s">
        <v>721</v>
      </c>
      <c r="R291" s="5" t="s">
        <v>667</v>
      </c>
      <c r="S291" s="6" t="s">
        <v>664</v>
      </c>
      <c r="T291" s="5"/>
      <c r="U291" s="110">
        <v>161217.33333333334</v>
      </c>
      <c r="V291" s="5"/>
      <c r="W291" s="6" t="s">
        <v>665</v>
      </c>
      <c r="X291" s="5"/>
      <c r="Y291" s="111">
        <v>21.675268133302776</v>
      </c>
      <c r="Z291" s="5"/>
      <c r="AA291" s="6" t="s">
        <v>955</v>
      </c>
      <c r="AB291" s="6"/>
      <c r="AC291" s="13">
        <v>18.259273525880662</v>
      </c>
      <c r="AD291" s="6"/>
      <c r="AE291" s="6"/>
      <c r="AF291" s="6"/>
      <c r="AG291" s="13">
        <v>84.4</v>
      </c>
      <c r="AH291" s="6"/>
      <c r="AI291" s="6" t="s">
        <v>957</v>
      </c>
      <c r="AJ291" s="108"/>
      <c r="AK291" s="5">
        <v>0.01</v>
      </c>
      <c r="AL291" s="6"/>
      <c r="AM291" s="6" t="s">
        <v>1361</v>
      </c>
      <c r="AN291" s="6"/>
      <c r="AO291" s="5"/>
      <c r="AP291" s="6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6" t="s">
        <v>984</v>
      </c>
      <c r="BC291" s="106">
        <v>-47</v>
      </c>
      <c r="BD291" s="106">
        <v>100</v>
      </c>
      <c r="BE291" s="6" t="s">
        <v>1008</v>
      </c>
      <c r="BF291" s="6"/>
      <c r="BG291" s="12">
        <v>27</v>
      </c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5"/>
      <c r="BS291" s="5"/>
      <c r="BT291" s="6"/>
      <c r="BU291" s="5">
        <v>42.1</v>
      </c>
      <c r="BV291" s="5">
        <v>0.89400000000000002</v>
      </c>
      <c r="BW291" s="111">
        <v>1.232</v>
      </c>
      <c r="BX291" s="6"/>
      <c r="BY291" s="6"/>
      <c r="BZ291" s="30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9"/>
      <c r="DB291" s="6"/>
      <c r="DC291" s="30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7"/>
      <c r="FK291" s="6"/>
      <c r="FL291" s="6"/>
      <c r="FM291" s="94"/>
    </row>
    <row r="292" spans="1:169" s="3" customFormat="1" ht="16.5" customHeight="1" x14ac:dyDescent="0.4">
      <c r="A292" s="93"/>
      <c r="B292" s="93"/>
      <c r="C292" s="26"/>
      <c r="D292" s="27"/>
      <c r="E292" s="2" t="s">
        <v>1359</v>
      </c>
      <c r="F292" s="28"/>
      <c r="G292" s="28"/>
      <c r="H292" s="28"/>
      <c r="I292" s="6" t="s">
        <v>1362</v>
      </c>
      <c r="J292" s="28"/>
      <c r="K292" s="28"/>
      <c r="L292" s="28"/>
      <c r="M292" s="28"/>
      <c r="N292" s="28"/>
      <c r="O292" s="28"/>
      <c r="P292" s="28"/>
      <c r="Q292" s="5" t="s">
        <v>721</v>
      </c>
      <c r="R292" s="5" t="s">
        <v>667</v>
      </c>
      <c r="S292" s="6" t="s">
        <v>664</v>
      </c>
      <c r="T292" s="5"/>
      <c r="U292" s="110">
        <v>67722</v>
      </c>
      <c r="V292" s="5"/>
      <c r="W292" s="6" t="s">
        <v>665</v>
      </c>
      <c r="X292" s="5"/>
      <c r="Y292" s="111">
        <v>9.8944322648492111</v>
      </c>
      <c r="Z292" s="5"/>
      <c r="AA292" s="6" t="s">
        <v>955</v>
      </c>
      <c r="AB292" s="6"/>
      <c r="AC292" s="13">
        <v>6.7983629405658466</v>
      </c>
      <c r="AD292" s="6"/>
      <c r="AE292" s="6"/>
      <c r="AF292" s="6"/>
      <c r="AG292" s="13">
        <v>45.7</v>
      </c>
      <c r="AH292" s="6"/>
      <c r="AI292" s="6" t="s">
        <v>957</v>
      </c>
      <c r="AJ292" s="108"/>
      <c r="AK292" s="5">
        <v>0.01</v>
      </c>
      <c r="AL292" s="6"/>
      <c r="AM292" s="6" t="s">
        <v>1361</v>
      </c>
      <c r="AN292" s="6"/>
      <c r="AO292" s="5"/>
      <c r="AP292" s="6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6" t="s">
        <v>984</v>
      </c>
      <c r="BC292" s="106">
        <v>-47</v>
      </c>
      <c r="BD292" s="106">
        <v>100</v>
      </c>
      <c r="BE292" s="6" t="s">
        <v>1008</v>
      </c>
      <c r="BF292" s="6"/>
      <c r="BG292" s="12">
        <v>27</v>
      </c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5"/>
      <c r="BS292" s="5"/>
      <c r="BT292" s="6"/>
      <c r="BU292" s="5">
        <v>42.1</v>
      </c>
      <c r="BV292" s="5">
        <v>0.89600000000000002</v>
      </c>
      <c r="BW292" s="111">
        <v>1.2310000000000001</v>
      </c>
      <c r="BX292" s="6"/>
      <c r="BY292" s="6"/>
      <c r="BZ292" s="30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9"/>
      <c r="DB292" s="6"/>
      <c r="DC292" s="30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7"/>
      <c r="FK292" s="6"/>
      <c r="FL292" s="6"/>
      <c r="FM292" s="94"/>
    </row>
    <row r="293" spans="1:169" s="3" customFormat="1" ht="16.5" customHeight="1" x14ac:dyDescent="0.4">
      <c r="A293" s="93"/>
      <c r="B293" s="93"/>
      <c r="C293" s="26"/>
      <c r="D293" s="27"/>
      <c r="E293" s="2" t="s">
        <v>1359</v>
      </c>
      <c r="F293" s="28"/>
      <c r="G293" s="28"/>
      <c r="H293" s="28"/>
      <c r="I293" s="6" t="s">
        <v>1362</v>
      </c>
      <c r="J293" s="28"/>
      <c r="K293" s="28"/>
      <c r="L293" s="28"/>
      <c r="M293" s="28"/>
      <c r="N293" s="28"/>
      <c r="O293" s="28"/>
      <c r="P293" s="28"/>
      <c r="Q293" s="5" t="s">
        <v>721</v>
      </c>
      <c r="R293" s="5" t="s">
        <v>667</v>
      </c>
      <c r="S293" s="6" t="s">
        <v>664</v>
      </c>
      <c r="T293" s="5"/>
      <c r="U293" s="110">
        <v>209583.4</v>
      </c>
      <c r="V293" s="5"/>
      <c r="W293" s="6" t="s">
        <v>665</v>
      </c>
      <c r="X293" s="5"/>
      <c r="Y293" s="111">
        <v>21.035539865516697</v>
      </c>
      <c r="Z293" s="5"/>
      <c r="AA293" s="6" t="s">
        <v>955</v>
      </c>
      <c r="AB293" s="6"/>
      <c r="AC293" s="13">
        <v>17.420015994052857</v>
      </c>
      <c r="AD293" s="6"/>
      <c r="AE293" s="6"/>
      <c r="AF293" s="6"/>
      <c r="AG293" s="13">
        <v>84.4</v>
      </c>
      <c r="AH293" s="6"/>
      <c r="AI293" s="6" t="s">
        <v>957</v>
      </c>
      <c r="AJ293" s="108"/>
      <c r="AK293" s="5">
        <v>0.01</v>
      </c>
      <c r="AL293" s="6"/>
      <c r="AM293" s="6" t="s">
        <v>1361</v>
      </c>
      <c r="AN293" s="6"/>
      <c r="AO293" s="5"/>
      <c r="AP293" s="6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6" t="s">
        <v>984</v>
      </c>
      <c r="BC293" s="106">
        <v>-47</v>
      </c>
      <c r="BD293" s="106">
        <v>100</v>
      </c>
      <c r="BE293" s="6" t="s">
        <v>1008</v>
      </c>
      <c r="BF293" s="6"/>
      <c r="BG293" s="12">
        <v>27</v>
      </c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5"/>
      <c r="BS293" s="5"/>
      <c r="BT293" s="6"/>
      <c r="BU293" s="5">
        <v>42.1</v>
      </c>
      <c r="BV293" s="5">
        <v>0.89400000000000002</v>
      </c>
      <c r="BW293" s="111">
        <v>1.232</v>
      </c>
      <c r="BX293" s="6"/>
      <c r="BY293" s="6"/>
      <c r="BZ293" s="30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9"/>
      <c r="DB293" s="6"/>
      <c r="DC293" s="30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7"/>
      <c r="FK293" s="6"/>
      <c r="FL293" s="6"/>
      <c r="FM293" s="94"/>
    </row>
    <row r="294" spans="1:169" s="3" customFormat="1" ht="16.5" customHeight="1" x14ac:dyDescent="0.4">
      <c r="A294" s="93"/>
      <c r="B294" s="93"/>
      <c r="C294" s="26"/>
      <c r="D294" s="27"/>
      <c r="E294" s="2" t="s">
        <v>1359</v>
      </c>
      <c r="F294" s="28"/>
      <c r="G294" s="28"/>
      <c r="H294" s="28"/>
      <c r="I294" s="6" t="s">
        <v>1362</v>
      </c>
      <c r="J294" s="28"/>
      <c r="K294" s="28"/>
      <c r="L294" s="28"/>
      <c r="M294" s="28"/>
      <c r="N294" s="28"/>
      <c r="O294" s="28"/>
      <c r="P294" s="28"/>
      <c r="Q294" s="5" t="s">
        <v>721</v>
      </c>
      <c r="R294" s="5" t="s">
        <v>667</v>
      </c>
      <c r="S294" s="6" t="s">
        <v>664</v>
      </c>
      <c r="T294" s="5"/>
      <c r="U294" s="110">
        <v>88038.6</v>
      </c>
      <c r="V294" s="5"/>
      <c r="W294" s="6" t="s">
        <v>665</v>
      </c>
      <c r="X294" s="5"/>
      <c r="Y294" s="111">
        <v>9.6816191533903329</v>
      </c>
      <c r="Z294" s="5"/>
      <c r="AA294" s="6" t="s">
        <v>955</v>
      </c>
      <c r="AB294" s="6"/>
      <c r="AC294" s="13">
        <v>6.5482114502359661</v>
      </c>
      <c r="AD294" s="6"/>
      <c r="AE294" s="6"/>
      <c r="AF294" s="6"/>
      <c r="AG294" s="13">
        <v>45.7</v>
      </c>
      <c r="AH294" s="6"/>
      <c r="AI294" s="6" t="s">
        <v>957</v>
      </c>
      <c r="AJ294" s="108"/>
      <c r="AK294" s="5">
        <v>0.01</v>
      </c>
      <c r="AL294" s="6"/>
      <c r="AM294" s="6" t="s">
        <v>1361</v>
      </c>
      <c r="AN294" s="6"/>
      <c r="AO294" s="5"/>
      <c r="AP294" s="6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6" t="s">
        <v>984</v>
      </c>
      <c r="BC294" s="106">
        <v>-47</v>
      </c>
      <c r="BD294" s="106">
        <v>100</v>
      </c>
      <c r="BE294" s="6" t="s">
        <v>1008</v>
      </c>
      <c r="BF294" s="6"/>
      <c r="BG294" s="12">
        <v>27</v>
      </c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5"/>
      <c r="BS294" s="5"/>
      <c r="BT294" s="6"/>
      <c r="BU294" s="5">
        <v>42.1</v>
      </c>
      <c r="BV294" s="5">
        <v>0.89600000000000002</v>
      </c>
      <c r="BW294" s="111">
        <v>1.2310000000000001</v>
      </c>
      <c r="BX294" s="6"/>
      <c r="BY294" s="6"/>
      <c r="BZ294" s="30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9"/>
      <c r="DB294" s="6"/>
      <c r="DC294" s="30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7"/>
      <c r="FK294" s="6"/>
      <c r="FL294" s="6"/>
      <c r="FM294" s="94"/>
    </row>
    <row r="295" spans="1:169" s="3" customFormat="1" x14ac:dyDescent="0.4">
      <c r="A295" s="93"/>
      <c r="B295" s="93"/>
      <c r="C295" s="26"/>
      <c r="D295" s="27" t="s">
        <v>319</v>
      </c>
      <c r="E295" s="2" t="s">
        <v>480</v>
      </c>
      <c r="F295" s="28" t="s">
        <v>319</v>
      </c>
      <c r="G295" s="28" t="s">
        <v>319</v>
      </c>
      <c r="H295" s="28" t="s">
        <v>319</v>
      </c>
      <c r="I295" s="6" t="s">
        <v>432</v>
      </c>
      <c r="J295" s="28" t="s">
        <v>319</v>
      </c>
      <c r="K295" s="28" t="s">
        <v>319</v>
      </c>
      <c r="L295" s="28" t="s">
        <v>319</v>
      </c>
      <c r="M295" s="28" t="s">
        <v>319</v>
      </c>
      <c r="N295" s="28" t="s">
        <v>319</v>
      </c>
      <c r="O295" s="28" t="s">
        <v>319</v>
      </c>
      <c r="P295" s="28" t="s">
        <v>319</v>
      </c>
      <c r="Q295" s="5" t="s">
        <v>721</v>
      </c>
      <c r="R295" s="5" t="s">
        <v>663</v>
      </c>
      <c r="S295" s="6" t="s">
        <v>669</v>
      </c>
      <c r="T295" s="5" t="s">
        <v>944</v>
      </c>
      <c r="U295" s="5" t="s">
        <v>945</v>
      </c>
      <c r="V295" s="5"/>
      <c r="W295" s="6" t="s">
        <v>665</v>
      </c>
      <c r="X295" s="105">
        <v>5.97</v>
      </c>
      <c r="Y295" s="105">
        <v>5.94</v>
      </c>
      <c r="Z295" s="105">
        <v>5.8</v>
      </c>
      <c r="AA295" s="6" t="s">
        <v>959</v>
      </c>
      <c r="AB295" s="6">
        <v>2.1399999999999997</v>
      </c>
      <c r="AC295" s="6">
        <v>2.0800000000000005</v>
      </c>
      <c r="AD295" s="6">
        <v>1.9099999999999997</v>
      </c>
      <c r="AE295" s="6" t="s">
        <v>956</v>
      </c>
      <c r="AF295" s="6"/>
      <c r="AG295" s="12">
        <v>3.8</v>
      </c>
      <c r="AH295" s="6"/>
      <c r="AI295" s="6" t="s">
        <v>965</v>
      </c>
      <c r="AJ295" s="108"/>
      <c r="AK295" s="108">
        <v>0.10299999999999999</v>
      </c>
      <c r="AL295" s="6"/>
      <c r="AM295" s="6" t="s">
        <v>958</v>
      </c>
      <c r="AN295" s="6"/>
      <c r="AO295" s="105">
        <v>6.65</v>
      </c>
      <c r="AP295" s="6"/>
      <c r="AQ295" s="28" t="s">
        <v>319</v>
      </c>
      <c r="AR295" s="28" t="s">
        <v>319</v>
      </c>
      <c r="AS295" s="28" t="s">
        <v>319</v>
      </c>
      <c r="AT295" s="28" t="s">
        <v>319</v>
      </c>
      <c r="AU295" s="28" t="s">
        <v>319</v>
      </c>
      <c r="AV295" s="28" t="s">
        <v>319</v>
      </c>
      <c r="AW295" s="28" t="s">
        <v>319</v>
      </c>
      <c r="AX295" s="28" t="s">
        <v>319</v>
      </c>
      <c r="AY295" s="28" t="s">
        <v>319</v>
      </c>
      <c r="AZ295" s="28" t="s">
        <v>319</v>
      </c>
      <c r="BA295" s="28" t="s">
        <v>319</v>
      </c>
      <c r="BB295" s="6" t="s">
        <v>984</v>
      </c>
      <c r="BC295" s="106">
        <v>-47</v>
      </c>
      <c r="BD295" s="106">
        <v>65</v>
      </c>
      <c r="BE295" s="6" t="s">
        <v>1008</v>
      </c>
      <c r="BF295" s="6"/>
      <c r="BG295" s="12">
        <v>18</v>
      </c>
      <c r="BH295" s="28" t="s">
        <v>319</v>
      </c>
      <c r="BI295" s="28" t="s">
        <v>319</v>
      </c>
      <c r="BJ295" s="28" t="s">
        <v>319</v>
      </c>
      <c r="BK295" s="28" t="s">
        <v>319</v>
      </c>
      <c r="BL295" s="28" t="s">
        <v>319</v>
      </c>
      <c r="BM295" s="28" t="s">
        <v>319</v>
      </c>
      <c r="BN295" s="28" t="s">
        <v>319</v>
      </c>
      <c r="BO295" s="28" t="s">
        <v>319</v>
      </c>
      <c r="BP295" s="28" t="s">
        <v>319</v>
      </c>
      <c r="BQ295" s="28" t="s">
        <v>319</v>
      </c>
      <c r="BR295" s="12">
        <v>47.1</v>
      </c>
      <c r="BS295" s="12">
        <v>540.20000000000005</v>
      </c>
      <c r="BT295" s="6"/>
      <c r="BU295" s="13"/>
      <c r="BV295" s="6"/>
      <c r="BW295" s="111"/>
      <c r="BX295" s="6" t="s">
        <v>1052</v>
      </c>
      <c r="BY295" s="6"/>
      <c r="BZ295" s="30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9"/>
      <c r="DB295" s="6"/>
      <c r="DC295" s="30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 t="s">
        <v>319</v>
      </c>
      <c r="DO295" s="28" t="s">
        <v>319</v>
      </c>
      <c r="DP295" s="28" t="s">
        <v>319</v>
      </c>
      <c r="DQ295" s="28" t="s">
        <v>319</v>
      </c>
      <c r="DR295" s="28" t="s">
        <v>319</v>
      </c>
      <c r="DS295" s="28" t="s">
        <v>319</v>
      </c>
      <c r="DT295" s="28" t="s">
        <v>319</v>
      </c>
      <c r="DU295" s="28" t="s">
        <v>319</v>
      </c>
      <c r="DV295" s="28" t="s">
        <v>319</v>
      </c>
      <c r="DW295" s="28" t="s">
        <v>319</v>
      </c>
      <c r="DX295" s="28" t="s">
        <v>319</v>
      </c>
      <c r="DY295" s="28" t="s">
        <v>319</v>
      </c>
      <c r="DZ295" s="28" t="s">
        <v>319</v>
      </c>
      <c r="EA295" s="28" t="s">
        <v>319</v>
      </c>
      <c r="EB295" s="28" t="s">
        <v>319</v>
      </c>
      <c r="EC295" s="28" t="s">
        <v>319</v>
      </c>
      <c r="ED295" s="28" t="s">
        <v>319</v>
      </c>
      <c r="EE295" s="28"/>
      <c r="EF295" s="28" t="s">
        <v>319</v>
      </c>
      <c r="EG295" s="28" t="s">
        <v>319</v>
      </c>
      <c r="EH295" s="28" t="s">
        <v>319</v>
      </c>
      <c r="EI295" s="28" t="s">
        <v>319</v>
      </c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7"/>
      <c r="FK295" s="6"/>
      <c r="FL295" s="6"/>
      <c r="FM295" s="97"/>
    </row>
    <row r="296" spans="1:169" s="3" customFormat="1" x14ac:dyDescent="0.4">
      <c r="A296" s="93"/>
      <c r="B296" s="93"/>
      <c r="C296" s="26"/>
      <c r="D296" s="27" t="s">
        <v>319</v>
      </c>
      <c r="E296" s="2" t="s">
        <v>552</v>
      </c>
      <c r="F296" s="28" t="s">
        <v>319</v>
      </c>
      <c r="G296" s="28" t="s">
        <v>319</v>
      </c>
      <c r="H296" s="28" t="s">
        <v>319</v>
      </c>
      <c r="I296" s="6" t="s">
        <v>432</v>
      </c>
      <c r="J296" s="28" t="s">
        <v>319</v>
      </c>
      <c r="K296" s="28" t="s">
        <v>319</v>
      </c>
      <c r="L296" s="28" t="s">
        <v>319</v>
      </c>
      <c r="M296" s="28" t="s">
        <v>319</v>
      </c>
      <c r="N296" s="28" t="s">
        <v>319</v>
      </c>
      <c r="O296" s="28" t="s">
        <v>319</v>
      </c>
      <c r="P296" s="28" t="s">
        <v>319</v>
      </c>
      <c r="Q296" s="5" t="s">
        <v>721</v>
      </c>
      <c r="R296" s="5" t="s">
        <v>943</v>
      </c>
      <c r="S296" s="6" t="s">
        <v>669</v>
      </c>
      <c r="T296" s="5"/>
      <c r="U296" s="5">
        <f>0.03*264500</f>
        <v>7935</v>
      </c>
      <c r="V296" s="5"/>
      <c r="W296" s="6" t="s">
        <v>665</v>
      </c>
      <c r="X296" s="105"/>
      <c r="Y296" s="105">
        <v>3.62</v>
      </c>
      <c r="Z296" s="105"/>
      <c r="AA296" s="6" t="s">
        <v>982</v>
      </c>
      <c r="AB296" s="6"/>
      <c r="AC296" s="6" t="s">
        <v>1078</v>
      </c>
      <c r="AD296" s="6"/>
      <c r="AE296" s="6" t="s">
        <v>984</v>
      </c>
      <c r="AF296" s="6"/>
      <c r="AG296" s="12">
        <v>-11.5</v>
      </c>
      <c r="AH296" s="6"/>
      <c r="AI296" s="6" t="s">
        <v>965</v>
      </c>
      <c r="AJ296" s="108"/>
      <c r="AK296" s="5">
        <v>7.7000000000000002E-3</v>
      </c>
      <c r="AL296" s="6"/>
      <c r="AM296" s="6" t="s">
        <v>958</v>
      </c>
      <c r="AN296" s="6"/>
      <c r="AO296" s="105"/>
      <c r="AP296" s="6"/>
      <c r="AQ296" s="28" t="s">
        <v>319</v>
      </c>
      <c r="AR296" s="28" t="s">
        <v>319</v>
      </c>
      <c r="AS296" s="28" t="s">
        <v>319</v>
      </c>
      <c r="AT296" s="28" t="s">
        <v>319</v>
      </c>
      <c r="AU296" s="28" t="s">
        <v>319</v>
      </c>
      <c r="AV296" s="28" t="s">
        <v>319</v>
      </c>
      <c r="AW296" s="28" t="s">
        <v>319</v>
      </c>
      <c r="AX296" s="28" t="s">
        <v>319</v>
      </c>
      <c r="AY296" s="28" t="s">
        <v>319</v>
      </c>
      <c r="AZ296" s="28" t="s">
        <v>319</v>
      </c>
      <c r="BA296" s="28" t="s">
        <v>319</v>
      </c>
      <c r="BB296" s="6" t="s">
        <v>984</v>
      </c>
      <c r="BC296" s="106">
        <v>-47</v>
      </c>
      <c r="BD296" s="106">
        <v>65</v>
      </c>
      <c r="BE296" s="6" t="s">
        <v>1010</v>
      </c>
      <c r="BF296" s="6"/>
      <c r="BG296" s="12">
        <v>18</v>
      </c>
      <c r="BH296" s="28" t="s">
        <v>319</v>
      </c>
      <c r="BI296" s="28" t="s">
        <v>319</v>
      </c>
      <c r="BJ296" s="28" t="s">
        <v>319</v>
      </c>
      <c r="BK296" s="28" t="s">
        <v>319</v>
      </c>
      <c r="BL296" s="28" t="s">
        <v>319</v>
      </c>
      <c r="BM296" s="28" t="s">
        <v>319</v>
      </c>
      <c r="BN296" s="28" t="s">
        <v>319</v>
      </c>
      <c r="BO296" s="28" t="s">
        <v>319</v>
      </c>
      <c r="BP296" s="28" t="s">
        <v>319</v>
      </c>
      <c r="BQ296" s="28" t="s">
        <v>319</v>
      </c>
      <c r="BR296" s="12"/>
      <c r="BS296" s="12"/>
      <c r="BT296" s="6"/>
      <c r="BU296" s="13">
        <v>42.09</v>
      </c>
      <c r="BV296" s="5">
        <v>0.91400000000000003</v>
      </c>
      <c r="BW296" s="111">
        <v>1.2150000000000001</v>
      </c>
      <c r="BX296" s="6"/>
      <c r="BY296" s="6"/>
      <c r="BZ296" s="30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9"/>
      <c r="DB296" s="6"/>
      <c r="DC296" s="30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 t="s">
        <v>319</v>
      </c>
      <c r="DO296" s="28" t="s">
        <v>319</v>
      </c>
      <c r="DP296" s="28" t="s">
        <v>319</v>
      </c>
      <c r="DQ296" s="28" t="s">
        <v>319</v>
      </c>
      <c r="DR296" s="28" t="s">
        <v>319</v>
      </c>
      <c r="DS296" s="28" t="s">
        <v>319</v>
      </c>
      <c r="DT296" s="28" t="s">
        <v>319</v>
      </c>
      <c r="DU296" s="28" t="s">
        <v>319</v>
      </c>
      <c r="DV296" s="28" t="s">
        <v>319</v>
      </c>
      <c r="DW296" s="28" t="s">
        <v>319</v>
      </c>
      <c r="DX296" s="28" t="s">
        <v>319</v>
      </c>
      <c r="DY296" s="28" t="s">
        <v>319</v>
      </c>
      <c r="DZ296" s="28" t="s">
        <v>319</v>
      </c>
      <c r="EA296" s="28" t="s">
        <v>319</v>
      </c>
      <c r="EB296" s="28" t="s">
        <v>319</v>
      </c>
      <c r="EC296" s="28" t="s">
        <v>319</v>
      </c>
      <c r="ED296" s="28" t="s">
        <v>319</v>
      </c>
      <c r="EE296" s="28"/>
      <c r="EF296" s="28" t="s">
        <v>319</v>
      </c>
      <c r="EG296" s="28" t="s">
        <v>319</v>
      </c>
      <c r="EH296" s="28" t="s">
        <v>319</v>
      </c>
      <c r="EI296" s="28" t="s">
        <v>319</v>
      </c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7"/>
      <c r="FK296" s="6"/>
      <c r="FL296" s="6"/>
      <c r="FM296" s="94"/>
    </row>
    <row r="297" spans="1:169" s="3" customFormat="1" ht="16.5" customHeight="1" x14ac:dyDescent="0.4">
      <c r="A297" s="93"/>
      <c r="B297" s="93"/>
      <c r="C297" s="26"/>
      <c r="D297" s="27"/>
      <c r="E297" s="2" t="s">
        <v>1360</v>
      </c>
      <c r="F297" s="28"/>
      <c r="G297" s="28"/>
      <c r="H297" s="28"/>
      <c r="I297" s="6" t="s">
        <v>1363</v>
      </c>
      <c r="J297" s="28"/>
      <c r="K297" s="28"/>
      <c r="L297" s="28"/>
      <c r="M297" s="28"/>
      <c r="N297" s="28"/>
      <c r="O297" s="28"/>
      <c r="P297" s="28"/>
      <c r="Q297" s="5" t="s">
        <v>721</v>
      </c>
      <c r="R297" s="5" t="s">
        <v>667</v>
      </c>
      <c r="S297" s="6" t="s">
        <v>664</v>
      </c>
      <c r="T297" s="5"/>
      <c r="U297" s="110">
        <v>228593</v>
      </c>
      <c r="V297" s="5"/>
      <c r="W297" s="6" t="s">
        <v>665</v>
      </c>
      <c r="X297" s="5"/>
      <c r="Y297" s="111">
        <v>9.6039585218041701</v>
      </c>
      <c r="Z297" s="5"/>
      <c r="AA297" s="6" t="s">
        <v>955</v>
      </c>
      <c r="AB297" s="6"/>
      <c r="AC297" s="13">
        <v>3.8009558888360466</v>
      </c>
      <c r="AD297" s="6"/>
      <c r="AE297" s="6"/>
      <c r="AF297" s="6"/>
      <c r="AG297" s="13">
        <v>45.5</v>
      </c>
      <c r="AH297" s="6"/>
      <c r="AI297" s="6" t="s">
        <v>957</v>
      </c>
      <c r="AJ297" s="108"/>
      <c r="AK297" s="5">
        <v>0.01</v>
      </c>
      <c r="AL297" s="6"/>
      <c r="AM297" s="6" t="s">
        <v>1353</v>
      </c>
      <c r="AN297" s="6"/>
      <c r="AO297" s="5"/>
      <c r="AP297" s="6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6" t="s">
        <v>984</v>
      </c>
      <c r="BC297" s="106">
        <v>-47</v>
      </c>
      <c r="BD297" s="106">
        <v>100</v>
      </c>
      <c r="BE297" s="6" t="s">
        <v>1008</v>
      </c>
      <c r="BF297" s="6"/>
      <c r="BG297" s="12">
        <v>27</v>
      </c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5"/>
      <c r="BS297" s="5"/>
      <c r="BT297" s="6"/>
      <c r="BU297" s="5">
        <v>42.1</v>
      </c>
      <c r="BV297" s="5">
        <v>0.80800000000000005</v>
      </c>
      <c r="BW297" s="111">
        <v>1.3080000000000001</v>
      </c>
      <c r="BX297" s="6"/>
      <c r="BY297" s="6"/>
      <c r="BZ297" s="30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9"/>
      <c r="DB297" s="6"/>
      <c r="DC297" s="30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7"/>
      <c r="FK297" s="6"/>
      <c r="FL297" s="6"/>
      <c r="FM297" s="94"/>
    </row>
    <row r="298" spans="1:169" s="3" customFormat="1" ht="16.5" customHeight="1" x14ac:dyDescent="0.4">
      <c r="A298" s="93"/>
      <c r="B298" s="93"/>
      <c r="C298" s="26"/>
      <c r="D298" s="27"/>
      <c r="E298" s="2" t="s">
        <v>1360</v>
      </c>
      <c r="F298" s="28"/>
      <c r="G298" s="28"/>
      <c r="H298" s="28"/>
      <c r="I298" s="6" t="s">
        <v>1363</v>
      </c>
      <c r="J298" s="28"/>
      <c r="K298" s="28"/>
      <c r="L298" s="28"/>
      <c r="M298" s="28"/>
      <c r="N298" s="28"/>
      <c r="O298" s="28"/>
      <c r="P298" s="28"/>
      <c r="Q298" s="5" t="s">
        <v>721</v>
      </c>
      <c r="R298" s="5" t="s">
        <v>667</v>
      </c>
      <c r="S298" s="6" t="s">
        <v>664</v>
      </c>
      <c r="T298" s="5"/>
      <c r="U298" s="110">
        <v>216800</v>
      </c>
      <c r="V298" s="5"/>
      <c r="W298" s="6" t="s">
        <v>665</v>
      </c>
      <c r="X298" s="5"/>
      <c r="Y298" s="111">
        <v>9.4495181813405793</v>
      </c>
      <c r="Z298" s="5"/>
      <c r="AA298" s="6" t="s">
        <v>955</v>
      </c>
      <c r="AB298" s="6"/>
      <c r="AC298" s="13">
        <v>3.7730894589682062</v>
      </c>
      <c r="AD298" s="6"/>
      <c r="AE298" s="6"/>
      <c r="AF298" s="6"/>
      <c r="AG298" s="13">
        <v>46.1</v>
      </c>
      <c r="AH298" s="6"/>
      <c r="AI298" s="6" t="s">
        <v>957</v>
      </c>
      <c r="AJ298" s="108"/>
      <c r="AK298" s="5">
        <v>0.01</v>
      </c>
      <c r="AL298" s="6"/>
      <c r="AM298" s="6" t="s">
        <v>1354</v>
      </c>
      <c r="AN298" s="6"/>
      <c r="AO298" s="5"/>
      <c r="AP298" s="6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6" t="s">
        <v>984</v>
      </c>
      <c r="BC298" s="106">
        <v>-47</v>
      </c>
      <c r="BD298" s="106">
        <v>100</v>
      </c>
      <c r="BE298" s="6" t="s">
        <v>1008</v>
      </c>
      <c r="BF298" s="6"/>
      <c r="BG298" s="12">
        <v>27</v>
      </c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5"/>
      <c r="BS298" s="5"/>
      <c r="BT298" s="6"/>
      <c r="BU298" s="5">
        <v>42.1</v>
      </c>
      <c r="BV298" s="5">
        <v>0.81100000000000005</v>
      </c>
      <c r="BW298" s="111">
        <v>1.3029999999999999</v>
      </c>
      <c r="BX298" s="6"/>
      <c r="BY298" s="6"/>
      <c r="BZ298" s="30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9"/>
      <c r="DB298" s="6"/>
      <c r="DC298" s="30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7"/>
      <c r="FK298" s="6"/>
      <c r="FL298" s="6"/>
      <c r="FM298" s="94"/>
    </row>
    <row r="299" spans="1:169" s="3" customFormat="1" ht="16.5" customHeight="1" x14ac:dyDescent="0.4">
      <c r="A299" s="93"/>
      <c r="B299" s="93"/>
      <c r="C299" s="26"/>
      <c r="D299" s="27"/>
      <c r="E299" s="2" t="s">
        <v>1360</v>
      </c>
      <c r="F299" s="28"/>
      <c r="G299" s="28"/>
      <c r="H299" s="28"/>
      <c r="I299" s="6" t="s">
        <v>1363</v>
      </c>
      <c r="J299" s="28"/>
      <c r="K299" s="28"/>
      <c r="L299" s="28"/>
      <c r="M299" s="28"/>
      <c r="N299" s="28"/>
      <c r="O299" s="28"/>
      <c r="P299" s="28"/>
      <c r="Q299" s="5" t="s">
        <v>721</v>
      </c>
      <c r="R299" s="5" t="s">
        <v>667</v>
      </c>
      <c r="S299" s="6" t="s">
        <v>664</v>
      </c>
      <c r="T299" s="5"/>
      <c r="U299" s="110">
        <v>297170.90000000002</v>
      </c>
      <c r="V299" s="5"/>
      <c r="W299" s="6" t="s">
        <v>665</v>
      </c>
      <c r="X299" s="5"/>
      <c r="Y299" s="111">
        <v>9.1142924192950794</v>
      </c>
      <c r="Z299" s="5"/>
      <c r="AA299" s="6" t="s">
        <v>955</v>
      </c>
      <c r="AB299" s="6"/>
      <c r="AC299" s="13">
        <v>3.1722082328990489</v>
      </c>
      <c r="AD299" s="6"/>
      <c r="AE299" s="6"/>
      <c r="AF299" s="6"/>
      <c r="AG299" s="13">
        <v>45.5</v>
      </c>
      <c r="AH299" s="6"/>
      <c r="AI299" s="6" t="s">
        <v>957</v>
      </c>
      <c r="AJ299" s="108"/>
      <c r="AK299" s="5">
        <v>0.01</v>
      </c>
      <c r="AL299" s="6"/>
      <c r="AM299" s="6" t="s">
        <v>1355</v>
      </c>
      <c r="AN299" s="6"/>
      <c r="AO299" s="5"/>
      <c r="AP299" s="6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6" t="s">
        <v>984</v>
      </c>
      <c r="BC299" s="106">
        <v>-47</v>
      </c>
      <c r="BD299" s="106">
        <v>100</v>
      </c>
      <c r="BE299" s="6" t="s">
        <v>1008</v>
      </c>
      <c r="BF299" s="6"/>
      <c r="BG299" s="12">
        <v>27</v>
      </c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5"/>
      <c r="BS299" s="5"/>
      <c r="BT299" s="6"/>
      <c r="BU299" s="5">
        <v>42.1</v>
      </c>
      <c r="BV299" s="5">
        <v>0.80800000000000005</v>
      </c>
      <c r="BW299" s="111">
        <v>1.3080000000000001</v>
      </c>
      <c r="BX299" s="6"/>
      <c r="BY299" s="6"/>
      <c r="BZ299" s="30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9"/>
      <c r="DB299" s="6"/>
      <c r="DC299" s="30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7"/>
      <c r="FK299" s="6"/>
      <c r="FL299" s="6"/>
      <c r="FM299" s="94"/>
    </row>
    <row r="300" spans="1:169" s="3" customFormat="1" ht="16.5" customHeight="1" x14ac:dyDescent="0.4">
      <c r="A300" s="93"/>
      <c r="B300" s="93"/>
      <c r="C300" s="26"/>
      <c r="D300" s="27"/>
      <c r="E300" s="2" t="s">
        <v>1360</v>
      </c>
      <c r="F300" s="28"/>
      <c r="G300" s="28"/>
      <c r="H300" s="28"/>
      <c r="I300" s="6" t="s">
        <v>1363</v>
      </c>
      <c r="J300" s="28"/>
      <c r="K300" s="28"/>
      <c r="L300" s="28"/>
      <c r="M300" s="28"/>
      <c r="N300" s="28"/>
      <c r="O300" s="28"/>
      <c r="P300" s="28"/>
      <c r="Q300" s="5" t="s">
        <v>721</v>
      </c>
      <c r="R300" s="5" t="s">
        <v>667</v>
      </c>
      <c r="S300" s="6" t="s">
        <v>664</v>
      </c>
      <c r="T300" s="5"/>
      <c r="U300" s="110">
        <v>281840</v>
      </c>
      <c r="V300" s="5"/>
      <c r="W300" s="6" t="s">
        <v>665</v>
      </c>
      <c r="X300" s="5"/>
      <c r="Y300" s="111">
        <v>8.998279167609903</v>
      </c>
      <c r="Z300" s="5"/>
      <c r="AA300" s="6" t="s">
        <v>955</v>
      </c>
      <c r="AB300" s="6"/>
      <c r="AC300" s="13">
        <v>3.1933187386802562</v>
      </c>
      <c r="AD300" s="6"/>
      <c r="AE300" s="6"/>
      <c r="AF300" s="6"/>
      <c r="AG300" s="13">
        <v>46.1</v>
      </c>
      <c r="AH300" s="6"/>
      <c r="AI300" s="6" t="s">
        <v>957</v>
      </c>
      <c r="AJ300" s="108"/>
      <c r="AK300" s="5">
        <v>0.01</v>
      </c>
      <c r="AL300" s="6"/>
      <c r="AM300" s="6" t="s">
        <v>1356</v>
      </c>
      <c r="AN300" s="6"/>
      <c r="AO300" s="5"/>
      <c r="AP300" s="6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6" t="s">
        <v>984</v>
      </c>
      <c r="BC300" s="106">
        <v>-47</v>
      </c>
      <c r="BD300" s="106">
        <v>100</v>
      </c>
      <c r="BE300" s="6" t="s">
        <v>1008</v>
      </c>
      <c r="BF300" s="6"/>
      <c r="BG300" s="12">
        <v>27</v>
      </c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5"/>
      <c r="BS300" s="5"/>
      <c r="BT300" s="6"/>
      <c r="BU300" s="5">
        <v>42.1</v>
      </c>
      <c r="BV300" s="5">
        <v>0.81100000000000005</v>
      </c>
      <c r="BW300" s="111">
        <v>1.3029999999999999</v>
      </c>
      <c r="BX300" s="6"/>
      <c r="BY300" s="6"/>
      <c r="BZ300" s="30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9"/>
      <c r="DB300" s="6"/>
      <c r="DC300" s="30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7"/>
      <c r="FK300" s="6"/>
      <c r="FL300" s="6"/>
      <c r="FM300" s="94"/>
    </row>
    <row r="301" spans="1:169" s="3" customFormat="1" x14ac:dyDescent="0.4">
      <c r="A301" s="93"/>
      <c r="B301" s="93"/>
      <c r="C301" s="26"/>
      <c r="D301" s="27" t="s">
        <v>319</v>
      </c>
      <c r="E301" s="2" t="s">
        <v>481</v>
      </c>
      <c r="F301" s="28" t="s">
        <v>319</v>
      </c>
      <c r="G301" s="28" t="s">
        <v>319</v>
      </c>
      <c r="H301" s="28" t="s">
        <v>319</v>
      </c>
      <c r="I301" s="6" t="s">
        <v>433</v>
      </c>
      <c r="J301" s="28" t="s">
        <v>319</v>
      </c>
      <c r="K301" s="28" t="s">
        <v>319</v>
      </c>
      <c r="L301" s="28" t="s">
        <v>319</v>
      </c>
      <c r="M301" s="28" t="s">
        <v>319</v>
      </c>
      <c r="N301" s="28" t="s">
        <v>319</v>
      </c>
      <c r="O301" s="28" t="s">
        <v>319</v>
      </c>
      <c r="P301" s="28" t="s">
        <v>319</v>
      </c>
      <c r="Q301" s="5" t="s">
        <v>721</v>
      </c>
      <c r="R301" s="5" t="s">
        <v>663</v>
      </c>
      <c r="S301" s="6" t="s">
        <v>669</v>
      </c>
      <c r="T301" s="5" t="s">
        <v>946</v>
      </c>
      <c r="U301" s="5" t="s">
        <v>947</v>
      </c>
      <c r="V301" s="106">
        <v>886743</v>
      </c>
      <c r="W301" s="6" t="s">
        <v>665</v>
      </c>
      <c r="X301" s="105">
        <v>15.67</v>
      </c>
      <c r="Y301" s="105">
        <v>15.48</v>
      </c>
      <c r="Z301" s="105">
        <v>15.68</v>
      </c>
      <c r="AA301" s="6" t="s">
        <v>963</v>
      </c>
      <c r="AB301" s="6">
        <v>9.6999999999999993</v>
      </c>
      <c r="AC301" s="6">
        <v>9.4700000000000006</v>
      </c>
      <c r="AD301" s="6">
        <v>9.6999999999999993</v>
      </c>
      <c r="AE301" s="6" t="s">
        <v>978</v>
      </c>
      <c r="AF301" s="6"/>
      <c r="AG301" s="12">
        <v>21.6</v>
      </c>
      <c r="AH301" s="6"/>
      <c r="AI301" s="6" t="s">
        <v>965</v>
      </c>
      <c r="AJ301" s="108"/>
      <c r="AK301" s="108">
        <v>8.6999999999999994E-2</v>
      </c>
      <c r="AL301" s="6"/>
      <c r="AM301" s="6" t="s">
        <v>958</v>
      </c>
      <c r="AN301" s="6"/>
      <c r="AO301" s="105">
        <v>10.81</v>
      </c>
      <c r="AP301" s="6"/>
      <c r="AQ301" s="28" t="s">
        <v>319</v>
      </c>
      <c r="AR301" s="28" t="s">
        <v>319</v>
      </c>
      <c r="AS301" s="28" t="s">
        <v>319</v>
      </c>
      <c r="AT301" s="28" t="s">
        <v>319</v>
      </c>
      <c r="AU301" s="28" t="s">
        <v>319</v>
      </c>
      <c r="AV301" s="28" t="s">
        <v>319</v>
      </c>
      <c r="AW301" s="28" t="s">
        <v>319</v>
      </c>
      <c r="AX301" s="28" t="s">
        <v>319</v>
      </c>
      <c r="AY301" s="28" t="s">
        <v>319</v>
      </c>
      <c r="AZ301" s="28" t="s">
        <v>319</v>
      </c>
      <c r="BA301" s="28" t="s">
        <v>319</v>
      </c>
      <c r="BB301" s="6" t="s">
        <v>984</v>
      </c>
      <c r="BC301" s="106">
        <v>-47</v>
      </c>
      <c r="BD301" s="106">
        <v>100</v>
      </c>
      <c r="BE301" s="6" t="s">
        <v>1014</v>
      </c>
      <c r="BF301" s="6"/>
      <c r="BG301" s="12">
        <v>28.5</v>
      </c>
      <c r="BH301" s="28" t="s">
        <v>319</v>
      </c>
      <c r="BI301" s="28" t="s">
        <v>319</v>
      </c>
      <c r="BJ301" s="28" t="s">
        <v>319</v>
      </c>
      <c r="BK301" s="28" t="s">
        <v>319</v>
      </c>
      <c r="BL301" s="28" t="s">
        <v>319</v>
      </c>
      <c r="BM301" s="28" t="s">
        <v>319</v>
      </c>
      <c r="BN301" s="28" t="s">
        <v>319</v>
      </c>
      <c r="BO301" s="28" t="s">
        <v>319</v>
      </c>
      <c r="BP301" s="28" t="s">
        <v>319</v>
      </c>
      <c r="BQ301" s="28" t="s">
        <v>319</v>
      </c>
      <c r="BR301" s="12">
        <v>47.1</v>
      </c>
      <c r="BS301" s="12">
        <v>507.9</v>
      </c>
      <c r="BT301" s="6"/>
      <c r="BU301" s="13"/>
      <c r="BV301" s="6"/>
      <c r="BW301" s="111"/>
      <c r="BX301" s="6" t="s">
        <v>1052</v>
      </c>
      <c r="BY301" s="6"/>
      <c r="BZ301" s="30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9"/>
      <c r="DB301" s="6"/>
      <c r="DC301" s="30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 t="s">
        <v>319</v>
      </c>
      <c r="DO301" s="28" t="s">
        <v>319</v>
      </c>
      <c r="DP301" s="28" t="s">
        <v>319</v>
      </c>
      <c r="DQ301" s="28" t="s">
        <v>319</v>
      </c>
      <c r="DR301" s="28" t="s">
        <v>319</v>
      </c>
      <c r="DS301" s="28" t="s">
        <v>319</v>
      </c>
      <c r="DT301" s="28" t="s">
        <v>319</v>
      </c>
      <c r="DU301" s="28" t="s">
        <v>319</v>
      </c>
      <c r="DV301" s="28" t="s">
        <v>319</v>
      </c>
      <c r="DW301" s="28" t="s">
        <v>319</v>
      </c>
      <c r="DX301" s="28" t="s">
        <v>319</v>
      </c>
      <c r="DY301" s="28" t="s">
        <v>319</v>
      </c>
      <c r="DZ301" s="28" t="s">
        <v>319</v>
      </c>
      <c r="EA301" s="28" t="s">
        <v>319</v>
      </c>
      <c r="EB301" s="28" t="s">
        <v>319</v>
      </c>
      <c r="EC301" s="28" t="s">
        <v>319</v>
      </c>
      <c r="ED301" s="28" t="s">
        <v>319</v>
      </c>
      <c r="EE301" s="28"/>
      <c r="EF301" s="28" t="s">
        <v>319</v>
      </c>
      <c r="EG301" s="28" t="s">
        <v>319</v>
      </c>
      <c r="EH301" s="28" t="s">
        <v>319</v>
      </c>
      <c r="EI301" s="28" t="s">
        <v>319</v>
      </c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7"/>
      <c r="FK301" s="6"/>
      <c r="FL301" s="6"/>
      <c r="FM301" s="97"/>
    </row>
    <row r="302" spans="1:169" s="3" customFormat="1" x14ac:dyDescent="0.4">
      <c r="A302" s="93"/>
      <c r="B302" s="93"/>
      <c r="C302" s="26"/>
      <c r="D302" s="27" t="s">
        <v>319</v>
      </c>
      <c r="E302" s="2" t="s">
        <v>515</v>
      </c>
      <c r="F302" s="28" t="s">
        <v>319</v>
      </c>
      <c r="G302" s="28" t="s">
        <v>319</v>
      </c>
      <c r="H302" s="28" t="s">
        <v>319</v>
      </c>
      <c r="I302" s="6" t="s">
        <v>433</v>
      </c>
      <c r="J302" s="28" t="s">
        <v>319</v>
      </c>
      <c r="K302" s="28" t="s">
        <v>319</v>
      </c>
      <c r="L302" s="28" t="s">
        <v>319</v>
      </c>
      <c r="M302" s="28" t="s">
        <v>319</v>
      </c>
      <c r="N302" s="28" t="s">
        <v>319</v>
      </c>
      <c r="O302" s="28" t="s">
        <v>319</v>
      </c>
      <c r="P302" s="28" t="s">
        <v>319</v>
      </c>
      <c r="Q302" s="5" t="s">
        <v>721</v>
      </c>
      <c r="R302" s="5" t="s">
        <v>667</v>
      </c>
      <c r="S302" s="6" t="s">
        <v>669</v>
      </c>
      <c r="T302" s="5" t="s">
        <v>948</v>
      </c>
      <c r="U302" s="5" t="s">
        <v>949</v>
      </c>
      <c r="V302" s="106">
        <v>480029</v>
      </c>
      <c r="W302" s="6" t="s">
        <v>665</v>
      </c>
      <c r="X302" s="105">
        <v>5.63</v>
      </c>
      <c r="Y302" s="105">
        <v>5.63</v>
      </c>
      <c r="Z302" s="105">
        <v>5.62</v>
      </c>
      <c r="AA302" s="6" t="s">
        <v>963</v>
      </c>
      <c r="AB302" s="6">
        <v>9.9999999999997868E-3</v>
      </c>
      <c r="AC302" s="6">
        <v>9.9999999999997868E-3</v>
      </c>
      <c r="AD302" s="6">
        <v>2.0000000000000462E-2</v>
      </c>
      <c r="AE302" s="6" t="s">
        <v>956</v>
      </c>
      <c r="AF302" s="6"/>
      <c r="AG302" s="12">
        <v>3.8</v>
      </c>
      <c r="AH302" s="6"/>
      <c r="AI302" s="6" t="s">
        <v>965</v>
      </c>
      <c r="AJ302" s="108"/>
      <c r="AK302" s="112">
        <v>8.3000000000000001E-3</v>
      </c>
      <c r="AL302" s="6"/>
      <c r="AM302" s="6"/>
      <c r="AN302" s="6"/>
      <c r="AO302" s="5"/>
      <c r="AP302" s="6"/>
      <c r="AQ302" s="28" t="s">
        <v>319</v>
      </c>
      <c r="AR302" s="28" t="s">
        <v>319</v>
      </c>
      <c r="AS302" s="28" t="s">
        <v>319</v>
      </c>
      <c r="AT302" s="28" t="s">
        <v>319</v>
      </c>
      <c r="AU302" s="28" t="s">
        <v>319</v>
      </c>
      <c r="AV302" s="28" t="s">
        <v>319</v>
      </c>
      <c r="AW302" s="28" t="s">
        <v>319</v>
      </c>
      <c r="AX302" s="28" t="s">
        <v>319</v>
      </c>
      <c r="AY302" s="28" t="s">
        <v>319</v>
      </c>
      <c r="AZ302" s="28" t="s">
        <v>319</v>
      </c>
      <c r="BA302" s="28" t="s">
        <v>319</v>
      </c>
      <c r="BB302" s="6" t="s">
        <v>984</v>
      </c>
      <c r="BC302" s="106">
        <v>-47</v>
      </c>
      <c r="BD302" s="106">
        <v>65</v>
      </c>
      <c r="BE302" s="6" t="s">
        <v>1014</v>
      </c>
      <c r="BF302" s="6"/>
      <c r="BG302" s="12">
        <v>18</v>
      </c>
      <c r="BH302" s="28" t="s">
        <v>319</v>
      </c>
      <c r="BI302" s="28" t="s">
        <v>319</v>
      </c>
      <c r="BJ302" s="28" t="s">
        <v>319</v>
      </c>
      <c r="BK302" s="28" t="s">
        <v>319</v>
      </c>
      <c r="BL302" s="28" t="s">
        <v>319</v>
      </c>
      <c r="BM302" s="28" t="s">
        <v>319</v>
      </c>
      <c r="BN302" s="28" t="s">
        <v>319</v>
      </c>
      <c r="BO302" s="28" t="s">
        <v>319</v>
      </c>
      <c r="BP302" s="28" t="s">
        <v>319</v>
      </c>
      <c r="BQ302" s="28" t="s">
        <v>319</v>
      </c>
      <c r="BR302" s="5"/>
      <c r="BS302" s="105"/>
      <c r="BT302" s="6"/>
      <c r="BU302" s="12">
        <v>42.1</v>
      </c>
      <c r="BV302" s="6" t="s">
        <v>1040</v>
      </c>
      <c r="BW302" s="105">
        <v>1.23</v>
      </c>
      <c r="BX302" s="6"/>
      <c r="BY302" s="6"/>
      <c r="BZ302" s="30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9"/>
      <c r="DB302" s="6"/>
      <c r="DC302" s="30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 t="s">
        <v>319</v>
      </c>
      <c r="DO302" s="28" t="s">
        <v>319</v>
      </c>
      <c r="DP302" s="28" t="s">
        <v>319</v>
      </c>
      <c r="DQ302" s="28" t="s">
        <v>319</v>
      </c>
      <c r="DR302" s="28" t="s">
        <v>319</v>
      </c>
      <c r="DS302" s="28" t="s">
        <v>319</v>
      </c>
      <c r="DT302" s="28" t="s">
        <v>319</v>
      </c>
      <c r="DU302" s="28" t="s">
        <v>319</v>
      </c>
      <c r="DV302" s="28" t="s">
        <v>319</v>
      </c>
      <c r="DW302" s="28" t="s">
        <v>319</v>
      </c>
      <c r="DX302" s="28" t="s">
        <v>319</v>
      </c>
      <c r="DY302" s="28" t="s">
        <v>319</v>
      </c>
      <c r="DZ302" s="28" t="s">
        <v>319</v>
      </c>
      <c r="EA302" s="28" t="s">
        <v>319</v>
      </c>
      <c r="EB302" s="28" t="s">
        <v>319</v>
      </c>
      <c r="EC302" s="28" t="s">
        <v>319</v>
      </c>
      <c r="ED302" s="28" t="s">
        <v>319</v>
      </c>
      <c r="EE302" s="28"/>
      <c r="EF302" s="28" t="s">
        <v>319</v>
      </c>
      <c r="EG302" s="28" t="s">
        <v>319</v>
      </c>
      <c r="EH302" s="28" t="s">
        <v>319</v>
      </c>
      <c r="EI302" s="28" t="s">
        <v>319</v>
      </c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7"/>
      <c r="FK302" s="6"/>
      <c r="FL302" s="6"/>
      <c r="FM302" s="94"/>
    </row>
    <row r="303" spans="1:169" s="3" customFormat="1" x14ac:dyDescent="0.4">
      <c r="A303" s="93"/>
      <c r="B303" s="93"/>
      <c r="C303" s="26"/>
      <c r="D303" s="27" t="s">
        <v>319</v>
      </c>
      <c r="E303" s="2" t="s">
        <v>553</v>
      </c>
      <c r="F303" s="28" t="s">
        <v>319</v>
      </c>
      <c r="G303" s="28" t="s">
        <v>319</v>
      </c>
      <c r="H303" s="28" t="s">
        <v>319</v>
      </c>
      <c r="I303" s="6" t="s">
        <v>433</v>
      </c>
      <c r="J303" s="28" t="s">
        <v>319</v>
      </c>
      <c r="K303" s="28" t="s">
        <v>319</v>
      </c>
      <c r="L303" s="28" t="s">
        <v>319</v>
      </c>
      <c r="M303" s="28" t="s">
        <v>319</v>
      </c>
      <c r="N303" s="28" t="s">
        <v>319</v>
      </c>
      <c r="O303" s="28" t="s">
        <v>319</v>
      </c>
      <c r="P303" s="28" t="s">
        <v>319</v>
      </c>
      <c r="Q303" s="5" t="s">
        <v>721</v>
      </c>
      <c r="R303" s="5" t="s">
        <v>667</v>
      </c>
      <c r="S303" s="6" t="s">
        <v>669</v>
      </c>
      <c r="T303" s="5"/>
      <c r="U303" s="110">
        <f>0.01*1234800</f>
        <v>12348</v>
      </c>
      <c r="V303" s="106"/>
      <c r="W303" s="6" t="s">
        <v>665</v>
      </c>
      <c r="X303" s="105"/>
      <c r="Y303" s="105">
        <f>5.62+0.5</f>
        <v>6.12</v>
      </c>
      <c r="Z303" s="105"/>
      <c r="AA303" s="6" t="s">
        <v>982</v>
      </c>
      <c r="AB303" s="6"/>
      <c r="AC303" s="6" t="s">
        <v>1079</v>
      </c>
      <c r="AD303" s="6"/>
      <c r="AE303" s="6" t="s">
        <v>984</v>
      </c>
      <c r="AF303" s="6"/>
      <c r="AG303" s="12">
        <v>3.8</v>
      </c>
      <c r="AH303" s="6"/>
      <c r="AI303" s="6" t="s">
        <v>965</v>
      </c>
      <c r="AJ303" s="108"/>
      <c r="AK303" s="5">
        <v>8.3000000000000001E-3</v>
      </c>
      <c r="AL303" s="6"/>
      <c r="AM303" s="6" t="s">
        <v>958</v>
      </c>
      <c r="AN303" s="6"/>
      <c r="AO303" s="5"/>
      <c r="AP303" s="6"/>
      <c r="AQ303" s="28" t="s">
        <v>319</v>
      </c>
      <c r="AR303" s="28" t="s">
        <v>319</v>
      </c>
      <c r="AS303" s="28" t="s">
        <v>319</v>
      </c>
      <c r="AT303" s="28" t="s">
        <v>319</v>
      </c>
      <c r="AU303" s="28" t="s">
        <v>319</v>
      </c>
      <c r="AV303" s="28" t="s">
        <v>319</v>
      </c>
      <c r="AW303" s="28" t="s">
        <v>319</v>
      </c>
      <c r="AX303" s="28" t="s">
        <v>319</v>
      </c>
      <c r="AY303" s="28" t="s">
        <v>319</v>
      </c>
      <c r="AZ303" s="28" t="s">
        <v>319</v>
      </c>
      <c r="BA303" s="28" t="s">
        <v>319</v>
      </c>
      <c r="BB303" s="6" t="s">
        <v>984</v>
      </c>
      <c r="BC303" s="106">
        <v>-47</v>
      </c>
      <c r="BD303" s="106">
        <v>65</v>
      </c>
      <c r="BE303" s="6" t="s">
        <v>1014</v>
      </c>
      <c r="BF303" s="6"/>
      <c r="BG303" s="12">
        <v>18</v>
      </c>
      <c r="BH303" s="28" t="s">
        <v>319</v>
      </c>
      <c r="BI303" s="28" t="s">
        <v>319</v>
      </c>
      <c r="BJ303" s="28" t="s">
        <v>319</v>
      </c>
      <c r="BK303" s="28" t="s">
        <v>319</v>
      </c>
      <c r="BL303" s="28" t="s">
        <v>319</v>
      </c>
      <c r="BM303" s="28" t="s">
        <v>319</v>
      </c>
      <c r="BN303" s="28" t="s">
        <v>319</v>
      </c>
      <c r="BO303" s="28" t="s">
        <v>319</v>
      </c>
      <c r="BP303" s="28" t="s">
        <v>319</v>
      </c>
      <c r="BQ303" s="28" t="s">
        <v>319</v>
      </c>
      <c r="BR303" s="5"/>
      <c r="BS303" s="105"/>
      <c r="BT303" s="6"/>
      <c r="BU303" s="13">
        <v>42.09</v>
      </c>
      <c r="BV303" s="5">
        <v>0.879</v>
      </c>
      <c r="BW303" s="111">
        <v>1.23</v>
      </c>
      <c r="BX303" s="6"/>
      <c r="BY303" s="6"/>
      <c r="BZ303" s="30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9"/>
      <c r="DB303" s="6"/>
      <c r="DC303" s="30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 t="s">
        <v>319</v>
      </c>
      <c r="DO303" s="28" t="s">
        <v>319</v>
      </c>
      <c r="DP303" s="28" t="s">
        <v>319</v>
      </c>
      <c r="DQ303" s="28" t="s">
        <v>319</v>
      </c>
      <c r="DR303" s="28" t="s">
        <v>319</v>
      </c>
      <c r="DS303" s="28" t="s">
        <v>319</v>
      </c>
      <c r="DT303" s="28" t="s">
        <v>319</v>
      </c>
      <c r="DU303" s="28" t="s">
        <v>319</v>
      </c>
      <c r="DV303" s="28" t="s">
        <v>319</v>
      </c>
      <c r="DW303" s="28" t="s">
        <v>319</v>
      </c>
      <c r="DX303" s="28" t="s">
        <v>319</v>
      </c>
      <c r="DY303" s="28" t="s">
        <v>319</v>
      </c>
      <c r="DZ303" s="28" t="s">
        <v>319</v>
      </c>
      <c r="EA303" s="28" t="s">
        <v>319</v>
      </c>
      <c r="EB303" s="28" t="s">
        <v>319</v>
      </c>
      <c r="EC303" s="28" t="s">
        <v>319</v>
      </c>
      <c r="ED303" s="28" t="s">
        <v>319</v>
      </c>
      <c r="EE303" s="28"/>
      <c r="EF303" s="28" t="s">
        <v>319</v>
      </c>
      <c r="EG303" s="28" t="s">
        <v>319</v>
      </c>
      <c r="EH303" s="28" t="s">
        <v>319</v>
      </c>
      <c r="EI303" s="28" t="s">
        <v>319</v>
      </c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7"/>
      <c r="FK303" s="6"/>
      <c r="FL303" s="6"/>
      <c r="FM303" s="94"/>
    </row>
    <row r="304" spans="1:169" s="3" customFormat="1" x14ac:dyDescent="0.4">
      <c r="A304" s="93"/>
      <c r="B304" s="93"/>
      <c r="C304" s="26"/>
      <c r="D304" s="27" t="s">
        <v>319</v>
      </c>
      <c r="E304" s="2" t="s">
        <v>516</v>
      </c>
      <c r="F304" s="28" t="s">
        <v>319</v>
      </c>
      <c r="G304" s="28" t="s">
        <v>319</v>
      </c>
      <c r="H304" s="28" t="s">
        <v>319</v>
      </c>
      <c r="I304" s="6" t="s">
        <v>517</v>
      </c>
      <c r="J304" s="28" t="s">
        <v>319</v>
      </c>
      <c r="K304" s="28" t="s">
        <v>319</v>
      </c>
      <c r="L304" s="28" t="s">
        <v>319</v>
      </c>
      <c r="M304" s="28" t="s">
        <v>319</v>
      </c>
      <c r="N304" s="28" t="s">
        <v>319</v>
      </c>
      <c r="O304" s="28" t="s">
        <v>319</v>
      </c>
      <c r="P304" s="28" t="s">
        <v>319</v>
      </c>
      <c r="Q304" s="5" t="s">
        <v>721</v>
      </c>
      <c r="R304" s="5" t="s">
        <v>667</v>
      </c>
      <c r="S304" s="6" t="s">
        <v>672</v>
      </c>
      <c r="T304" s="5"/>
      <c r="U304" s="5"/>
      <c r="V304" s="106">
        <v>75475</v>
      </c>
      <c r="W304" s="6" t="s">
        <v>665</v>
      </c>
      <c r="X304" s="5"/>
      <c r="Y304" s="5"/>
      <c r="Z304" s="105">
        <v>16.850000000000001</v>
      </c>
      <c r="AA304" s="6" t="s">
        <v>963</v>
      </c>
      <c r="AB304" s="6"/>
      <c r="AC304" s="6" t="s">
        <v>1105</v>
      </c>
      <c r="AD304" s="99" t="s">
        <v>1106</v>
      </c>
      <c r="AE304" s="6" t="s">
        <v>956</v>
      </c>
      <c r="AF304" s="6"/>
      <c r="AG304" s="12">
        <v>68.3</v>
      </c>
      <c r="AH304" s="6"/>
      <c r="AI304" s="6" t="s">
        <v>965</v>
      </c>
      <c r="AJ304" s="108"/>
      <c r="AK304" s="112">
        <v>1.0999999999999999E-2</v>
      </c>
      <c r="AL304" s="6"/>
      <c r="AM304" s="6"/>
      <c r="AN304" s="6"/>
      <c r="AO304" s="5"/>
      <c r="AP304" s="6"/>
      <c r="AQ304" s="28" t="s">
        <v>319</v>
      </c>
      <c r="AR304" s="28" t="s">
        <v>319</v>
      </c>
      <c r="AS304" s="28" t="s">
        <v>319</v>
      </c>
      <c r="AT304" s="28" t="s">
        <v>319</v>
      </c>
      <c r="AU304" s="28" t="s">
        <v>319</v>
      </c>
      <c r="AV304" s="28" t="s">
        <v>319</v>
      </c>
      <c r="AW304" s="28" t="s">
        <v>319</v>
      </c>
      <c r="AX304" s="28" t="s">
        <v>319</v>
      </c>
      <c r="AY304" s="28" t="s">
        <v>319</v>
      </c>
      <c r="AZ304" s="28" t="s">
        <v>319</v>
      </c>
      <c r="BA304" s="28" t="s">
        <v>319</v>
      </c>
      <c r="BB304" s="6" t="s">
        <v>984</v>
      </c>
      <c r="BC304" s="106">
        <v>-47</v>
      </c>
      <c r="BD304" s="106">
        <v>100</v>
      </c>
      <c r="BE304" s="6" t="s">
        <v>1014</v>
      </c>
      <c r="BF304" s="6"/>
      <c r="BG304" s="12">
        <v>27</v>
      </c>
      <c r="BH304" s="28" t="s">
        <v>319</v>
      </c>
      <c r="BI304" s="28" t="s">
        <v>319</v>
      </c>
      <c r="BJ304" s="28" t="s">
        <v>319</v>
      </c>
      <c r="BK304" s="28" t="s">
        <v>319</v>
      </c>
      <c r="BL304" s="28" t="s">
        <v>319</v>
      </c>
      <c r="BM304" s="28" t="s">
        <v>319</v>
      </c>
      <c r="BN304" s="28" t="s">
        <v>319</v>
      </c>
      <c r="BO304" s="28" t="s">
        <v>319</v>
      </c>
      <c r="BP304" s="28" t="s">
        <v>319</v>
      </c>
      <c r="BQ304" s="28" t="s">
        <v>319</v>
      </c>
      <c r="BR304" s="5"/>
      <c r="BS304" s="105"/>
      <c r="BT304" s="6"/>
      <c r="BU304" s="12">
        <v>42.1</v>
      </c>
      <c r="BV304" s="6" t="s">
        <v>1050</v>
      </c>
      <c r="BW304" s="105">
        <v>1.28</v>
      </c>
      <c r="BX304" s="6"/>
      <c r="BY304" s="6"/>
      <c r="BZ304" s="30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9"/>
      <c r="DB304" s="6"/>
      <c r="DC304" s="30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 t="s">
        <v>319</v>
      </c>
      <c r="DO304" s="28" t="s">
        <v>319</v>
      </c>
      <c r="DP304" s="28" t="s">
        <v>319</v>
      </c>
      <c r="DQ304" s="28" t="s">
        <v>319</v>
      </c>
      <c r="DR304" s="28" t="s">
        <v>319</v>
      </c>
      <c r="DS304" s="28" t="s">
        <v>319</v>
      </c>
      <c r="DT304" s="28" t="s">
        <v>319</v>
      </c>
      <c r="DU304" s="28" t="s">
        <v>319</v>
      </c>
      <c r="DV304" s="28" t="s">
        <v>319</v>
      </c>
      <c r="DW304" s="28" t="s">
        <v>319</v>
      </c>
      <c r="DX304" s="28" t="s">
        <v>319</v>
      </c>
      <c r="DY304" s="28" t="s">
        <v>319</v>
      </c>
      <c r="DZ304" s="28" t="s">
        <v>319</v>
      </c>
      <c r="EA304" s="28" t="s">
        <v>319</v>
      </c>
      <c r="EB304" s="28" t="s">
        <v>319</v>
      </c>
      <c r="EC304" s="28" t="s">
        <v>319</v>
      </c>
      <c r="ED304" s="28" t="s">
        <v>319</v>
      </c>
      <c r="EE304" s="28"/>
      <c r="EF304" s="28" t="s">
        <v>319</v>
      </c>
      <c r="EG304" s="28" t="s">
        <v>319</v>
      </c>
      <c r="EH304" s="28" t="s">
        <v>319</v>
      </c>
      <c r="EI304" s="28" t="s">
        <v>319</v>
      </c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7"/>
      <c r="FK304" s="6"/>
      <c r="FL304" s="6"/>
      <c r="FM304" s="94"/>
    </row>
    <row r="305" spans="1:169" s="3" customFormat="1" x14ac:dyDescent="0.4">
      <c r="A305" s="93"/>
      <c r="B305" s="93"/>
      <c r="C305" s="26"/>
      <c r="D305" s="27" t="s">
        <v>319</v>
      </c>
      <c r="E305" s="2" t="s">
        <v>518</v>
      </c>
      <c r="F305" s="28" t="s">
        <v>319</v>
      </c>
      <c r="G305" s="28" t="s">
        <v>319</v>
      </c>
      <c r="H305" s="28" t="s">
        <v>319</v>
      </c>
      <c r="I305" s="6" t="s">
        <v>517</v>
      </c>
      <c r="J305" s="28" t="s">
        <v>319</v>
      </c>
      <c r="K305" s="28" t="s">
        <v>319</v>
      </c>
      <c r="L305" s="28" t="s">
        <v>319</v>
      </c>
      <c r="M305" s="28" t="s">
        <v>319</v>
      </c>
      <c r="N305" s="28" t="s">
        <v>319</v>
      </c>
      <c r="O305" s="28" t="s">
        <v>319</v>
      </c>
      <c r="P305" s="28" t="s">
        <v>319</v>
      </c>
      <c r="Q305" s="5" t="s">
        <v>721</v>
      </c>
      <c r="R305" s="5" t="s">
        <v>667</v>
      </c>
      <c r="S305" s="6" t="s">
        <v>678</v>
      </c>
      <c r="T305" s="5"/>
      <c r="U305" s="5">
        <f>1285400*0.03</f>
        <v>38562</v>
      </c>
      <c r="V305" s="107" t="s">
        <v>1080</v>
      </c>
      <c r="W305" s="6" t="s">
        <v>665</v>
      </c>
      <c r="X305" s="5"/>
      <c r="Y305" s="105">
        <f>16.56+0.5</f>
        <v>17.059999999999999</v>
      </c>
      <c r="Z305" s="109" t="s">
        <v>1080</v>
      </c>
      <c r="AA305" s="6" t="s">
        <v>963</v>
      </c>
      <c r="AB305" s="6"/>
      <c r="AC305" s="6" t="s">
        <v>1081</v>
      </c>
      <c r="AD305" s="109" t="s">
        <v>1080</v>
      </c>
      <c r="AE305" s="6" t="s">
        <v>985</v>
      </c>
      <c r="AF305" s="6"/>
      <c r="AG305" s="12">
        <v>68.3</v>
      </c>
      <c r="AH305" s="6"/>
      <c r="AI305" s="6" t="s">
        <v>965</v>
      </c>
      <c r="AJ305" s="112"/>
      <c r="AK305" s="112">
        <v>1.0999999999999999E-2</v>
      </c>
      <c r="AL305" s="6"/>
      <c r="AM305" s="6" t="s">
        <v>958</v>
      </c>
      <c r="AN305" s="6"/>
      <c r="AO305" s="5"/>
      <c r="AP305" s="6"/>
      <c r="AQ305" s="28" t="s">
        <v>319</v>
      </c>
      <c r="AR305" s="28" t="s">
        <v>319</v>
      </c>
      <c r="AS305" s="28" t="s">
        <v>319</v>
      </c>
      <c r="AT305" s="28" t="s">
        <v>319</v>
      </c>
      <c r="AU305" s="28" t="s">
        <v>319</v>
      </c>
      <c r="AV305" s="28" t="s">
        <v>319</v>
      </c>
      <c r="AW305" s="28" t="s">
        <v>319</v>
      </c>
      <c r="AX305" s="28" t="s">
        <v>319</v>
      </c>
      <c r="AY305" s="28" t="s">
        <v>319</v>
      </c>
      <c r="AZ305" s="28" t="s">
        <v>319</v>
      </c>
      <c r="BA305" s="28" t="s">
        <v>319</v>
      </c>
      <c r="BB305" s="6" t="s">
        <v>984</v>
      </c>
      <c r="BC305" s="106">
        <v>-47</v>
      </c>
      <c r="BD305" s="106">
        <v>100</v>
      </c>
      <c r="BE305" s="6" t="s">
        <v>1008</v>
      </c>
      <c r="BF305" s="6"/>
      <c r="BG305" s="12">
        <v>27</v>
      </c>
      <c r="BH305" s="28" t="s">
        <v>319</v>
      </c>
      <c r="BI305" s="28" t="s">
        <v>319</v>
      </c>
      <c r="BJ305" s="28" t="s">
        <v>319</v>
      </c>
      <c r="BK305" s="28" t="s">
        <v>319</v>
      </c>
      <c r="BL305" s="28" t="s">
        <v>319</v>
      </c>
      <c r="BM305" s="28" t="s">
        <v>319</v>
      </c>
      <c r="BN305" s="28" t="s">
        <v>319</v>
      </c>
      <c r="BO305" s="28" t="s">
        <v>319</v>
      </c>
      <c r="BP305" s="28" t="s">
        <v>319</v>
      </c>
      <c r="BQ305" s="28" t="s">
        <v>319</v>
      </c>
      <c r="BR305" s="5"/>
      <c r="BS305" s="105"/>
      <c r="BT305" s="6"/>
      <c r="BU305" s="12">
        <v>42.1</v>
      </c>
      <c r="BV305" s="6" t="s">
        <v>1050</v>
      </c>
      <c r="BW305" s="105">
        <v>1.28</v>
      </c>
      <c r="BX305" s="6"/>
      <c r="BY305" s="6"/>
      <c r="BZ305" s="30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9"/>
      <c r="DB305" s="6"/>
      <c r="DC305" s="30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 t="s">
        <v>319</v>
      </c>
      <c r="DO305" s="28" t="s">
        <v>319</v>
      </c>
      <c r="DP305" s="28" t="s">
        <v>319</v>
      </c>
      <c r="DQ305" s="28" t="s">
        <v>319</v>
      </c>
      <c r="DR305" s="28" t="s">
        <v>319</v>
      </c>
      <c r="DS305" s="28" t="s">
        <v>319</v>
      </c>
      <c r="DT305" s="28" t="s">
        <v>319</v>
      </c>
      <c r="DU305" s="28" t="s">
        <v>319</v>
      </c>
      <c r="DV305" s="28" t="s">
        <v>319</v>
      </c>
      <c r="DW305" s="28" t="s">
        <v>319</v>
      </c>
      <c r="DX305" s="28" t="s">
        <v>319</v>
      </c>
      <c r="DY305" s="28" t="s">
        <v>319</v>
      </c>
      <c r="DZ305" s="28" t="s">
        <v>319</v>
      </c>
      <c r="EA305" s="28" t="s">
        <v>319</v>
      </c>
      <c r="EB305" s="28" t="s">
        <v>319</v>
      </c>
      <c r="EC305" s="28" t="s">
        <v>319</v>
      </c>
      <c r="ED305" s="28" t="s">
        <v>319</v>
      </c>
      <c r="EE305" s="28"/>
      <c r="EF305" s="28" t="s">
        <v>319</v>
      </c>
      <c r="EG305" s="28" t="s">
        <v>319</v>
      </c>
      <c r="EH305" s="28" t="s">
        <v>319</v>
      </c>
      <c r="EI305" s="28" t="s">
        <v>319</v>
      </c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7"/>
      <c r="FK305" s="6"/>
      <c r="FL305" s="6"/>
      <c r="FM305" s="94"/>
    </row>
    <row r="306" spans="1:169" s="3" customFormat="1" x14ac:dyDescent="0.4">
      <c r="A306" s="89"/>
      <c r="B306" s="89"/>
      <c r="C306" s="87"/>
      <c r="D306" s="88" t="s">
        <v>319</v>
      </c>
      <c r="E306" s="33" t="s">
        <v>554</v>
      </c>
      <c r="F306" s="34" t="s">
        <v>319</v>
      </c>
      <c r="G306" s="34" t="s">
        <v>319</v>
      </c>
      <c r="H306" s="34" t="s">
        <v>319</v>
      </c>
      <c r="I306" s="35" t="s">
        <v>662</v>
      </c>
      <c r="J306" s="34" t="s">
        <v>319</v>
      </c>
      <c r="K306" s="34" t="s">
        <v>319</v>
      </c>
      <c r="L306" s="34" t="s">
        <v>319</v>
      </c>
      <c r="M306" s="34" t="s">
        <v>319</v>
      </c>
      <c r="N306" s="34" t="s">
        <v>319</v>
      </c>
      <c r="O306" s="34" t="s">
        <v>319</v>
      </c>
      <c r="P306" s="34" t="s">
        <v>319</v>
      </c>
      <c r="Q306" s="36" t="s">
        <v>676</v>
      </c>
      <c r="R306" s="36" t="s">
        <v>663</v>
      </c>
      <c r="S306" s="35" t="s">
        <v>678</v>
      </c>
      <c r="T306" s="36"/>
      <c r="U306" s="36"/>
      <c r="V306" s="40">
        <v>56760</v>
      </c>
      <c r="W306" s="35" t="s">
        <v>665</v>
      </c>
      <c r="X306" s="36"/>
      <c r="Y306" s="159"/>
      <c r="Z306" s="160">
        <v>8.1</v>
      </c>
      <c r="AA306" s="35" t="s">
        <v>963</v>
      </c>
      <c r="AB306" s="35"/>
      <c r="AC306" s="35"/>
      <c r="AD306" s="35">
        <v>7.6499999999999995</v>
      </c>
      <c r="AE306" s="35" t="s">
        <v>956</v>
      </c>
      <c r="AF306" s="35"/>
      <c r="AG306" s="161">
        <v>49</v>
      </c>
      <c r="AH306" s="35"/>
      <c r="AI306" s="35" t="s">
        <v>965</v>
      </c>
      <c r="AJ306" s="162"/>
      <c r="AK306" s="162">
        <v>0.55640000000000001</v>
      </c>
      <c r="AL306" s="35"/>
      <c r="AM306" s="35" t="s">
        <v>958</v>
      </c>
      <c r="AN306" s="35"/>
      <c r="AO306" s="160">
        <v>0.12</v>
      </c>
      <c r="AP306" s="35"/>
      <c r="AQ306" s="34" t="s">
        <v>319</v>
      </c>
      <c r="AR306" s="34" t="s">
        <v>319</v>
      </c>
      <c r="AS306" s="34" t="s">
        <v>319</v>
      </c>
      <c r="AT306" s="34" t="s">
        <v>319</v>
      </c>
      <c r="AU306" s="34" t="s">
        <v>319</v>
      </c>
      <c r="AV306" s="34" t="s">
        <v>319</v>
      </c>
      <c r="AW306" s="34" t="s">
        <v>319</v>
      </c>
      <c r="AX306" s="34" t="s">
        <v>319</v>
      </c>
      <c r="AY306" s="34" t="s">
        <v>319</v>
      </c>
      <c r="AZ306" s="34" t="s">
        <v>319</v>
      </c>
      <c r="BA306" s="34" t="s">
        <v>319</v>
      </c>
      <c r="BB306" s="35" t="s">
        <v>984</v>
      </c>
      <c r="BC306" s="159" t="s">
        <v>1009</v>
      </c>
      <c r="BD306" s="163">
        <v>150</v>
      </c>
      <c r="BE306" s="35" t="s">
        <v>1014</v>
      </c>
      <c r="BF306" s="35"/>
      <c r="BG306" s="164">
        <v>14.5</v>
      </c>
      <c r="BH306" s="34" t="s">
        <v>319</v>
      </c>
      <c r="BI306" s="34" t="s">
        <v>319</v>
      </c>
      <c r="BJ306" s="34" t="s">
        <v>319</v>
      </c>
      <c r="BK306" s="34" t="s">
        <v>319</v>
      </c>
      <c r="BL306" s="34" t="s">
        <v>319</v>
      </c>
      <c r="BM306" s="34" t="s">
        <v>319</v>
      </c>
      <c r="BN306" s="34" t="s">
        <v>319</v>
      </c>
      <c r="BO306" s="34" t="s">
        <v>319</v>
      </c>
      <c r="BP306" s="34" t="s">
        <v>319</v>
      </c>
      <c r="BQ306" s="34" t="s">
        <v>319</v>
      </c>
      <c r="BR306" s="161">
        <v>225.5</v>
      </c>
      <c r="BS306" s="160">
        <v>988.78</v>
      </c>
      <c r="BT306" s="35"/>
      <c r="BU306" s="159"/>
      <c r="BV306" s="35"/>
      <c r="BW306" s="36"/>
      <c r="BX306" s="35"/>
      <c r="BY306" s="35"/>
      <c r="BZ306" s="42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41"/>
      <c r="DB306" s="35"/>
      <c r="DC306" s="42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 t="s">
        <v>319</v>
      </c>
      <c r="DO306" s="34" t="s">
        <v>319</v>
      </c>
      <c r="DP306" s="34" t="s">
        <v>319</v>
      </c>
      <c r="DQ306" s="34" t="s">
        <v>319</v>
      </c>
      <c r="DR306" s="34" t="s">
        <v>319</v>
      </c>
      <c r="DS306" s="34" t="s">
        <v>319</v>
      </c>
      <c r="DT306" s="34" t="s">
        <v>319</v>
      </c>
      <c r="DU306" s="34" t="s">
        <v>319</v>
      </c>
      <c r="DV306" s="34" t="s">
        <v>319</v>
      </c>
      <c r="DW306" s="34" t="s">
        <v>319</v>
      </c>
      <c r="DX306" s="34" t="s">
        <v>319</v>
      </c>
      <c r="DY306" s="34" t="s">
        <v>319</v>
      </c>
      <c r="DZ306" s="34" t="s">
        <v>319</v>
      </c>
      <c r="EA306" s="34" t="s">
        <v>319</v>
      </c>
      <c r="EB306" s="34" t="s">
        <v>319</v>
      </c>
      <c r="EC306" s="34" t="s">
        <v>319</v>
      </c>
      <c r="ED306" s="34" t="s">
        <v>319</v>
      </c>
      <c r="EE306" s="34"/>
      <c r="EF306" s="34" t="s">
        <v>319</v>
      </c>
      <c r="EG306" s="34" t="s">
        <v>319</v>
      </c>
      <c r="EH306" s="34" t="s">
        <v>319</v>
      </c>
      <c r="EI306" s="34" t="s">
        <v>319</v>
      </c>
      <c r="EJ306" s="34"/>
      <c r="EK306" s="34"/>
      <c r="EL306" s="34"/>
      <c r="EM306" s="34"/>
      <c r="EN306" s="34"/>
      <c r="EO306" s="34"/>
      <c r="EP306" s="34"/>
      <c r="EQ306" s="34"/>
      <c r="ER306" s="34"/>
      <c r="ES306" s="34"/>
      <c r="ET306" s="34"/>
      <c r="EU306" s="34"/>
      <c r="EV306" s="34"/>
      <c r="EW306" s="34"/>
      <c r="EX306" s="34"/>
      <c r="EY306" s="34"/>
      <c r="EZ306" s="34"/>
      <c r="FA306" s="34"/>
      <c r="FB306" s="34"/>
      <c r="FC306" s="34"/>
      <c r="FD306" s="34"/>
      <c r="FE306" s="34"/>
      <c r="FF306" s="34"/>
      <c r="FG306" s="34"/>
      <c r="FH306" s="34"/>
      <c r="FI306" s="34"/>
      <c r="FJ306" s="32"/>
      <c r="FK306" s="35"/>
      <c r="FL306" s="35"/>
      <c r="FM306" s="165"/>
    </row>
    <row r="307" spans="1:169" s="3" customFormat="1" x14ac:dyDescent="0.4">
      <c r="A307" s="89"/>
      <c r="B307" s="89"/>
      <c r="C307" s="87"/>
      <c r="D307" s="88" t="s">
        <v>319</v>
      </c>
      <c r="E307" s="33" t="s">
        <v>555</v>
      </c>
      <c r="F307" s="34" t="s">
        <v>319</v>
      </c>
      <c r="G307" s="34" t="s">
        <v>319</v>
      </c>
      <c r="H307" s="34" t="s">
        <v>319</v>
      </c>
      <c r="I307" s="35" t="s">
        <v>662</v>
      </c>
      <c r="J307" s="34" t="s">
        <v>319</v>
      </c>
      <c r="K307" s="34" t="s">
        <v>319</v>
      </c>
      <c r="L307" s="34" t="s">
        <v>319</v>
      </c>
      <c r="M307" s="34" t="s">
        <v>319</v>
      </c>
      <c r="N307" s="34" t="s">
        <v>319</v>
      </c>
      <c r="O307" s="34" t="s">
        <v>319</v>
      </c>
      <c r="P307" s="34" t="s">
        <v>319</v>
      </c>
      <c r="Q307" s="36" t="s">
        <v>676</v>
      </c>
      <c r="R307" s="36" t="s">
        <v>663</v>
      </c>
      <c r="S307" s="35" t="s">
        <v>669</v>
      </c>
      <c r="T307" s="36"/>
      <c r="U307" s="36" t="s">
        <v>950</v>
      </c>
      <c r="V307" s="36" t="s">
        <v>951</v>
      </c>
      <c r="W307" s="35" t="s">
        <v>665</v>
      </c>
      <c r="X307" s="36"/>
      <c r="Y307" s="37">
        <v>6.96</v>
      </c>
      <c r="Z307" s="37">
        <v>6.65</v>
      </c>
      <c r="AA307" s="35" t="s">
        <v>963</v>
      </c>
      <c r="AB307" s="35"/>
      <c r="AC307" s="35">
        <v>1.1799999999999997</v>
      </c>
      <c r="AD307" s="35">
        <v>0.70000000000000018</v>
      </c>
      <c r="AE307" s="35" t="s">
        <v>1290</v>
      </c>
      <c r="AF307" s="35"/>
      <c r="AG307" s="38">
        <v>49</v>
      </c>
      <c r="AH307" s="35"/>
      <c r="AI307" s="35" t="s">
        <v>965</v>
      </c>
      <c r="AJ307" s="39"/>
      <c r="AK307" s="39">
        <v>0.55640000000000001</v>
      </c>
      <c r="AL307" s="35"/>
      <c r="AM307" s="35" t="s">
        <v>958</v>
      </c>
      <c r="AN307" s="35"/>
      <c r="AO307" s="37">
        <v>0.12</v>
      </c>
      <c r="AP307" s="35"/>
      <c r="AQ307" s="34" t="s">
        <v>319</v>
      </c>
      <c r="AR307" s="34" t="s">
        <v>319</v>
      </c>
      <c r="AS307" s="34" t="s">
        <v>319</v>
      </c>
      <c r="AT307" s="34" t="s">
        <v>319</v>
      </c>
      <c r="AU307" s="34" t="s">
        <v>319</v>
      </c>
      <c r="AV307" s="34" t="s">
        <v>319</v>
      </c>
      <c r="AW307" s="34" t="s">
        <v>319</v>
      </c>
      <c r="AX307" s="34" t="s">
        <v>319</v>
      </c>
      <c r="AY307" s="34" t="s">
        <v>319</v>
      </c>
      <c r="AZ307" s="34" t="s">
        <v>319</v>
      </c>
      <c r="BA307" s="34" t="s">
        <v>319</v>
      </c>
      <c r="BB307" s="35" t="s">
        <v>1294</v>
      </c>
      <c r="BC307" s="36" t="s">
        <v>1011</v>
      </c>
      <c r="BD307" s="40">
        <v>150</v>
      </c>
      <c r="BE307" s="35" t="s">
        <v>1008</v>
      </c>
      <c r="BF307" s="35"/>
      <c r="BG307" s="164">
        <v>14.5</v>
      </c>
      <c r="BH307" s="34" t="s">
        <v>319</v>
      </c>
      <c r="BI307" s="34" t="s">
        <v>319</v>
      </c>
      <c r="BJ307" s="34" t="s">
        <v>319</v>
      </c>
      <c r="BK307" s="34" t="s">
        <v>319</v>
      </c>
      <c r="BL307" s="34" t="s">
        <v>319</v>
      </c>
      <c r="BM307" s="34" t="s">
        <v>319</v>
      </c>
      <c r="BN307" s="34" t="s">
        <v>319</v>
      </c>
      <c r="BO307" s="34" t="s">
        <v>319</v>
      </c>
      <c r="BP307" s="34" t="s">
        <v>319</v>
      </c>
      <c r="BQ307" s="34" t="s">
        <v>319</v>
      </c>
      <c r="BR307" s="38">
        <v>225.5</v>
      </c>
      <c r="BS307" s="37">
        <v>988.78</v>
      </c>
      <c r="BT307" s="35"/>
      <c r="BU307" s="36"/>
      <c r="BV307" s="35"/>
      <c r="BW307" s="36"/>
      <c r="BX307" s="35"/>
      <c r="BY307" s="35"/>
      <c r="BZ307" s="42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41"/>
      <c r="DB307" s="35"/>
      <c r="DC307" s="42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 t="s">
        <v>319</v>
      </c>
      <c r="DO307" s="34" t="s">
        <v>319</v>
      </c>
      <c r="DP307" s="34" t="s">
        <v>319</v>
      </c>
      <c r="DQ307" s="34" t="s">
        <v>319</v>
      </c>
      <c r="DR307" s="34" t="s">
        <v>319</v>
      </c>
      <c r="DS307" s="34" t="s">
        <v>319</v>
      </c>
      <c r="DT307" s="34" t="s">
        <v>319</v>
      </c>
      <c r="DU307" s="34" t="s">
        <v>319</v>
      </c>
      <c r="DV307" s="34" t="s">
        <v>319</v>
      </c>
      <c r="DW307" s="34" t="s">
        <v>319</v>
      </c>
      <c r="DX307" s="34" t="s">
        <v>319</v>
      </c>
      <c r="DY307" s="34" t="s">
        <v>319</v>
      </c>
      <c r="DZ307" s="34" t="s">
        <v>319</v>
      </c>
      <c r="EA307" s="34" t="s">
        <v>319</v>
      </c>
      <c r="EB307" s="34" t="s">
        <v>319</v>
      </c>
      <c r="EC307" s="34" t="s">
        <v>319</v>
      </c>
      <c r="ED307" s="34" t="s">
        <v>319</v>
      </c>
      <c r="EE307" s="34"/>
      <c r="EF307" s="34" t="s">
        <v>319</v>
      </c>
      <c r="EG307" s="34" t="s">
        <v>319</v>
      </c>
      <c r="EH307" s="34" t="s">
        <v>319</v>
      </c>
      <c r="EI307" s="34" t="s">
        <v>319</v>
      </c>
      <c r="EJ307" s="34"/>
      <c r="EK307" s="34"/>
      <c r="EL307" s="34"/>
      <c r="EM307" s="34"/>
      <c r="EN307" s="34"/>
      <c r="EO307" s="34"/>
      <c r="EP307" s="34"/>
      <c r="EQ307" s="34"/>
      <c r="ER307" s="34"/>
      <c r="ES307" s="34"/>
      <c r="ET307" s="34"/>
      <c r="EU307" s="34"/>
      <c r="EV307" s="34"/>
      <c r="EW307" s="34"/>
      <c r="EX307" s="34"/>
      <c r="EY307" s="34"/>
      <c r="EZ307" s="34"/>
      <c r="FA307" s="34"/>
      <c r="FB307" s="34"/>
      <c r="FC307" s="34"/>
      <c r="FD307" s="34"/>
      <c r="FE307" s="34"/>
      <c r="FF307" s="34"/>
      <c r="FG307" s="34"/>
      <c r="FH307" s="34"/>
      <c r="FI307" s="34"/>
      <c r="FJ307" s="32"/>
      <c r="FK307" s="35"/>
      <c r="FL307" s="35"/>
      <c r="FM307" s="165"/>
    </row>
    <row r="308" spans="1:169" s="43" customFormat="1" x14ac:dyDescent="0.4">
      <c r="C308" s="45"/>
      <c r="D308" s="32"/>
      <c r="E308" s="33" t="s">
        <v>1244</v>
      </c>
      <c r="F308" s="34"/>
      <c r="G308" s="34"/>
      <c r="H308" s="34"/>
      <c r="I308" s="35" t="s">
        <v>662</v>
      </c>
      <c r="J308" s="34"/>
      <c r="K308" s="34"/>
      <c r="L308" s="34"/>
      <c r="M308" s="34"/>
      <c r="N308" s="34"/>
      <c r="O308" s="34"/>
      <c r="P308" s="34"/>
      <c r="Q308" s="36" t="s">
        <v>1287</v>
      </c>
      <c r="R308" s="36" t="s">
        <v>1286</v>
      </c>
      <c r="S308" s="35" t="s">
        <v>664</v>
      </c>
      <c r="T308" s="36"/>
      <c r="U308" s="36"/>
      <c r="V308" s="36">
        <v>78329</v>
      </c>
      <c r="W308" s="35" t="s">
        <v>1288</v>
      </c>
      <c r="X308" s="35"/>
      <c r="Y308" s="37">
        <v>8.82</v>
      </c>
      <c r="Z308" s="35"/>
      <c r="AA308" s="35" t="s">
        <v>1289</v>
      </c>
      <c r="AB308" s="35"/>
      <c r="AC308" s="166">
        <v>8.5299999999999994</v>
      </c>
      <c r="AD308" s="35"/>
      <c r="AE308" s="35" t="s">
        <v>1291</v>
      </c>
      <c r="AF308" s="35"/>
      <c r="AG308" s="38">
        <v>49</v>
      </c>
      <c r="AH308" s="35"/>
      <c r="AI308" s="35" t="s">
        <v>1292</v>
      </c>
      <c r="AJ308" s="36"/>
      <c r="AK308" s="39">
        <v>0.55640000000000001</v>
      </c>
      <c r="AL308" s="35"/>
      <c r="AM308" s="35" t="s">
        <v>1293</v>
      </c>
      <c r="AN308" s="35"/>
      <c r="AO308" s="37">
        <v>0.12</v>
      </c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5" t="s">
        <v>1295</v>
      </c>
      <c r="BC308" s="167"/>
      <c r="BD308" s="40">
        <v>150</v>
      </c>
      <c r="BE308" s="35" t="s">
        <v>1008</v>
      </c>
      <c r="BF308" s="35"/>
      <c r="BG308" s="38">
        <v>14.5</v>
      </c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8">
        <v>225.5</v>
      </c>
      <c r="BS308" s="37">
        <v>988.78</v>
      </c>
      <c r="BT308" s="35"/>
      <c r="BU308" s="36"/>
      <c r="BV308" s="36"/>
      <c r="BW308" s="36"/>
      <c r="BX308" s="35"/>
      <c r="BY308" s="35"/>
      <c r="BZ308" s="42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41"/>
      <c r="DB308" s="35"/>
      <c r="DC308" s="42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34"/>
      <c r="EQ308" s="34"/>
      <c r="ER308" s="34"/>
      <c r="ES308" s="34"/>
      <c r="ET308" s="34"/>
      <c r="EU308" s="34"/>
      <c r="EV308" s="34"/>
      <c r="EW308" s="34"/>
      <c r="EX308" s="34"/>
      <c r="EY308" s="34"/>
      <c r="EZ308" s="34"/>
      <c r="FA308" s="34"/>
      <c r="FB308" s="34"/>
      <c r="FC308" s="34"/>
      <c r="FD308" s="34"/>
      <c r="FE308" s="34"/>
      <c r="FF308" s="34"/>
      <c r="FG308" s="34"/>
      <c r="FH308" s="34"/>
      <c r="FI308" s="34"/>
      <c r="FJ308" s="32"/>
      <c r="FK308" s="35"/>
      <c r="FL308" s="35"/>
      <c r="FM308" s="84"/>
    </row>
    <row r="309" spans="1:169" s="43" customFormat="1" x14ac:dyDescent="0.4">
      <c r="C309" s="45"/>
      <c r="D309" s="32"/>
      <c r="E309" s="33" t="s">
        <v>1245</v>
      </c>
      <c r="F309" s="34"/>
      <c r="G309" s="34"/>
      <c r="H309" s="34"/>
      <c r="I309" s="35" t="s">
        <v>662</v>
      </c>
      <c r="J309" s="34"/>
      <c r="K309" s="34"/>
      <c r="L309" s="34"/>
      <c r="M309" s="34"/>
      <c r="N309" s="34"/>
      <c r="O309" s="34"/>
      <c r="P309" s="34"/>
      <c r="Q309" s="36" t="s">
        <v>1287</v>
      </c>
      <c r="R309" s="36" t="s">
        <v>1286</v>
      </c>
      <c r="S309" s="35" t="s">
        <v>664</v>
      </c>
      <c r="T309" s="36"/>
      <c r="U309" s="168">
        <f>125.8*989</f>
        <v>124416.2</v>
      </c>
      <c r="V309" s="168">
        <f>198*989</f>
        <v>195822</v>
      </c>
      <c r="W309" s="35" t="s">
        <v>1288</v>
      </c>
      <c r="X309" s="35"/>
      <c r="Y309" s="37">
        <v>8.82</v>
      </c>
      <c r="Z309" s="37">
        <v>6.98</v>
      </c>
      <c r="AA309" s="35" t="s">
        <v>1289</v>
      </c>
      <c r="AB309" s="35"/>
      <c r="AC309" s="169">
        <v>0.7</v>
      </c>
      <c r="AD309" s="35"/>
      <c r="AE309" s="35" t="s">
        <v>1291</v>
      </c>
      <c r="AF309" s="35"/>
      <c r="AG309" s="38">
        <v>49</v>
      </c>
      <c r="AH309" s="35"/>
      <c r="AI309" s="35" t="s">
        <v>1292</v>
      </c>
      <c r="AJ309" s="36"/>
      <c r="AK309" s="39">
        <v>0.55640000000000001</v>
      </c>
      <c r="AL309" s="35"/>
      <c r="AM309" s="35" t="s">
        <v>1293</v>
      </c>
      <c r="AN309" s="35"/>
      <c r="AO309" s="37">
        <v>0.12</v>
      </c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5" t="s">
        <v>1295</v>
      </c>
      <c r="BC309" s="167"/>
      <c r="BD309" s="40">
        <v>150</v>
      </c>
      <c r="BE309" s="35" t="s">
        <v>1008</v>
      </c>
      <c r="BF309" s="35"/>
      <c r="BG309" s="38">
        <v>14.5</v>
      </c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8">
        <v>225.5</v>
      </c>
      <c r="BS309" s="37">
        <v>988.78</v>
      </c>
      <c r="BT309" s="35"/>
      <c r="BU309" s="36"/>
      <c r="BV309" s="170"/>
      <c r="BW309" s="36"/>
      <c r="BX309" s="35"/>
      <c r="BY309" s="170"/>
      <c r="BZ309" s="42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41"/>
      <c r="DB309" s="35"/>
      <c r="DC309" s="42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34"/>
      <c r="EQ309" s="34"/>
      <c r="ER309" s="34"/>
      <c r="ES309" s="34"/>
      <c r="ET309" s="34"/>
      <c r="EU309" s="34"/>
      <c r="EV309" s="34"/>
      <c r="EW309" s="34"/>
      <c r="EX309" s="34"/>
      <c r="EY309" s="34"/>
      <c r="EZ309" s="34"/>
      <c r="FA309" s="34"/>
      <c r="FB309" s="34"/>
      <c r="FC309" s="34"/>
      <c r="FD309" s="34"/>
      <c r="FE309" s="34"/>
      <c r="FF309" s="34"/>
      <c r="FG309" s="34"/>
      <c r="FH309" s="34"/>
      <c r="FI309" s="34"/>
      <c r="FJ309" s="32"/>
      <c r="FK309" s="35"/>
      <c r="FL309" s="35"/>
      <c r="FM309" s="84"/>
    </row>
    <row r="310" spans="1:169" s="22" customFormat="1" x14ac:dyDescent="0.4">
      <c r="C310" s="44"/>
      <c r="D310" s="17"/>
      <c r="E310" s="16" t="s">
        <v>1394</v>
      </c>
      <c r="F310" s="18"/>
      <c r="G310" s="18"/>
      <c r="H310" s="18"/>
      <c r="I310" s="8" t="s">
        <v>662</v>
      </c>
      <c r="J310" s="18"/>
      <c r="K310" s="18"/>
      <c r="L310" s="18"/>
      <c r="M310" s="18"/>
      <c r="N310" s="18"/>
      <c r="O310" s="18"/>
      <c r="P310" s="18"/>
      <c r="Q310" s="7" t="s">
        <v>1287</v>
      </c>
      <c r="R310" s="7" t="s">
        <v>674</v>
      </c>
      <c r="S310" s="8" t="s">
        <v>664</v>
      </c>
      <c r="T310" s="7"/>
      <c r="U310" s="7"/>
      <c r="V310" s="223">
        <f>79*989</f>
        <v>78131</v>
      </c>
      <c r="W310" s="8" t="s">
        <v>1008</v>
      </c>
      <c r="X310" s="8"/>
      <c r="Y310" s="218"/>
      <c r="Z310" s="219" t="s">
        <v>1472</v>
      </c>
      <c r="AA310" s="8" t="s">
        <v>955</v>
      </c>
      <c r="AB310" s="8"/>
      <c r="AC310" s="231"/>
      <c r="AD310" s="219" t="s">
        <v>1488</v>
      </c>
      <c r="AE310" s="8" t="s">
        <v>956</v>
      </c>
      <c r="AF310" s="8"/>
      <c r="AG310" s="11">
        <v>49</v>
      </c>
      <c r="AH310" s="8"/>
      <c r="AI310" s="8" t="s">
        <v>957</v>
      </c>
      <c r="AJ310" s="7"/>
      <c r="AK310" s="23">
        <v>0.55640000000000001</v>
      </c>
      <c r="AL310" s="8"/>
      <c r="AM310" s="8" t="s">
        <v>1213</v>
      </c>
      <c r="AN310" s="8"/>
      <c r="AO310" s="14">
        <v>0.12</v>
      </c>
      <c r="AP310" s="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8" t="s">
        <v>956</v>
      </c>
      <c r="BC310" s="24"/>
      <c r="BD310" s="9">
        <v>150</v>
      </c>
      <c r="BE310" s="8" t="s">
        <v>1008</v>
      </c>
      <c r="BF310" s="8"/>
      <c r="BG310" s="11">
        <v>14.5</v>
      </c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1">
        <v>225.5</v>
      </c>
      <c r="BS310" s="14">
        <v>988.78</v>
      </c>
      <c r="BT310" s="8"/>
      <c r="BU310" s="7"/>
      <c r="BV310" s="7"/>
      <c r="BW310" s="7"/>
      <c r="BX310" s="8"/>
      <c r="BY310" s="8"/>
      <c r="BZ310" s="20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9"/>
      <c r="DB310" s="8"/>
      <c r="DC310" s="20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  <c r="EM310" s="18"/>
      <c r="EN310" s="18"/>
      <c r="EO310" s="18"/>
      <c r="EP310" s="18"/>
      <c r="EQ310" s="18"/>
      <c r="ER310" s="18"/>
      <c r="ES310" s="18"/>
      <c r="ET310" s="18"/>
      <c r="EU310" s="18"/>
      <c r="EV310" s="18"/>
      <c r="EW310" s="18"/>
      <c r="EX310" s="18"/>
      <c r="EY310" s="18"/>
      <c r="EZ310" s="18"/>
      <c r="FA310" s="18"/>
      <c r="FB310" s="18"/>
      <c r="FC310" s="18"/>
      <c r="FD310" s="18"/>
      <c r="FE310" s="18"/>
      <c r="FF310" s="18"/>
      <c r="FG310" s="18"/>
      <c r="FH310" s="18"/>
      <c r="FI310" s="18"/>
      <c r="FJ310" s="17"/>
      <c r="FK310" s="8"/>
      <c r="FL310" s="8"/>
      <c r="FM310" s="82"/>
    </row>
    <row r="311" spans="1:169" s="22" customFormat="1" x14ac:dyDescent="0.4">
      <c r="C311" s="44"/>
      <c r="D311" s="17"/>
      <c r="E311" s="16" t="s">
        <v>1395</v>
      </c>
      <c r="F311" s="18"/>
      <c r="G311" s="18"/>
      <c r="H311" s="18"/>
      <c r="I311" s="8" t="s">
        <v>662</v>
      </c>
      <c r="J311" s="18"/>
      <c r="K311" s="18"/>
      <c r="L311" s="18"/>
      <c r="M311" s="18"/>
      <c r="N311" s="18"/>
      <c r="O311" s="18"/>
      <c r="P311" s="18"/>
      <c r="Q311" s="7" t="s">
        <v>1287</v>
      </c>
      <c r="R311" s="7" t="s">
        <v>674</v>
      </c>
      <c r="S311" s="8" t="s">
        <v>664</v>
      </c>
      <c r="T311" s="7"/>
      <c r="U311" s="25">
        <f>125.8*989</f>
        <v>124416.2</v>
      </c>
      <c r="V311" s="25">
        <f>198*989</f>
        <v>195822</v>
      </c>
      <c r="W311" s="8" t="s">
        <v>1008</v>
      </c>
      <c r="X311" s="8"/>
      <c r="Y311" s="14">
        <v>8.82</v>
      </c>
      <c r="Z311" s="14">
        <v>6.98</v>
      </c>
      <c r="AA311" s="8" t="s">
        <v>955</v>
      </c>
      <c r="AB311" s="8"/>
      <c r="AC311" s="230">
        <v>2.68</v>
      </c>
      <c r="AD311" s="230">
        <f>0.7+0.47</f>
        <v>1.17</v>
      </c>
      <c r="AE311" s="8" t="s">
        <v>956</v>
      </c>
      <c r="AF311" s="8"/>
      <c r="AG311" s="11">
        <v>49</v>
      </c>
      <c r="AH311" s="8"/>
      <c r="AI311" s="8" t="s">
        <v>957</v>
      </c>
      <c r="AJ311" s="7"/>
      <c r="AK311" s="23">
        <v>0.55640000000000001</v>
      </c>
      <c r="AL311" s="8"/>
      <c r="AM311" s="8" t="s">
        <v>1213</v>
      </c>
      <c r="AN311" s="8"/>
      <c r="AO311" s="14">
        <v>0.12</v>
      </c>
      <c r="AP311" s="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8" t="s">
        <v>956</v>
      </c>
      <c r="BC311" s="24"/>
      <c r="BD311" s="9">
        <v>150</v>
      </c>
      <c r="BE311" s="8" t="s">
        <v>1008</v>
      </c>
      <c r="BF311" s="8"/>
      <c r="BG311" s="11">
        <v>14.5</v>
      </c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1">
        <v>225.5</v>
      </c>
      <c r="BS311" s="14">
        <v>988.78</v>
      </c>
      <c r="BT311" s="8"/>
      <c r="BU311" s="7"/>
      <c r="BV311" s="49"/>
      <c r="BW311" s="7"/>
      <c r="BX311" s="8"/>
      <c r="BY311" s="49"/>
      <c r="BZ311" s="20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9"/>
      <c r="DB311" s="8"/>
      <c r="DC311" s="20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  <c r="EM311" s="18"/>
      <c r="EN311" s="18"/>
      <c r="EO311" s="18"/>
      <c r="EP311" s="18"/>
      <c r="EQ311" s="18"/>
      <c r="ER311" s="18"/>
      <c r="ES311" s="18"/>
      <c r="ET311" s="18"/>
      <c r="EU311" s="18"/>
      <c r="EV311" s="18"/>
      <c r="EW311" s="18"/>
      <c r="EX311" s="18"/>
      <c r="EY311" s="18"/>
      <c r="EZ311" s="18"/>
      <c r="FA311" s="18"/>
      <c r="FB311" s="18"/>
      <c r="FC311" s="18"/>
      <c r="FD311" s="18"/>
      <c r="FE311" s="18"/>
      <c r="FF311" s="18"/>
      <c r="FG311" s="18"/>
      <c r="FH311" s="18"/>
      <c r="FI311" s="18"/>
      <c r="FJ311" s="17"/>
      <c r="FK311" s="8"/>
      <c r="FL311" s="8"/>
      <c r="FM311" s="82"/>
    </row>
    <row r="312" spans="1:169" s="3" customFormat="1" x14ac:dyDescent="0.4">
      <c r="A312" s="93"/>
      <c r="B312" s="93"/>
      <c r="C312" s="26"/>
      <c r="D312" s="27" t="s">
        <v>319</v>
      </c>
      <c r="E312" s="2" t="s">
        <v>556</v>
      </c>
      <c r="F312" s="28" t="s">
        <v>319</v>
      </c>
      <c r="G312" s="28" t="s">
        <v>319</v>
      </c>
      <c r="H312" s="28" t="s">
        <v>319</v>
      </c>
      <c r="I312" s="6" t="s">
        <v>519</v>
      </c>
      <c r="J312" s="28" t="s">
        <v>319</v>
      </c>
      <c r="K312" s="28" t="s">
        <v>319</v>
      </c>
      <c r="L312" s="28" t="s">
        <v>319</v>
      </c>
      <c r="M312" s="28" t="s">
        <v>319</v>
      </c>
      <c r="N312" s="28" t="s">
        <v>319</v>
      </c>
      <c r="O312" s="28" t="s">
        <v>319</v>
      </c>
      <c r="P312" s="28" t="s">
        <v>319</v>
      </c>
      <c r="Q312" s="5" t="s">
        <v>953</v>
      </c>
      <c r="R312" s="5" t="s">
        <v>952</v>
      </c>
      <c r="S312" s="6" t="s">
        <v>678</v>
      </c>
      <c r="T312" s="107" t="s">
        <v>680</v>
      </c>
      <c r="U312" s="13">
        <v>35.590000000000003</v>
      </c>
      <c r="V312" s="107" t="s">
        <v>680</v>
      </c>
      <c r="W312" s="6" t="s">
        <v>665</v>
      </c>
      <c r="X312" s="99" t="s">
        <v>1095</v>
      </c>
      <c r="Y312" s="13">
        <v>7</v>
      </c>
      <c r="Z312" s="99" t="s">
        <v>1095</v>
      </c>
      <c r="AA312" s="6" t="s">
        <v>982</v>
      </c>
      <c r="AB312" s="99" t="s">
        <v>680</v>
      </c>
      <c r="AC312" s="135">
        <v>6.5</v>
      </c>
      <c r="AD312" s="99" t="s">
        <v>680</v>
      </c>
      <c r="AE312" s="6" t="s">
        <v>984</v>
      </c>
      <c r="AF312" s="6"/>
      <c r="AG312" s="5" t="s">
        <v>986</v>
      </c>
      <c r="AH312" s="6"/>
      <c r="AI312" s="6" t="s">
        <v>976</v>
      </c>
      <c r="AJ312" s="108"/>
      <c r="AK312" s="112">
        <v>1.7999999999999999E-2</v>
      </c>
      <c r="AL312" s="6"/>
      <c r="AM312" s="6"/>
      <c r="AN312" s="6"/>
      <c r="AO312" s="5"/>
      <c r="AP312" s="6"/>
      <c r="AQ312" s="28" t="s">
        <v>319</v>
      </c>
      <c r="AR312" s="28" t="s">
        <v>319</v>
      </c>
      <c r="AS312" s="28" t="s">
        <v>319</v>
      </c>
      <c r="AT312" s="28" t="s">
        <v>319</v>
      </c>
      <c r="AU312" s="28" t="s">
        <v>319</v>
      </c>
      <c r="AV312" s="28" t="s">
        <v>319</v>
      </c>
      <c r="AW312" s="28" t="s">
        <v>319</v>
      </c>
      <c r="AX312" s="28" t="s">
        <v>319</v>
      </c>
      <c r="AY312" s="28" t="s">
        <v>319</v>
      </c>
      <c r="AZ312" s="28" t="s">
        <v>319</v>
      </c>
      <c r="BA312" s="28" t="s">
        <v>319</v>
      </c>
      <c r="BB312" s="6" t="s">
        <v>984</v>
      </c>
      <c r="BC312" s="5" t="s">
        <v>1016</v>
      </c>
      <c r="BD312" s="5">
        <v>60</v>
      </c>
      <c r="BE312" s="6" t="s">
        <v>1010</v>
      </c>
      <c r="BF312" s="6"/>
      <c r="BG312" s="5">
        <v>12</v>
      </c>
      <c r="BH312" s="28" t="s">
        <v>319</v>
      </c>
      <c r="BI312" s="28" t="s">
        <v>319</v>
      </c>
      <c r="BJ312" s="28" t="s">
        <v>319</v>
      </c>
      <c r="BK312" s="28" t="s">
        <v>319</v>
      </c>
      <c r="BL312" s="28" t="s">
        <v>319</v>
      </c>
      <c r="BM312" s="28" t="s">
        <v>319</v>
      </c>
      <c r="BN312" s="28" t="s">
        <v>319</v>
      </c>
      <c r="BO312" s="28" t="s">
        <v>319</v>
      </c>
      <c r="BP312" s="28" t="s">
        <v>319</v>
      </c>
      <c r="BQ312" s="28" t="s">
        <v>319</v>
      </c>
      <c r="BR312" s="5"/>
      <c r="BS312" s="105"/>
      <c r="BT312" s="6"/>
      <c r="BU312" s="5">
        <v>28.05</v>
      </c>
      <c r="BV312" s="5">
        <v>0.998</v>
      </c>
      <c r="BW312" s="105">
        <v>1.41</v>
      </c>
      <c r="BX312" s="6"/>
      <c r="BY312" s="6"/>
      <c r="BZ312" s="30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9"/>
      <c r="DB312" s="6"/>
      <c r="DC312" s="30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 t="s">
        <v>319</v>
      </c>
      <c r="DO312" s="28" t="s">
        <v>319</v>
      </c>
      <c r="DP312" s="28" t="s">
        <v>319</v>
      </c>
      <c r="DQ312" s="28" t="s">
        <v>319</v>
      </c>
      <c r="DR312" s="28" t="s">
        <v>319</v>
      </c>
      <c r="DS312" s="28" t="s">
        <v>319</v>
      </c>
      <c r="DT312" s="28" t="s">
        <v>319</v>
      </c>
      <c r="DU312" s="28" t="s">
        <v>319</v>
      </c>
      <c r="DV312" s="28" t="s">
        <v>319</v>
      </c>
      <c r="DW312" s="28" t="s">
        <v>319</v>
      </c>
      <c r="DX312" s="28" t="s">
        <v>319</v>
      </c>
      <c r="DY312" s="28" t="s">
        <v>319</v>
      </c>
      <c r="DZ312" s="28" t="s">
        <v>319</v>
      </c>
      <c r="EA312" s="28" t="s">
        <v>319</v>
      </c>
      <c r="EB312" s="28" t="s">
        <v>319</v>
      </c>
      <c r="EC312" s="28" t="s">
        <v>319</v>
      </c>
      <c r="ED312" s="28" t="s">
        <v>319</v>
      </c>
      <c r="EE312" s="28"/>
      <c r="EF312" s="28" t="s">
        <v>319</v>
      </c>
      <c r="EG312" s="28" t="s">
        <v>319</v>
      </c>
      <c r="EH312" s="28" t="s">
        <v>319</v>
      </c>
      <c r="EI312" s="28" t="s">
        <v>319</v>
      </c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7"/>
      <c r="FK312" s="6"/>
      <c r="FL312" s="6"/>
      <c r="FM312" s="94"/>
    </row>
    <row r="313" spans="1:169" s="3" customFormat="1" x14ac:dyDescent="0.4">
      <c r="A313" s="93"/>
      <c r="B313" s="93"/>
      <c r="C313" s="26"/>
      <c r="D313" s="27" t="s">
        <v>319</v>
      </c>
      <c r="E313" s="2" t="s">
        <v>557</v>
      </c>
      <c r="F313" s="28" t="s">
        <v>319</v>
      </c>
      <c r="G313" s="28" t="s">
        <v>319</v>
      </c>
      <c r="H313" s="28" t="s">
        <v>319</v>
      </c>
      <c r="I313" s="6" t="s">
        <v>519</v>
      </c>
      <c r="J313" s="28" t="s">
        <v>319</v>
      </c>
      <c r="K313" s="28" t="s">
        <v>319</v>
      </c>
      <c r="L313" s="28" t="s">
        <v>319</v>
      </c>
      <c r="M313" s="28" t="s">
        <v>319</v>
      </c>
      <c r="N313" s="28" t="s">
        <v>319</v>
      </c>
      <c r="O313" s="28" t="s">
        <v>319</v>
      </c>
      <c r="P313" s="28" t="s">
        <v>319</v>
      </c>
      <c r="Q313" s="5" t="s">
        <v>1298</v>
      </c>
      <c r="R313" s="5" t="s">
        <v>952</v>
      </c>
      <c r="S313" s="6" t="s">
        <v>672</v>
      </c>
      <c r="T313" s="107" t="s">
        <v>680</v>
      </c>
      <c r="U313" s="13">
        <v>35.590000000000003</v>
      </c>
      <c r="V313" s="107" t="s">
        <v>680</v>
      </c>
      <c r="W313" s="6" t="s">
        <v>665</v>
      </c>
      <c r="X313" s="99" t="s">
        <v>1095</v>
      </c>
      <c r="Y313" s="5">
        <v>0.6</v>
      </c>
      <c r="Z313" s="99" t="s">
        <v>1095</v>
      </c>
      <c r="AA313" s="6" t="s">
        <v>982</v>
      </c>
      <c r="AB313" s="99" t="s">
        <v>680</v>
      </c>
      <c r="AC313" s="5">
        <v>0.1</v>
      </c>
      <c r="AD313" s="99" t="s">
        <v>680</v>
      </c>
      <c r="AE313" s="6" t="s">
        <v>984</v>
      </c>
      <c r="AF313" s="6"/>
      <c r="AG313" s="5" t="s">
        <v>1100</v>
      </c>
      <c r="AH313" s="6"/>
      <c r="AI313" s="6" t="s">
        <v>965</v>
      </c>
      <c r="AJ313" s="108"/>
      <c r="AK313" s="112">
        <v>1.7999999999999999E-2</v>
      </c>
      <c r="AL313" s="6"/>
      <c r="AM313" s="6"/>
      <c r="AN313" s="6"/>
      <c r="AO313" s="5"/>
      <c r="AP313" s="6"/>
      <c r="AQ313" s="28" t="s">
        <v>319</v>
      </c>
      <c r="AR313" s="28" t="s">
        <v>319</v>
      </c>
      <c r="AS313" s="28" t="s">
        <v>319</v>
      </c>
      <c r="AT313" s="28" t="s">
        <v>319</v>
      </c>
      <c r="AU313" s="28" t="s">
        <v>319</v>
      </c>
      <c r="AV313" s="28" t="s">
        <v>319</v>
      </c>
      <c r="AW313" s="28" t="s">
        <v>319</v>
      </c>
      <c r="AX313" s="28" t="s">
        <v>319</v>
      </c>
      <c r="AY313" s="28" t="s">
        <v>319</v>
      </c>
      <c r="AZ313" s="28" t="s">
        <v>319</v>
      </c>
      <c r="BA313" s="28" t="s">
        <v>319</v>
      </c>
      <c r="BB313" s="6" t="s">
        <v>984</v>
      </c>
      <c r="BC313" s="5" t="s">
        <v>1016</v>
      </c>
      <c r="BD313" s="5">
        <v>60</v>
      </c>
      <c r="BE313" s="6" t="s">
        <v>1010</v>
      </c>
      <c r="BF313" s="6"/>
      <c r="BG313" s="5">
        <v>3.5</v>
      </c>
      <c r="BH313" s="28" t="s">
        <v>319</v>
      </c>
      <c r="BI313" s="28" t="s">
        <v>319</v>
      </c>
      <c r="BJ313" s="28" t="s">
        <v>319</v>
      </c>
      <c r="BK313" s="28" t="s">
        <v>319</v>
      </c>
      <c r="BL313" s="28" t="s">
        <v>319</v>
      </c>
      <c r="BM313" s="28" t="s">
        <v>319</v>
      </c>
      <c r="BN313" s="28" t="s">
        <v>319</v>
      </c>
      <c r="BO313" s="28" t="s">
        <v>319</v>
      </c>
      <c r="BP313" s="28" t="s">
        <v>319</v>
      </c>
      <c r="BQ313" s="28" t="s">
        <v>319</v>
      </c>
      <c r="BR313" s="5"/>
      <c r="BS313" s="105"/>
      <c r="BT313" s="6"/>
      <c r="BU313" s="5">
        <v>28.05</v>
      </c>
      <c r="BV313" s="5">
        <v>0.998</v>
      </c>
      <c r="BW313" s="105">
        <v>1.41</v>
      </c>
      <c r="BX313" s="6"/>
      <c r="BY313" s="104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9"/>
      <c r="DB313" s="6"/>
      <c r="DC313" s="30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 t="s">
        <v>319</v>
      </c>
      <c r="DO313" s="28" t="s">
        <v>319</v>
      </c>
      <c r="DP313" s="28" t="s">
        <v>319</v>
      </c>
      <c r="DQ313" s="28" t="s">
        <v>319</v>
      </c>
      <c r="DR313" s="28" t="s">
        <v>319</v>
      </c>
      <c r="DS313" s="28" t="s">
        <v>319</v>
      </c>
      <c r="DT313" s="28" t="s">
        <v>319</v>
      </c>
      <c r="DU313" s="28" t="s">
        <v>319</v>
      </c>
      <c r="DV313" s="28" t="s">
        <v>319</v>
      </c>
      <c r="DW313" s="28" t="s">
        <v>319</v>
      </c>
      <c r="DX313" s="28" t="s">
        <v>319</v>
      </c>
      <c r="DY313" s="28" t="s">
        <v>319</v>
      </c>
      <c r="DZ313" s="28" t="s">
        <v>319</v>
      </c>
      <c r="EA313" s="28" t="s">
        <v>319</v>
      </c>
      <c r="EB313" s="28" t="s">
        <v>319</v>
      </c>
      <c r="EC313" s="28" t="s">
        <v>319</v>
      </c>
      <c r="ED313" s="28" t="s">
        <v>319</v>
      </c>
      <c r="EE313" s="28"/>
      <c r="EF313" s="28" t="s">
        <v>319</v>
      </c>
      <c r="EG313" s="28" t="s">
        <v>319</v>
      </c>
      <c r="EH313" s="28" t="s">
        <v>319</v>
      </c>
      <c r="EI313" s="28" t="s">
        <v>319</v>
      </c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7"/>
      <c r="FK313" s="6"/>
      <c r="FL313" s="6"/>
      <c r="FM313" s="94"/>
    </row>
    <row r="314" spans="1:169" s="3" customFormat="1" x14ac:dyDescent="0.4">
      <c r="A314" s="93"/>
      <c r="B314" s="93"/>
      <c r="C314" s="26"/>
      <c r="D314" s="27" t="s">
        <v>319</v>
      </c>
      <c r="E314" s="2" t="s">
        <v>558</v>
      </c>
      <c r="F314" s="28" t="s">
        <v>319</v>
      </c>
      <c r="G314" s="28" t="s">
        <v>319</v>
      </c>
      <c r="H314" s="28" t="s">
        <v>319</v>
      </c>
      <c r="I314" s="6" t="s">
        <v>519</v>
      </c>
      <c r="J314" s="28" t="s">
        <v>319</v>
      </c>
      <c r="K314" s="28" t="s">
        <v>319</v>
      </c>
      <c r="L314" s="28" t="s">
        <v>319</v>
      </c>
      <c r="M314" s="28" t="s">
        <v>319</v>
      </c>
      <c r="N314" s="28" t="s">
        <v>319</v>
      </c>
      <c r="O314" s="28" t="s">
        <v>319</v>
      </c>
      <c r="P314" s="28" t="s">
        <v>319</v>
      </c>
      <c r="Q314" s="5" t="s">
        <v>954</v>
      </c>
      <c r="R314" s="5" t="s">
        <v>663</v>
      </c>
      <c r="S314" s="6" t="s">
        <v>669</v>
      </c>
      <c r="T314" s="99" t="s">
        <v>1299</v>
      </c>
      <c r="U314" s="99" t="s">
        <v>680</v>
      </c>
      <c r="V314" s="140">
        <f>5*806</f>
        <v>4030</v>
      </c>
      <c r="W314" s="6" t="s">
        <v>665</v>
      </c>
      <c r="X314" s="99" t="s">
        <v>1095</v>
      </c>
      <c r="Y314" s="6" t="s">
        <v>1098</v>
      </c>
      <c r="Z314" s="99" t="s">
        <v>1096</v>
      </c>
      <c r="AA314" s="6" t="s">
        <v>982</v>
      </c>
      <c r="AB314" s="99" t="s">
        <v>680</v>
      </c>
      <c r="AC314" s="6" t="s">
        <v>1099</v>
      </c>
      <c r="AD314" s="99" t="s">
        <v>680</v>
      </c>
      <c r="AE314" s="6" t="s">
        <v>984</v>
      </c>
      <c r="AF314" s="6"/>
      <c r="AG314" s="6" t="s">
        <v>1094</v>
      </c>
      <c r="AH314" s="6"/>
      <c r="AI314" s="6" t="s">
        <v>965</v>
      </c>
      <c r="AJ314" s="108"/>
      <c r="AK314" s="6" t="s">
        <v>1300</v>
      </c>
      <c r="AL314" s="6"/>
      <c r="AM314" s="6" t="s">
        <v>958</v>
      </c>
      <c r="AN314" s="6"/>
      <c r="AO314" s="5">
        <v>0.128</v>
      </c>
      <c r="AP314" s="6"/>
      <c r="AQ314" s="28" t="s">
        <v>319</v>
      </c>
      <c r="AR314" s="28" t="s">
        <v>319</v>
      </c>
      <c r="AS314" s="28" t="s">
        <v>319</v>
      </c>
      <c r="AT314" s="28" t="s">
        <v>319</v>
      </c>
      <c r="AU314" s="28" t="s">
        <v>319</v>
      </c>
      <c r="AV314" s="28" t="s">
        <v>319</v>
      </c>
      <c r="AW314" s="28" t="s">
        <v>319</v>
      </c>
      <c r="AX314" s="28" t="s">
        <v>319</v>
      </c>
      <c r="AY314" s="28" t="s">
        <v>319</v>
      </c>
      <c r="AZ314" s="28" t="s">
        <v>319</v>
      </c>
      <c r="BA314" s="28" t="s">
        <v>319</v>
      </c>
      <c r="BB314" s="6" t="s">
        <v>984</v>
      </c>
      <c r="BC314" s="5" t="s">
        <v>1011</v>
      </c>
      <c r="BD314" s="5">
        <v>148</v>
      </c>
      <c r="BE314" s="6" t="s">
        <v>1010</v>
      </c>
      <c r="BF314" s="6"/>
      <c r="BG314" s="5">
        <v>45.1</v>
      </c>
      <c r="BH314" s="28" t="s">
        <v>319</v>
      </c>
      <c r="BI314" s="28" t="s">
        <v>319</v>
      </c>
      <c r="BJ314" s="28" t="s">
        <v>319</v>
      </c>
      <c r="BK314" s="28" t="s">
        <v>319</v>
      </c>
      <c r="BL314" s="28" t="s">
        <v>319</v>
      </c>
      <c r="BM314" s="28" t="s">
        <v>319</v>
      </c>
      <c r="BN314" s="28" t="s">
        <v>319</v>
      </c>
      <c r="BO314" s="28" t="s">
        <v>319</v>
      </c>
      <c r="BP314" s="28" t="s">
        <v>319</v>
      </c>
      <c r="BQ314" s="28" t="s">
        <v>319</v>
      </c>
      <c r="BR314" s="6" t="s">
        <v>1301</v>
      </c>
      <c r="BS314" s="6" t="s">
        <v>1097</v>
      </c>
      <c r="BT314" s="6"/>
      <c r="BU314" s="12"/>
      <c r="BV314" s="6"/>
      <c r="BW314" s="12"/>
      <c r="BX314" s="99" t="s">
        <v>680</v>
      </c>
      <c r="BY314" s="6"/>
      <c r="BZ314" s="30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9"/>
      <c r="DB314" s="6"/>
      <c r="DC314" s="30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 t="s">
        <v>319</v>
      </c>
      <c r="DO314" s="28" t="s">
        <v>319</v>
      </c>
      <c r="DP314" s="28" t="s">
        <v>319</v>
      </c>
      <c r="DQ314" s="28" t="s">
        <v>319</v>
      </c>
      <c r="DR314" s="28" t="s">
        <v>319</v>
      </c>
      <c r="DS314" s="28" t="s">
        <v>319</v>
      </c>
      <c r="DT314" s="28" t="s">
        <v>319</v>
      </c>
      <c r="DU314" s="28" t="s">
        <v>319</v>
      </c>
      <c r="DV314" s="28" t="s">
        <v>319</v>
      </c>
      <c r="DW314" s="28" t="s">
        <v>319</v>
      </c>
      <c r="DX314" s="28" t="s">
        <v>319</v>
      </c>
      <c r="DY314" s="28" t="s">
        <v>319</v>
      </c>
      <c r="DZ314" s="28" t="s">
        <v>319</v>
      </c>
      <c r="EA314" s="28" t="s">
        <v>319</v>
      </c>
      <c r="EB314" s="28" t="s">
        <v>319</v>
      </c>
      <c r="EC314" s="28" t="s">
        <v>319</v>
      </c>
      <c r="ED314" s="28" t="s">
        <v>319</v>
      </c>
      <c r="EE314" s="28"/>
      <c r="EF314" s="28" t="s">
        <v>319</v>
      </c>
      <c r="EG314" s="28" t="s">
        <v>319</v>
      </c>
      <c r="EH314" s="28" t="s">
        <v>319</v>
      </c>
      <c r="EI314" s="28" t="s">
        <v>319</v>
      </c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7"/>
      <c r="FK314" s="6"/>
      <c r="FL314" s="6"/>
      <c r="FM314" s="97"/>
    </row>
    <row r="316" spans="1:169" x14ac:dyDescent="0.4">
      <c r="AB316" s="236"/>
      <c r="AC316" s="236"/>
      <c r="AD316" s="236"/>
    </row>
    <row r="318" spans="1:169" x14ac:dyDescent="0.4">
      <c r="AD318" s="236"/>
    </row>
  </sheetData>
  <autoFilter ref="A3:FM314"/>
  <mergeCells count="168">
    <mergeCell ref="A1:A2"/>
    <mergeCell ref="B1:B2"/>
    <mergeCell ref="DT1:DT2"/>
    <mergeCell ref="DU1:DU2"/>
    <mergeCell ref="DV1:DV2"/>
    <mergeCell ref="DW1:DW2"/>
    <mergeCell ref="DX1:DX2"/>
    <mergeCell ref="DY1:DY2"/>
    <mergeCell ref="DZ1:DZ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FI1:FI2"/>
    <mergeCell ref="FJ1:FJ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F1:FF2"/>
    <mergeCell ref="FG1:FG2"/>
    <mergeCell ref="FH1:FH2"/>
    <mergeCell ref="EG1:EG2"/>
    <mergeCell ref="EH1:EH2"/>
    <mergeCell ref="EI1:EI2"/>
    <mergeCell ref="CW1:CW2"/>
    <mergeCell ref="CX1:CX2"/>
    <mergeCell ref="FB1:FB2"/>
    <mergeCell ref="FC1:FC2"/>
    <mergeCell ref="FD1:FD2"/>
    <mergeCell ref="FE1:FE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A1:EA2"/>
    <mergeCell ref="EB1:EB2"/>
    <mergeCell ref="EC1:EC2"/>
    <mergeCell ref="ED1:ED2"/>
    <mergeCell ref="EE1:EE2"/>
    <mergeCell ref="EF1:EF2"/>
    <mergeCell ref="CD1:CD2"/>
    <mergeCell ref="CE1:CE2"/>
    <mergeCell ref="DO1:DO2"/>
    <mergeCell ref="DP1:DP2"/>
    <mergeCell ref="DQ1:DQ2"/>
    <mergeCell ref="DR1:DR2"/>
    <mergeCell ref="DS1:DS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AT1:AT2"/>
    <mergeCell ref="AU1:AU2"/>
    <mergeCell ref="AV1:AV2"/>
    <mergeCell ref="AW1:AW2"/>
    <mergeCell ref="AX1:AX2"/>
    <mergeCell ref="AY1:AY2"/>
    <mergeCell ref="CY1:CY2"/>
    <mergeCell ref="BV1:BV2"/>
    <mergeCell ref="BW1:BW2"/>
    <mergeCell ref="BX1:BX2"/>
    <mergeCell ref="BZ1:BZ2"/>
    <mergeCell ref="CA1:CA2"/>
    <mergeCell ref="CB1:CB2"/>
    <mergeCell ref="CC1:CC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Y1:BY2"/>
    <mergeCell ref="BI1:BI2"/>
    <mergeCell ref="BJ1:BJ2"/>
    <mergeCell ref="BT1:BT2"/>
    <mergeCell ref="BU1:BU2"/>
    <mergeCell ref="AG1:AG2"/>
    <mergeCell ref="AH1:AH2"/>
    <mergeCell ref="AI1:AI2"/>
    <mergeCell ref="AJ1:AJ2"/>
    <mergeCell ref="AK1:AK2"/>
    <mergeCell ref="AL1:AL2"/>
    <mergeCell ref="AM1:AM2"/>
    <mergeCell ref="AN1:AN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AQ1:AQ2"/>
    <mergeCell ref="AR1:AR2"/>
    <mergeCell ref="AS1:AS2"/>
    <mergeCell ref="AF1:AF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FM1:FM2"/>
    <mergeCell ref="FK1:FL2"/>
    <mergeCell ref="AO1:AO2"/>
    <mergeCell ref="AP1:AP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honeticPr fontId="7" type="noConversion"/>
  <pageMargins left="0.7" right="0.7" top="0.75" bottom="0.75" header="0.3" footer="0.3"/>
  <pageSetup paperSize="8" scale="26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workbookViewId="0">
      <selection activeCell="C12" sqref="C12"/>
    </sheetView>
  </sheetViews>
  <sheetFormatPr defaultRowHeight="17.399999999999999" x14ac:dyDescent="0.4"/>
  <cols>
    <col min="1" max="1" width="2.59765625" style="246" customWidth="1"/>
    <col min="2" max="2" width="9" style="246"/>
    <col min="3" max="3" width="29.09765625" style="246" customWidth="1"/>
    <col min="4" max="4" width="9.69921875" style="246" bestFit="1" customWidth="1"/>
    <col min="5" max="11" width="9" style="246"/>
  </cols>
  <sheetData>
    <row r="2" spans="2:4" x14ac:dyDescent="0.4">
      <c r="B2" s="251"/>
      <c r="C2" s="246" t="s">
        <v>1485</v>
      </c>
      <c r="D2" s="249">
        <v>44729</v>
      </c>
    </row>
    <row r="4" spans="2:4" x14ac:dyDescent="0.4">
      <c r="B4" s="250"/>
      <c r="C4" s="246" t="s">
        <v>1484</v>
      </c>
      <c r="D4" s="249">
        <v>44834</v>
      </c>
    </row>
    <row r="6" spans="2:4" x14ac:dyDescent="0.4">
      <c r="B6" s="247"/>
      <c r="C6" s="246" t="s">
        <v>1482</v>
      </c>
      <c r="D6" s="249">
        <v>44860</v>
      </c>
    </row>
    <row r="8" spans="2:4" x14ac:dyDescent="0.4">
      <c r="B8" s="248"/>
      <c r="C8" s="246" t="s">
        <v>1483</v>
      </c>
      <c r="D8" s="249">
        <v>44860</v>
      </c>
    </row>
    <row r="10" spans="2:4" x14ac:dyDescent="0.4">
      <c r="B10" s="268"/>
      <c r="C10" s="246" t="s">
        <v>1494</v>
      </c>
      <c r="D10" s="249">
        <v>44893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9"/>
  <sheetViews>
    <sheetView topLeftCell="A22" zoomScale="85" zoomScaleNormal="85" workbookViewId="0">
      <selection activeCell="E52" sqref="E52"/>
    </sheetView>
  </sheetViews>
  <sheetFormatPr defaultColWidth="9" defaultRowHeight="17.399999999999999" x14ac:dyDescent="0.4"/>
  <cols>
    <col min="1" max="1" width="3.19921875" style="51" customWidth="1"/>
    <col min="2" max="4" width="9" style="51"/>
    <col min="5" max="5" width="14.19921875" style="51" bestFit="1" customWidth="1"/>
    <col min="6" max="10" width="14" style="51" customWidth="1"/>
    <col min="11" max="11" width="19.59765625" style="51" customWidth="1"/>
    <col min="12" max="12" width="20.3984375" style="51" customWidth="1"/>
    <col min="13" max="13" width="30.8984375" style="51" customWidth="1"/>
    <col min="14" max="16384" width="9" style="51"/>
  </cols>
  <sheetData>
    <row r="1" spans="2:10" x14ac:dyDescent="0.4">
      <c r="B1" s="50" t="s">
        <v>1160</v>
      </c>
    </row>
    <row r="2" spans="2:10" x14ac:dyDescent="0.4">
      <c r="B2" s="50"/>
    </row>
    <row r="3" spans="2:10" ht="18" thickBot="1" x14ac:dyDescent="0.45">
      <c r="B3" s="52"/>
    </row>
    <row r="4" spans="2:10" ht="16.5" customHeight="1" thickBot="1" x14ac:dyDescent="0.45">
      <c r="B4" s="292" t="s">
        <v>1133</v>
      </c>
      <c r="C4" s="295" t="s">
        <v>1134</v>
      </c>
      <c r="D4" s="296"/>
      <c r="E4" s="301" t="s">
        <v>1135</v>
      </c>
      <c r="F4" s="304" t="s">
        <v>1142</v>
      </c>
      <c r="G4" s="304"/>
      <c r="H4" s="292"/>
      <c r="I4" s="305"/>
      <c r="J4" s="289" t="s">
        <v>1136</v>
      </c>
    </row>
    <row r="5" spans="2:10" ht="34.799999999999997" x14ac:dyDescent="0.4">
      <c r="B5" s="293"/>
      <c r="C5" s="297"/>
      <c r="D5" s="298"/>
      <c r="E5" s="302"/>
      <c r="F5" s="62" t="s">
        <v>1137</v>
      </c>
      <c r="G5" s="63" t="s">
        <v>1143</v>
      </c>
      <c r="H5" s="67" t="s">
        <v>1138</v>
      </c>
      <c r="I5" s="54" t="s">
        <v>1143</v>
      </c>
      <c r="J5" s="290"/>
    </row>
    <row r="6" spans="2:10" ht="34.799999999999997" x14ac:dyDescent="0.4">
      <c r="B6" s="294"/>
      <c r="C6" s="299"/>
      <c r="D6" s="300"/>
      <c r="E6" s="303"/>
      <c r="F6" s="53"/>
      <c r="G6" s="63" t="s">
        <v>1144</v>
      </c>
      <c r="H6" s="68" t="s">
        <v>1141</v>
      </c>
      <c r="I6" s="66" t="s">
        <v>1145</v>
      </c>
      <c r="J6" s="303"/>
    </row>
    <row r="7" spans="2:10" ht="16.5" customHeight="1" x14ac:dyDescent="0.4">
      <c r="B7" s="55">
        <v>1</v>
      </c>
      <c r="C7" s="56">
        <v>0</v>
      </c>
      <c r="D7" s="57">
        <v>2</v>
      </c>
      <c r="E7" s="58">
        <v>9.4</v>
      </c>
      <c r="F7" s="64">
        <v>0.4</v>
      </c>
      <c r="G7" s="65">
        <v>330.6</v>
      </c>
      <c r="H7" s="58">
        <f t="shared" ref="H7:H15" si="0">F7+(9.1-0.3)/10</f>
        <v>1.2799999999999998</v>
      </c>
      <c r="I7" s="59">
        <v>533.6</v>
      </c>
      <c r="J7" s="60">
        <f>(I7-G7)/2*60</f>
        <v>6090</v>
      </c>
    </row>
    <row r="8" spans="2:10" x14ac:dyDescent="0.4">
      <c r="B8" s="55">
        <v>2</v>
      </c>
      <c r="C8" s="56">
        <v>2</v>
      </c>
      <c r="D8" s="57">
        <v>4</v>
      </c>
      <c r="E8" s="58">
        <v>9.4</v>
      </c>
      <c r="F8" s="64">
        <f>H7</f>
        <v>1.2799999999999998</v>
      </c>
      <c r="G8" s="65">
        <f>I7</f>
        <v>533.6</v>
      </c>
      <c r="H8" s="58">
        <f t="shared" si="0"/>
        <v>2.1599999999999997</v>
      </c>
      <c r="I8" s="59">
        <f>I7+(I7-G7)</f>
        <v>736.6</v>
      </c>
      <c r="J8" s="60">
        <f t="shared" ref="J8:J16" si="1">(I8-G8)/2*60</f>
        <v>6090</v>
      </c>
    </row>
    <row r="9" spans="2:10" x14ac:dyDescent="0.4">
      <c r="B9" s="55">
        <v>3</v>
      </c>
      <c r="C9" s="56">
        <v>4</v>
      </c>
      <c r="D9" s="57">
        <v>6</v>
      </c>
      <c r="E9" s="58">
        <v>9.4</v>
      </c>
      <c r="F9" s="64">
        <f t="shared" ref="F9:F16" si="2">H8</f>
        <v>2.1599999999999997</v>
      </c>
      <c r="G9" s="65">
        <f t="shared" ref="G9:G16" si="3">I8</f>
        <v>736.6</v>
      </c>
      <c r="H9" s="58">
        <f t="shared" si="0"/>
        <v>3.0399999999999996</v>
      </c>
      <c r="I9" s="59">
        <f t="shared" ref="I9:I16" si="4">I8+(I8-G8)</f>
        <v>939.6</v>
      </c>
      <c r="J9" s="60">
        <f t="shared" si="1"/>
        <v>6090</v>
      </c>
    </row>
    <row r="10" spans="2:10" x14ac:dyDescent="0.4">
      <c r="B10" s="55">
        <v>4</v>
      </c>
      <c r="C10" s="56">
        <v>6</v>
      </c>
      <c r="D10" s="57">
        <v>8</v>
      </c>
      <c r="E10" s="58">
        <v>9.4</v>
      </c>
      <c r="F10" s="64">
        <f t="shared" si="2"/>
        <v>3.0399999999999996</v>
      </c>
      <c r="G10" s="65">
        <f t="shared" si="3"/>
        <v>939.6</v>
      </c>
      <c r="H10" s="58">
        <f t="shared" si="0"/>
        <v>3.9199999999999995</v>
      </c>
      <c r="I10" s="59">
        <f t="shared" si="4"/>
        <v>1142.5999999999999</v>
      </c>
      <c r="J10" s="60">
        <f t="shared" si="1"/>
        <v>6089.9999999999964</v>
      </c>
    </row>
    <row r="11" spans="2:10" x14ac:dyDescent="0.4">
      <c r="B11" s="55">
        <v>5</v>
      </c>
      <c r="C11" s="56">
        <v>8</v>
      </c>
      <c r="D11" s="57">
        <v>10</v>
      </c>
      <c r="E11" s="58">
        <v>9.4</v>
      </c>
      <c r="F11" s="64">
        <f t="shared" si="2"/>
        <v>3.9199999999999995</v>
      </c>
      <c r="G11" s="65">
        <f t="shared" si="3"/>
        <v>1142.5999999999999</v>
      </c>
      <c r="H11" s="58">
        <f t="shared" si="0"/>
        <v>4.7999999999999989</v>
      </c>
      <c r="I11" s="59">
        <f t="shared" si="4"/>
        <v>1345.6</v>
      </c>
      <c r="J11" s="60">
        <f t="shared" si="1"/>
        <v>6090</v>
      </c>
    </row>
    <row r="12" spans="2:10" x14ac:dyDescent="0.4">
      <c r="B12" s="55">
        <v>6</v>
      </c>
      <c r="C12" s="56">
        <v>10</v>
      </c>
      <c r="D12" s="57">
        <v>12</v>
      </c>
      <c r="E12" s="58">
        <v>9.4</v>
      </c>
      <c r="F12" s="64">
        <f t="shared" si="2"/>
        <v>4.7999999999999989</v>
      </c>
      <c r="G12" s="65">
        <f t="shared" si="3"/>
        <v>1345.6</v>
      </c>
      <c r="H12" s="58">
        <f t="shared" si="0"/>
        <v>5.6799999999999988</v>
      </c>
      <c r="I12" s="59">
        <f t="shared" si="4"/>
        <v>1548.6</v>
      </c>
      <c r="J12" s="60">
        <f t="shared" si="1"/>
        <v>6090</v>
      </c>
    </row>
    <row r="13" spans="2:10" x14ac:dyDescent="0.4">
      <c r="B13" s="55">
        <v>7</v>
      </c>
      <c r="C13" s="56">
        <v>12</v>
      </c>
      <c r="D13" s="57">
        <v>14</v>
      </c>
      <c r="E13" s="58">
        <v>9.4</v>
      </c>
      <c r="F13" s="64">
        <f t="shared" si="2"/>
        <v>5.6799999999999988</v>
      </c>
      <c r="G13" s="65">
        <f t="shared" si="3"/>
        <v>1548.6</v>
      </c>
      <c r="H13" s="58">
        <f t="shared" si="0"/>
        <v>6.5599999999999987</v>
      </c>
      <c r="I13" s="59">
        <f t="shared" si="4"/>
        <v>1751.6</v>
      </c>
      <c r="J13" s="60">
        <f t="shared" si="1"/>
        <v>6090</v>
      </c>
    </row>
    <row r="14" spans="2:10" x14ac:dyDescent="0.4">
      <c r="B14" s="55">
        <v>8</v>
      </c>
      <c r="C14" s="56">
        <v>14</v>
      </c>
      <c r="D14" s="57">
        <v>16</v>
      </c>
      <c r="E14" s="58">
        <v>9.4</v>
      </c>
      <c r="F14" s="64">
        <f t="shared" si="2"/>
        <v>6.5599999999999987</v>
      </c>
      <c r="G14" s="65">
        <f t="shared" si="3"/>
        <v>1751.6</v>
      </c>
      <c r="H14" s="58">
        <f t="shared" si="0"/>
        <v>7.4399999999999986</v>
      </c>
      <c r="I14" s="59">
        <f t="shared" si="4"/>
        <v>1954.6</v>
      </c>
      <c r="J14" s="60">
        <f t="shared" si="1"/>
        <v>6090</v>
      </c>
    </row>
    <row r="15" spans="2:10" x14ac:dyDescent="0.4">
      <c r="B15" s="55">
        <v>9</v>
      </c>
      <c r="C15" s="56">
        <v>16</v>
      </c>
      <c r="D15" s="57">
        <v>18</v>
      </c>
      <c r="E15" s="58">
        <v>9.4</v>
      </c>
      <c r="F15" s="64">
        <f t="shared" si="2"/>
        <v>7.4399999999999986</v>
      </c>
      <c r="G15" s="65">
        <f t="shared" si="3"/>
        <v>1954.6</v>
      </c>
      <c r="H15" s="58">
        <f t="shared" si="0"/>
        <v>8.3199999999999985</v>
      </c>
      <c r="I15" s="59">
        <f t="shared" si="4"/>
        <v>2157.6</v>
      </c>
      <c r="J15" s="60">
        <f t="shared" si="1"/>
        <v>6090</v>
      </c>
    </row>
    <row r="16" spans="2:10" ht="18" thickBot="1" x14ac:dyDescent="0.45">
      <c r="B16" s="55">
        <v>10</v>
      </c>
      <c r="C16" s="56">
        <v>18</v>
      </c>
      <c r="D16" s="57">
        <v>20</v>
      </c>
      <c r="E16" s="61">
        <v>9.4</v>
      </c>
      <c r="F16" s="64">
        <f t="shared" si="2"/>
        <v>8.3199999999999985</v>
      </c>
      <c r="G16" s="65">
        <f t="shared" si="3"/>
        <v>2157.6</v>
      </c>
      <c r="H16" s="61">
        <f>9.4-0.3</f>
        <v>9.1</v>
      </c>
      <c r="I16" s="59">
        <f t="shared" si="4"/>
        <v>2360.6</v>
      </c>
      <c r="J16" s="60">
        <f t="shared" si="1"/>
        <v>6090</v>
      </c>
    </row>
    <row r="18" spans="2:13" x14ac:dyDescent="0.4">
      <c r="B18" s="51" t="s">
        <v>1139</v>
      </c>
    </row>
    <row r="19" spans="2:13" x14ac:dyDescent="0.4">
      <c r="B19" s="51" t="s">
        <v>1146</v>
      </c>
    </row>
    <row r="20" spans="2:13" x14ac:dyDescent="0.4">
      <c r="B20" s="81" t="s">
        <v>1166</v>
      </c>
    </row>
    <row r="21" spans="2:13" x14ac:dyDescent="0.4">
      <c r="B21" s="51" t="s">
        <v>1140</v>
      </c>
    </row>
    <row r="24" spans="2:13" x14ac:dyDescent="0.4">
      <c r="B24" s="50" t="s">
        <v>1161</v>
      </c>
    </row>
    <row r="25" spans="2:13" ht="18" thickBot="1" x14ac:dyDescent="0.45">
      <c r="B25" s="50"/>
    </row>
    <row r="26" spans="2:13" ht="16.5" customHeight="1" x14ac:dyDescent="0.4">
      <c r="B26" s="292" t="s">
        <v>1152</v>
      </c>
      <c r="C26" s="295" t="s">
        <v>1153</v>
      </c>
      <c r="D26" s="296"/>
      <c r="E26" s="304" t="s">
        <v>1154</v>
      </c>
      <c r="F26" s="304"/>
      <c r="G26" s="304"/>
      <c r="H26" s="306"/>
      <c r="I26" s="289" t="s">
        <v>1155</v>
      </c>
      <c r="J26" s="289" t="s">
        <v>1156</v>
      </c>
      <c r="K26" s="69" t="s">
        <v>1157</v>
      </c>
    </row>
    <row r="27" spans="2:13" ht="34.799999999999997" x14ac:dyDescent="0.4">
      <c r="B27" s="293"/>
      <c r="C27" s="297"/>
      <c r="D27" s="298"/>
      <c r="E27" s="62" t="s">
        <v>1158</v>
      </c>
      <c r="F27" s="62" t="s">
        <v>1143</v>
      </c>
      <c r="G27" s="62" t="s">
        <v>1159</v>
      </c>
      <c r="H27" s="76" t="s">
        <v>1143</v>
      </c>
      <c r="I27" s="290"/>
      <c r="J27" s="290"/>
      <c r="K27" s="70" t="s">
        <v>1162</v>
      </c>
    </row>
    <row r="28" spans="2:13" x14ac:dyDescent="0.4">
      <c r="B28" s="294"/>
      <c r="C28" s="299"/>
      <c r="D28" s="300"/>
      <c r="E28" s="62"/>
      <c r="F28" s="62" t="s">
        <v>1144</v>
      </c>
      <c r="G28" s="62"/>
      <c r="H28" s="76" t="s">
        <v>1144</v>
      </c>
      <c r="I28" s="303"/>
      <c r="J28" s="291"/>
      <c r="K28" s="71"/>
    </row>
    <row r="29" spans="2:13" ht="16.5" customHeight="1" x14ac:dyDescent="0.4">
      <c r="B29" s="55">
        <v>1</v>
      </c>
      <c r="C29" s="56">
        <v>0</v>
      </c>
      <c r="D29" s="57">
        <v>2</v>
      </c>
      <c r="E29" s="79">
        <v>9.4</v>
      </c>
      <c r="F29" s="56">
        <v>2406.6</v>
      </c>
      <c r="G29" s="77">
        <f>E29-($E$29-$G$38)/10</f>
        <v>8.5340000000000007</v>
      </c>
      <c r="H29" s="78">
        <v>2206</v>
      </c>
      <c r="I29" s="58">
        <f>E29</f>
        <v>9.4</v>
      </c>
      <c r="J29" s="72">
        <v>0.44</v>
      </c>
      <c r="K29" s="73">
        <f>(F29-H29)/2*60</f>
        <v>6017.9999999999973</v>
      </c>
      <c r="M29" s="80"/>
    </row>
    <row r="30" spans="2:13" x14ac:dyDescent="0.4">
      <c r="B30" s="55">
        <v>2</v>
      </c>
      <c r="C30" s="56">
        <v>2</v>
      </c>
      <c r="D30" s="57">
        <v>4</v>
      </c>
      <c r="E30" s="79">
        <f>G29</f>
        <v>8.5340000000000007</v>
      </c>
      <c r="F30" s="56">
        <f>H29</f>
        <v>2206</v>
      </c>
      <c r="G30" s="77">
        <f t="shared" ref="G30:G37" si="5">E30-($E$29-$G$38)/10</f>
        <v>7.668000000000001</v>
      </c>
      <c r="H30" s="78">
        <f>F30-(F29-H29)</f>
        <v>2005.4</v>
      </c>
      <c r="I30" s="58">
        <f>G30</f>
        <v>7.668000000000001</v>
      </c>
      <c r="J30" s="72">
        <v>0.44</v>
      </c>
      <c r="K30" s="73">
        <f t="shared" ref="K30:K38" si="6">(F30-H30)/2*60</f>
        <v>6017.9999999999973</v>
      </c>
      <c r="M30" s="80"/>
    </row>
    <row r="31" spans="2:13" x14ac:dyDescent="0.4">
      <c r="B31" s="55">
        <v>3</v>
      </c>
      <c r="C31" s="56">
        <v>4</v>
      </c>
      <c r="D31" s="57">
        <v>6</v>
      </c>
      <c r="E31" s="79">
        <f t="shared" ref="E31:E38" si="7">G30</f>
        <v>7.668000000000001</v>
      </c>
      <c r="F31" s="56">
        <f t="shared" ref="F31:F38" si="8">H30</f>
        <v>2005.4</v>
      </c>
      <c r="G31" s="77">
        <f t="shared" si="5"/>
        <v>6.8020000000000014</v>
      </c>
      <c r="H31" s="78">
        <f t="shared" ref="H31:H36" si="9">F31-(F30-H30)</f>
        <v>1804.8000000000002</v>
      </c>
      <c r="I31" s="58">
        <f t="shared" ref="I31:I38" si="10">G31</f>
        <v>6.8020000000000014</v>
      </c>
      <c r="J31" s="72">
        <v>0.44</v>
      </c>
      <c r="K31" s="73">
        <f t="shared" si="6"/>
        <v>6017.9999999999973</v>
      </c>
      <c r="M31" s="80"/>
    </row>
    <row r="32" spans="2:13" x14ac:dyDescent="0.4">
      <c r="B32" s="55">
        <v>4</v>
      </c>
      <c r="C32" s="56">
        <v>6</v>
      </c>
      <c r="D32" s="57">
        <v>8</v>
      </c>
      <c r="E32" s="79">
        <f t="shared" si="7"/>
        <v>6.8020000000000014</v>
      </c>
      <c r="F32" s="56">
        <f t="shared" si="8"/>
        <v>1804.8000000000002</v>
      </c>
      <c r="G32" s="77">
        <f t="shared" si="5"/>
        <v>5.9360000000000017</v>
      </c>
      <c r="H32" s="78">
        <f t="shared" si="9"/>
        <v>1604.2000000000003</v>
      </c>
      <c r="I32" s="58">
        <f t="shared" si="10"/>
        <v>5.9360000000000017</v>
      </c>
      <c r="J32" s="72">
        <v>0.44</v>
      </c>
      <c r="K32" s="73">
        <f t="shared" si="6"/>
        <v>6017.9999999999973</v>
      </c>
      <c r="M32" s="80"/>
    </row>
    <row r="33" spans="2:13" x14ac:dyDescent="0.4">
      <c r="B33" s="55">
        <v>5</v>
      </c>
      <c r="C33" s="56">
        <v>8</v>
      </c>
      <c r="D33" s="57">
        <v>10</v>
      </c>
      <c r="E33" s="79">
        <f t="shared" si="7"/>
        <v>5.9360000000000017</v>
      </c>
      <c r="F33" s="56">
        <f t="shared" si="8"/>
        <v>1604.2000000000003</v>
      </c>
      <c r="G33" s="77">
        <f t="shared" si="5"/>
        <v>5.0700000000000021</v>
      </c>
      <c r="H33" s="78">
        <f t="shared" si="9"/>
        <v>1403.6000000000004</v>
      </c>
      <c r="I33" s="58">
        <f t="shared" si="10"/>
        <v>5.0700000000000021</v>
      </c>
      <c r="J33" s="72">
        <v>0.44</v>
      </c>
      <c r="K33" s="73">
        <f t="shared" si="6"/>
        <v>6017.9999999999973</v>
      </c>
      <c r="M33" s="80"/>
    </row>
    <row r="34" spans="2:13" x14ac:dyDescent="0.4">
      <c r="B34" s="55">
        <v>6</v>
      </c>
      <c r="C34" s="56">
        <v>10</v>
      </c>
      <c r="D34" s="57">
        <v>12</v>
      </c>
      <c r="E34" s="79">
        <f t="shared" si="7"/>
        <v>5.0700000000000021</v>
      </c>
      <c r="F34" s="56">
        <f t="shared" si="8"/>
        <v>1403.6000000000004</v>
      </c>
      <c r="G34" s="77">
        <f t="shared" si="5"/>
        <v>4.2040000000000024</v>
      </c>
      <c r="H34" s="78">
        <f t="shared" si="9"/>
        <v>1203.0000000000005</v>
      </c>
      <c r="I34" s="58">
        <f t="shared" si="10"/>
        <v>4.2040000000000024</v>
      </c>
      <c r="J34" s="72">
        <v>0.44</v>
      </c>
      <c r="K34" s="73">
        <f t="shared" si="6"/>
        <v>6017.9999999999973</v>
      </c>
      <c r="M34" s="80"/>
    </row>
    <row r="35" spans="2:13" x14ac:dyDescent="0.4">
      <c r="B35" s="55">
        <v>7</v>
      </c>
      <c r="C35" s="56">
        <v>12</v>
      </c>
      <c r="D35" s="57">
        <v>14</v>
      </c>
      <c r="E35" s="79">
        <f t="shared" si="7"/>
        <v>4.2040000000000024</v>
      </c>
      <c r="F35" s="56">
        <f t="shared" si="8"/>
        <v>1203.0000000000005</v>
      </c>
      <c r="G35" s="77">
        <f t="shared" si="5"/>
        <v>3.3380000000000023</v>
      </c>
      <c r="H35" s="78">
        <f t="shared" si="9"/>
        <v>1002.4000000000005</v>
      </c>
      <c r="I35" s="58">
        <f t="shared" si="10"/>
        <v>3.3380000000000023</v>
      </c>
      <c r="J35" s="72">
        <v>0.44</v>
      </c>
      <c r="K35" s="73">
        <f t="shared" si="6"/>
        <v>6017.9999999999973</v>
      </c>
      <c r="M35" s="80"/>
    </row>
    <row r="36" spans="2:13" x14ac:dyDescent="0.4">
      <c r="B36" s="55">
        <v>8</v>
      </c>
      <c r="C36" s="56">
        <v>14</v>
      </c>
      <c r="D36" s="57">
        <v>16</v>
      </c>
      <c r="E36" s="79">
        <f t="shared" si="7"/>
        <v>3.3380000000000023</v>
      </c>
      <c r="F36" s="56">
        <f t="shared" si="8"/>
        <v>1002.4000000000005</v>
      </c>
      <c r="G36" s="77">
        <f t="shared" si="5"/>
        <v>2.4720000000000022</v>
      </c>
      <c r="H36" s="78">
        <f t="shared" si="9"/>
        <v>801.80000000000064</v>
      </c>
      <c r="I36" s="58">
        <f t="shared" si="10"/>
        <v>2.4720000000000022</v>
      </c>
      <c r="J36" s="72">
        <v>0.44</v>
      </c>
      <c r="K36" s="73">
        <f t="shared" si="6"/>
        <v>6017.9999999999973</v>
      </c>
      <c r="M36" s="80"/>
    </row>
    <row r="37" spans="2:13" x14ac:dyDescent="0.4">
      <c r="B37" s="55">
        <v>9</v>
      </c>
      <c r="C37" s="56">
        <v>16</v>
      </c>
      <c r="D37" s="57">
        <v>18</v>
      </c>
      <c r="E37" s="79">
        <f t="shared" si="7"/>
        <v>2.4720000000000022</v>
      </c>
      <c r="F37" s="56">
        <f t="shared" si="8"/>
        <v>801.80000000000064</v>
      </c>
      <c r="G37" s="77">
        <f t="shared" si="5"/>
        <v>1.6060000000000021</v>
      </c>
      <c r="H37" s="78">
        <f>F37-(F36-H36)</f>
        <v>601.20000000000073</v>
      </c>
      <c r="I37" s="58">
        <f t="shared" si="10"/>
        <v>1.6060000000000021</v>
      </c>
      <c r="J37" s="72">
        <v>0.44</v>
      </c>
      <c r="K37" s="73">
        <f t="shared" si="6"/>
        <v>6017.9999999999973</v>
      </c>
      <c r="M37" s="80"/>
    </row>
    <row r="38" spans="2:13" ht="18" thickBot="1" x14ac:dyDescent="0.45">
      <c r="B38" s="55">
        <v>10</v>
      </c>
      <c r="C38" s="56">
        <v>18</v>
      </c>
      <c r="D38" s="57">
        <v>20</v>
      </c>
      <c r="E38" s="79">
        <f t="shared" si="7"/>
        <v>1.6060000000000021</v>
      </c>
      <c r="F38" s="56">
        <f t="shared" si="8"/>
        <v>601.20000000000073</v>
      </c>
      <c r="G38" s="77">
        <f>J38+0.3</f>
        <v>0.74</v>
      </c>
      <c r="H38" s="78">
        <f>F38-(F37-H37)</f>
        <v>400.60000000000082</v>
      </c>
      <c r="I38" s="61">
        <f t="shared" si="10"/>
        <v>0.74</v>
      </c>
      <c r="J38" s="74">
        <v>0.44</v>
      </c>
      <c r="K38" s="75">
        <f t="shared" si="6"/>
        <v>6017.9999999999973</v>
      </c>
      <c r="M38" s="80"/>
    </row>
    <row r="40" spans="2:13" x14ac:dyDescent="0.4">
      <c r="B40" s="51" t="s">
        <v>1139</v>
      </c>
    </row>
    <row r="41" spans="2:13" x14ac:dyDescent="0.4">
      <c r="B41" s="51" t="s">
        <v>1146</v>
      </c>
    </row>
    <row r="42" spans="2:13" x14ac:dyDescent="0.4">
      <c r="B42" s="51" t="s">
        <v>1163</v>
      </c>
    </row>
    <row r="43" spans="2:13" x14ac:dyDescent="0.4">
      <c r="B43" s="51" t="s">
        <v>1140</v>
      </c>
    </row>
    <row r="49" ht="18" customHeight="1" x14ac:dyDescent="0.4"/>
  </sheetData>
  <mergeCells count="10">
    <mergeCell ref="J26:J28"/>
    <mergeCell ref="B4:B6"/>
    <mergeCell ref="C4:D6"/>
    <mergeCell ref="E4:E6"/>
    <mergeCell ref="J4:J6"/>
    <mergeCell ref="F4:I4"/>
    <mergeCell ref="I26:I28"/>
    <mergeCell ref="E26:H26"/>
    <mergeCell ref="B26:B28"/>
    <mergeCell ref="C26:D28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IDM_ISTL</vt:lpstr>
      <vt:lpstr>수정history</vt:lpstr>
      <vt:lpstr>Dryer Regen. Valve 관련 Basis</vt:lpstr>
      <vt:lpstr>IDM_ISTL!Print_Area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유대근</dc:creator>
  <cp:lastModifiedBy>HEC</cp:lastModifiedBy>
  <cp:lastPrinted>2022-07-25T09:29:25Z</cp:lastPrinted>
  <dcterms:created xsi:type="dcterms:W3CDTF">2022-04-01T07:25:43Z</dcterms:created>
  <dcterms:modified xsi:type="dcterms:W3CDTF">2022-12-22T01:04:10Z</dcterms:modified>
</cp:coreProperties>
</file>