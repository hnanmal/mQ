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29. 기술 개발 과제 (Main Steam Piping Loss 기준 수립)\02. 계산서 작성\221221 최종 본\"/>
    </mc:Choice>
  </mc:AlternateContent>
  <bookViews>
    <workbookView xWindow="0" yWindow="0" windowWidth="25380" windowHeight="12930"/>
  </bookViews>
  <sheets>
    <sheet name="열 손실 계산기" sheetId="4" r:id="rId1"/>
    <sheet name="보온재 두께 계산기" sheetId="5" r:id="rId2"/>
    <sheet name="계산과정 - 열손실" sheetId="3" r:id="rId3"/>
    <sheet name="계산과정 - 보온재" sheetId="6" r:id="rId4"/>
    <sheet name="Data" sheetId="2" r:id="rId5"/>
  </sheets>
  <functionGroups builtInGroupCount="18"/>
  <definedNames>
    <definedName name="solver_adj" localSheetId="3" hidden="1">'계산과정 - 보온재'!$J$111</definedName>
    <definedName name="solver_adj" localSheetId="2" hidden="1">'계산과정 - 열손실'!$J$151</definedName>
    <definedName name="solver_cvg" localSheetId="3" hidden="1">0.0001</definedName>
    <definedName name="solver_cvg" localSheetId="2" hidden="1">0.0001</definedName>
    <definedName name="solver_drv" localSheetId="3" hidden="1">1</definedName>
    <definedName name="solver_drv" localSheetId="2" hidden="1">1</definedName>
    <definedName name="solver_eng" localSheetId="3" hidden="1">1</definedName>
    <definedName name="solver_eng" localSheetId="2" hidden="1">1</definedName>
    <definedName name="solver_est" localSheetId="3" hidden="1">1</definedName>
    <definedName name="solver_est" localSheetId="2" hidden="1">1</definedName>
    <definedName name="solver_itr" localSheetId="3" hidden="1">2147483647</definedName>
    <definedName name="solver_itr" localSheetId="2" hidden="1">2147483647</definedName>
    <definedName name="solver_mip" localSheetId="3" hidden="1">2147483647</definedName>
    <definedName name="solver_mip" localSheetId="2" hidden="1">2147483647</definedName>
    <definedName name="solver_mni" localSheetId="3" hidden="1">30</definedName>
    <definedName name="solver_mni" localSheetId="2" hidden="1">30</definedName>
    <definedName name="solver_mrt" localSheetId="3" hidden="1">0.075</definedName>
    <definedName name="solver_mrt" localSheetId="2" hidden="1">0.075</definedName>
    <definedName name="solver_msl" localSheetId="3" hidden="1">2</definedName>
    <definedName name="solver_msl" localSheetId="2" hidden="1">2</definedName>
    <definedName name="solver_neg" localSheetId="3" hidden="1">1</definedName>
    <definedName name="solver_neg" localSheetId="2" hidden="1">1</definedName>
    <definedName name="solver_nod" localSheetId="3" hidden="1">2147483647</definedName>
    <definedName name="solver_nod" localSheetId="2" hidden="1">2147483647</definedName>
    <definedName name="solver_num" localSheetId="3" hidden="1">0</definedName>
    <definedName name="solver_num" localSheetId="2" hidden="1">0</definedName>
    <definedName name="solver_nwt" localSheetId="3" hidden="1">1</definedName>
    <definedName name="solver_nwt" localSheetId="2" hidden="1">1</definedName>
    <definedName name="solver_opt" localSheetId="3" hidden="1">'계산과정 - 보온재'!$J$114</definedName>
    <definedName name="solver_opt" localSheetId="2" hidden="1">'계산과정 - 열손실'!$J$162</definedName>
    <definedName name="solver_pre" localSheetId="3" hidden="1">0.000001</definedName>
    <definedName name="solver_pre" localSheetId="2" hidden="1">0.000001</definedName>
    <definedName name="solver_rbv" localSheetId="3" hidden="1">1</definedName>
    <definedName name="solver_rbv" localSheetId="2" hidden="1">1</definedName>
    <definedName name="solver_rlx" localSheetId="3" hidden="1">2</definedName>
    <definedName name="solver_rlx" localSheetId="2" hidden="1">2</definedName>
    <definedName name="solver_rsd" localSheetId="3" hidden="1">0</definedName>
    <definedName name="solver_rsd" localSheetId="2" hidden="1">0</definedName>
    <definedName name="solver_scl" localSheetId="3" hidden="1">1</definedName>
    <definedName name="solver_scl" localSheetId="2" hidden="1">1</definedName>
    <definedName name="solver_sho" localSheetId="3" hidden="1">2</definedName>
    <definedName name="solver_sho" localSheetId="2" hidden="1">2</definedName>
    <definedName name="solver_ssz" localSheetId="3" hidden="1">100</definedName>
    <definedName name="solver_ssz" localSheetId="2" hidden="1">100</definedName>
    <definedName name="solver_tim" localSheetId="3" hidden="1">2147483647</definedName>
    <definedName name="solver_tim" localSheetId="2" hidden="1">2147483647</definedName>
    <definedName name="solver_tol" localSheetId="3" hidden="1">0.01</definedName>
    <definedName name="solver_tol" localSheetId="2" hidden="1">0.01</definedName>
    <definedName name="solver_typ" localSheetId="3" hidden="1">3</definedName>
    <definedName name="solver_typ" localSheetId="2" hidden="1">3</definedName>
    <definedName name="solver_val" localSheetId="3" hidden="1">0</definedName>
    <definedName name="solver_val" localSheetId="2" hidden="1">0</definedName>
    <definedName name="solver_ver" localSheetId="3" hidden="1">3</definedName>
    <definedName name="solver_ver" localSheetId="2" hidden="1">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40" i="6" l="1"/>
  <c r="AF22" i="2"/>
  <c r="AF21" i="2"/>
  <c r="AF20" i="2"/>
  <c r="AF19" i="2"/>
  <c r="AE22" i="2"/>
  <c r="AE21" i="2"/>
  <c r="AE20" i="2"/>
  <c r="AE19" i="2"/>
  <c r="Z25" i="2"/>
  <c r="Z24" i="2"/>
  <c r="Z23" i="2"/>
  <c r="Z22" i="2"/>
  <c r="Z21" i="2"/>
  <c r="Z20" i="2"/>
  <c r="Z19" i="2"/>
  <c r="U27" i="2"/>
  <c r="U26" i="2"/>
  <c r="U25" i="2"/>
  <c r="U24" i="2"/>
  <c r="U23" i="2"/>
  <c r="U22" i="2"/>
  <c r="U21" i="2"/>
  <c r="U20" i="2"/>
  <c r="U19" i="2"/>
  <c r="T27" i="2"/>
  <c r="T26" i="2"/>
  <c r="T25" i="2"/>
  <c r="T24" i="2"/>
  <c r="T23" i="2"/>
  <c r="T22" i="2"/>
  <c r="T21" i="2"/>
  <c r="T20" i="2"/>
  <c r="T19" i="2"/>
  <c r="S27" i="2"/>
  <c r="S26" i="2"/>
  <c r="S25" i="2"/>
  <c r="S24" i="2"/>
  <c r="S23" i="2"/>
  <c r="S22" i="2"/>
  <c r="S21" i="2"/>
  <c r="S20" i="2"/>
  <c r="S19" i="2"/>
  <c r="R25" i="2"/>
  <c r="R24" i="2"/>
  <c r="R23" i="2"/>
  <c r="R22" i="2"/>
  <c r="R21" i="2"/>
  <c r="R20" i="2"/>
  <c r="R19" i="2"/>
  <c r="Q27" i="2"/>
  <c r="Q26" i="2"/>
  <c r="Q25" i="2"/>
  <c r="Q24" i="2"/>
  <c r="Q23" i="2"/>
  <c r="Q22" i="2"/>
  <c r="Q20" i="2"/>
  <c r="Q19" i="2"/>
  <c r="Q21" i="2"/>
  <c r="O25" i="2"/>
  <c r="O24" i="2"/>
  <c r="O23" i="2"/>
  <c r="O22" i="2"/>
  <c r="O21" i="2"/>
  <c r="O20" i="2"/>
  <c r="O19" i="2"/>
  <c r="N25" i="2"/>
  <c r="N24" i="2"/>
  <c r="N23" i="2"/>
  <c r="N22" i="2"/>
  <c r="N21" i="2"/>
  <c r="N20" i="2"/>
  <c r="N19" i="2"/>
  <c r="M25" i="2"/>
  <c r="M24" i="2"/>
  <c r="M23" i="2"/>
  <c r="M22" i="2"/>
  <c r="M21" i="2"/>
  <c r="M20" i="2"/>
  <c r="M19" i="2"/>
  <c r="L25" i="2"/>
  <c r="L24" i="2"/>
  <c r="L23" i="2"/>
  <c r="L22" i="2"/>
  <c r="L21" i="2"/>
  <c r="L20" i="2"/>
  <c r="L19" i="2"/>
  <c r="K23" i="2"/>
  <c r="K22" i="2"/>
  <c r="K21" i="2"/>
  <c r="K20" i="2"/>
  <c r="K19" i="2"/>
  <c r="F28" i="2"/>
  <c r="F27" i="2"/>
  <c r="F26" i="2"/>
  <c r="F25" i="2"/>
  <c r="F24" i="2"/>
  <c r="F23" i="2"/>
  <c r="F22" i="2"/>
  <c r="F21" i="2"/>
  <c r="F20" i="2"/>
  <c r="F19" i="2"/>
  <c r="E25" i="2"/>
  <c r="E24" i="2"/>
  <c r="E23" i="2"/>
  <c r="E22" i="2"/>
  <c r="E21" i="2"/>
  <c r="E20" i="2"/>
  <c r="E19" i="2"/>
  <c r="D25" i="2"/>
  <c r="D24" i="2"/>
  <c r="D23" i="2"/>
  <c r="D22" i="2"/>
  <c r="D21" i="2"/>
  <c r="D20" i="2"/>
  <c r="D19" i="2"/>
  <c r="Y25" i="2"/>
  <c r="Y24" i="2"/>
  <c r="Y23" i="2"/>
  <c r="Y22" i="2"/>
  <c r="Y21" i="2"/>
  <c r="Y20" i="2"/>
  <c r="Y19" i="2"/>
  <c r="J25" i="2"/>
  <c r="J24" i="2"/>
  <c r="J23" i="2"/>
  <c r="J22" i="2"/>
  <c r="J21" i="2"/>
  <c r="J20" i="2"/>
  <c r="J19" i="2"/>
  <c r="C28" i="2"/>
  <c r="C27" i="2"/>
  <c r="C26" i="2"/>
  <c r="C25" i="2"/>
  <c r="C24" i="2"/>
  <c r="C23" i="2"/>
  <c r="C22" i="2"/>
  <c r="C21" i="2"/>
  <c r="C20" i="2"/>
  <c r="C19" i="2"/>
  <c r="AB65" i="2"/>
  <c r="AA65" i="2"/>
  <c r="Z65" i="2"/>
  <c r="Y65" i="2"/>
  <c r="X65" i="2"/>
  <c r="W65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F65" i="2"/>
  <c r="E65" i="2"/>
  <c r="D65" i="2"/>
  <c r="J139" i="6" l="1"/>
  <c r="J138" i="6" s="1"/>
  <c r="J141" i="6" l="1"/>
  <c r="J16" i="6"/>
  <c r="J98" i="6" s="1"/>
  <c r="J15" i="6"/>
  <c r="J51" i="6" s="1"/>
  <c r="J9" i="6"/>
  <c r="J39" i="6" s="1"/>
  <c r="J8" i="6"/>
  <c r="J44" i="6" s="1"/>
  <c r="J7" i="6"/>
  <c r="J42" i="6" s="1"/>
  <c r="J64" i="6" s="1"/>
  <c r="J6" i="6"/>
  <c r="J40" i="6" s="1"/>
  <c r="J5" i="6"/>
  <c r="J36" i="6" s="1"/>
  <c r="J62" i="6" s="1"/>
  <c r="J99" i="6"/>
  <c r="J48" i="6"/>
  <c r="J38" i="6"/>
  <c r="J11" i="6"/>
  <c r="J46" i="6" s="1"/>
  <c r="M47" i="6" l="1"/>
  <c r="L141" i="6"/>
  <c r="J127" i="6"/>
  <c r="J70" i="6"/>
  <c r="J93" i="6"/>
  <c r="J116" i="6"/>
  <c r="J135" i="6"/>
  <c r="J63" i="6"/>
  <c r="J83" i="6"/>
  <c r="J84" i="6" s="1"/>
  <c r="J101" i="6"/>
  <c r="J128" i="6"/>
  <c r="J134" i="6"/>
  <c r="J100" i="6"/>
  <c r="J53" i="6"/>
  <c r="J82" i="6"/>
  <c r="J60" i="6"/>
  <c r="J54" i="6"/>
  <c r="J7" i="3"/>
  <c r="J52" i="3" s="1"/>
  <c r="J74" i="6"/>
  <c r="J85" i="6"/>
  <c r="J61" i="6"/>
  <c r="J75" i="6"/>
  <c r="J80" i="6"/>
  <c r="N47" i="6" l="1"/>
  <c r="J47" i="6" s="1"/>
  <c r="J120" i="6" s="1"/>
  <c r="J126" i="6"/>
  <c r="J97" i="6"/>
  <c r="J104" i="6" s="1"/>
  <c r="J52" i="6"/>
  <c r="J92" i="6"/>
  <c r="J68" i="6"/>
  <c r="J76" i="6"/>
  <c r="J73" i="6" s="1"/>
  <c r="J91" i="6"/>
  <c r="J133" i="6"/>
  <c r="J72" i="3"/>
  <c r="J58" i="6"/>
  <c r="J55" i="6"/>
  <c r="J56" i="6"/>
  <c r="J59" i="6"/>
  <c r="J57" i="6"/>
  <c r="J67" i="6" l="1"/>
  <c r="J115" i="6"/>
  <c r="J79" i="6"/>
  <c r="J78" i="6" s="1"/>
  <c r="J50" i="6"/>
  <c r="J117" i="6" s="1"/>
  <c r="J95" i="6"/>
  <c r="J86" i="6"/>
  <c r="J77" i="6" l="1"/>
  <c r="J72" i="6" s="1"/>
  <c r="J96" i="6" s="1"/>
  <c r="J94" i="6"/>
  <c r="J90" i="6" s="1"/>
  <c r="J89" i="6" s="1"/>
  <c r="J110" i="6"/>
  <c r="J125" i="6" s="1"/>
  <c r="J124" i="6" s="1"/>
  <c r="J123" i="6" s="1"/>
  <c r="J112" i="6" s="1"/>
  <c r="J21" i="3"/>
  <c r="J20" i="3"/>
  <c r="J19" i="3"/>
  <c r="J18" i="3"/>
  <c r="J17" i="3"/>
  <c r="J16" i="3"/>
  <c r="J15" i="3"/>
  <c r="J14" i="3"/>
  <c r="J12" i="3"/>
  <c r="J11" i="3"/>
  <c r="J8" i="3"/>
  <c r="J6" i="3"/>
  <c r="J5" i="3"/>
  <c r="J88" i="6" l="1"/>
  <c r="J69" i="6" s="1"/>
  <c r="J66" i="6" s="1"/>
  <c r="J103" i="6" s="1"/>
  <c r="J102" i="6" s="1"/>
  <c r="J119" i="6" s="1"/>
  <c r="J118" i="6" s="1"/>
  <c r="J132" i="6" s="1"/>
  <c r="J131" i="6" s="1"/>
  <c r="J130" i="6" s="1"/>
  <c r="J113" i="6" s="1"/>
  <c r="J114" i="6" s="1"/>
  <c r="J35" i="3" l="1"/>
  <c r="E28" i="4" s="1"/>
  <c r="J62" i="3"/>
  <c r="J188" i="3" s="1"/>
  <c r="J45" i="3"/>
  <c r="J198" i="3" s="1"/>
  <c r="J189" i="3"/>
  <c r="J190" i="3" s="1"/>
  <c r="J49" i="3"/>
  <c r="J129" i="3" s="1"/>
  <c r="J158" i="3"/>
  <c r="J149" i="3"/>
  <c r="J60" i="3"/>
  <c r="J145" i="3" s="1"/>
  <c r="J143" i="3"/>
  <c r="J128" i="3"/>
  <c r="J127" i="3"/>
  <c r="J86" i="3"/>
  <c r="J57" i="3"/>
  <c r="J54" i="3"/>
  <c r="J122" i="3" s="1"/>
  <c r="J50" i="3"/>
  <c r="J182" i="3" s="1"/>
  <c r="J48" i="3"/>
  <c r="J46" i="3"/>
  <c r="J70" i="3" s="1"/>
  <c r="J44" i="3"/>
  <c r="J65" i="3" s="1"/>
  <c r="J92" i="3" s="1"/>
  <c r="J10" i="3"/>
  <c r="J58" i="3" s="1"/>
  <c r="M59" i="3" l="1"/>
  <c r="N59" i="3" s="1"/>
  <c r="J59" i="3" s="1"/>
  <c r="J174" i="3"/>
  <c r="J152" i="3"/>
  <c r="J150" i="3" s="1"/>
  <c r="J66" i="3"/>
  <c r="J99" i="3"/>
  <c r="J193" i="3"/>
  <c r="J197" i="3" s="1"/>
  <c r="J194" i="3"/>
  <c r="J181" i="3"/>
  <c r="J180" i="3" s="1"/>
  <c r="J175" i="3"/>
  <c r="J81" i="3"/>
  <c r="J147" i="3"/>
  <c r="J141" i="3"/>
  <c r="J56" i="3"/>
  <c r="J111" i="3"/>
  <c r="J112" i="3"/>
  <c r="J113" i="3" s="1"/>
  <c r="J130" i="3"/>
  <c r="J126" i="3" s="1"/>
  <c r="J133" i="3" s="1"/>
  <c r="J71" i="3"/>
  <c r="J82" i="3"/>
  <c r="J109" i="3"/>
  <c r="J103" i="3"/>
  <c r="J104" i="3"/>
  <c r="J114" i="3"/>
  <c r="J69" i="3"/>
  <c r="J79" i="3"/>
  <c r="J195" i="3"/>
  <c r="J64" i="3"/>
  <c r="J80" i="3"/>
  <c r="J155" i="3"/>
  <c r="J153" i="3"/>
  <c r="J157" i="3"/>
  <c r="J154" i="3"/>
  <c r="J156" i="3"/>
  <c r="J173" i="3" l="1"/>
  <c r="J148" i="3"/>
  <c r="J68" i="3" s="1"/>
  <c r="J97" i="3"/>
  <c r="J94" i="3"/>
  <c r="J75" i="3"/>
  <c r="J93" i="3"/>
  <c r="J201" i="3"/>
  <c r="J87" i="3"/>
  <c r="J90" i="3"/>
  <c r="J120" i="3"/>
  <c r="J105" i="3"/>
  <c r="J102" i="3" s="1"/>
  <c r="J121" i="3"/>
  <c r="J142" i="3"/>
  <c r="J140" i="3" s="1"/>
  <c r="J171" i="3" s="1"/>
  <c r="J88" i="3"/>
  <c r="J84" i="3"/>
  <c r="J85" i="3" s="1"/>
  <c r="J76" i="3"/>
  <c r="J139" i="3"/>
  <c r="J96" i="3"/>
  <c r="J108" i="3"/>
  <c r="J107" i="3" s="1"/>
  <c r="J146" i="3"/>
  <c r="J165" i="3"/>
  <c r="J91" i="3"/>
  <c r="J144" i="3" l="1"/>
  <c r="J172" i="3" s="1"/>
  <c r="J89" i="3"/>
  <c r="J124" i="3"/>
  <c r="J115" i="3"/>
  <c r="J83" i="3"/>
  <c r="J78" i="3" s="1"/>
  <c r="J123" i="3"/>
  <c r="J119" i="3" s="1"/>
  <c r="J77" i="3" l="1"/>
  <c r="J74" i="3" s="1"/>
  <c r="J138" i="3" s="1"/>
  <c r="J137" i="3" s="1"/>
  <c r="J170" i="3" s="1"/>
  <c r="J169" i="3" s="1"/>
  <c r="J168" i="3" s="1"/>
  <c r="J118" i="3"/>
  <c r="J106" i="3"/>
  <c r="J101" i="3" s="1"/>
  <c r="J125" i="3" s="1"/>
  <c r="J117" i="3" l="1"/>
  <c r="J98" i="3" s="1"/>
  <c r="J95" i="3" s="1"/>
  <c r="J132" i="3" s="1"/>
  <c r="J131" i="3" s="1"/>
  <c r="J164" i="3" s="1"/>
  <c r="J163" i="3" s="1"/>
  <c r="J179" i="3" s="1"/>
  <c r="J178" i="3" s="1"/>
  <c r="J177" i="3" s="1"/>
  <c r="J160" i="3"/>
  <c r="J186" i="3" l="1"/>
  <c r="J161" i="3"/>
  <c r="J162" i="3" s="1"/>
  <c r="J187" i="3" l="1"/>
  <c r="J37" i="3"/>
  <c r="E31" i="4" s="1"/>
  <c r="J184" i="3"/>
  <c r="J36" i="3" s="1"/>
  <c r="E30" i="4" s="1"/>
  <c r="J185" i="3"/>
  <c r="J202" i="3" s="1"/>
  <c r="J200" i="3" s="1"/>
  <c r="J199" i="3"/>
  <c r="J38" i="3" l="1"/>
  <c r="E32" i="4" s="1"/>
  <c r="J39" i="3"/>
  <c r="E34" i="4" s="1"/>
</calcChain>
</file>

<file path=xl/sharedStrings.xml><?xml version="1.0" encoding="utf-8"?>
<sst xmlns="http://schemas.openxmlformats.org/spreadsheetml/2006/main" count="859" uniqueCount="426">
  <si>
    <t>1.</t>
    <phoneticPr fontId="1" type="noConversion"/>
  </si>
  <si>
    <t>입력</t>
    <phoneticPr fontId="1" type="noConversion"/>
  </si>
  <si>
    <t>대기 압력</t>
    <phoneticPr fontId="1" type="noConversion"/>
  </si>
  <si>
    <t>대기 온도</t>
    <phoneticPr fontId="1" type="noConversion"/>
  </si>
  <si>
    <t>1)</t>
    <phoneticPr fontId="1" type="noConversion"/>
  </si>
  <si>
    <t>2)</t>
    <phoneticPr fontId="1" type="noConversion"/>
  </si>
  <si>
    <t>Insulation 설계 조건</t>
    <phoneticPr fontId="1" type="noConversion"/>
  </si>
  <si>
    <t>배관 및 Insulation 정보</t>
    <phoneticPr fontId="1" type="noConversion"/>
  </si>
  <si>
    <t>배관 사이즈 (외경)</t>
    <phoneticPr fontId="1" type="noConversion"/>
  </si>
  <si>
    <t>운전 조건</t>
    <phoneticPr fontId="1" type="noConversion"/>
  </si>
  <si>
    <t>압력</t>
    <phoneticPr fontId="1" type="noConversion"/>
  </si>
  <si>
    <t>온도</t>
    <phoneticPr fontId="1" type="noConversion"/>
  </si>
  <si>
    <t>유량</t>
    <phoneticPr fontId="1" type="noConversion"/>
  </si>
  <si>
    <t>배관 두께</t>
    <phoneticPr fontId="1" type="noConversion"/>
  </si>
  <si>
    <t>보온재 재질</t>
    <phoneticPr fontId="1" type="noConversion"/>
  </si>
  <si>
    <t>Jacket 방사율</t>
    <phoneticPr fontId="1" type="noConversion"/>
  </si>
  <si>
    <t>바람 속도</t>
    <phoneticPr fontId="1" type="noConversion"/>
  </si>
  <si>
    <t>bara</t>
    <phoneticPr fontId="1" type="noConversion"/>
  </si>
  <si>
    <t>deg.C</t>
    <phoneticPr fontId="1" type="noConversion"/>
  </si>
  <si>
    <t>m/s</t>
    <phoneticPr fontId="1" type="noConversion"/>
  </si>
  <si>
    <t>DN Size</t>
    <phoneticPr fontId="1" type="noConversion"/>
  </si>
  <si>
    <t>mm</t>
    <phoneticPr fontId="1" type="noConversion"/>
  </si>
  <si>
    <t>DN</t>
    <phoneticPr fontId="1" type="noConversion"/>
  </si>
  <si>
    <t>DN 입력으로 외경 자동 입력 구현</t>
    <phoneticPr fontId="1" type="noConversion"/>
  </si>
  <si>
    <t>mm</t>
    <phoneticPr fontId="1" type="noConversion"/>
  </si>
  <si>
    <t>-</t>
    <phoneticPr fontId="1" type="noConversion"/>
  </si>
  <si>
    <t>ton/h</t>
    <phoneticPr fontId="1" type="noConversion"/>
  </si>
  <si>
    <t>deg.C</t>
    <phoneticPr fontId="1" type="noConversion"/>
  </si>
  <si>
    <t>bara</t>
    <phoneticPr fontId="1" type="noConversion"/>
  </si>
  <si>
    <t>2.</t>
    <phoneticPr fontId="1" type="noConversion"/>
  </si>
  <si>
    <t>계산</t>
    <phoneticPr fontId="1" type="noConversion"/>
  </si>
  <si>
    <t>1)</t>
    <phoneticPr fontId="1" type="noConversion"/>
  </si>
  <si>
    <t>P_fluid</t>
    <phoneticPr fontId="1" type="noConversion"/>
  </si>
  <si>
    <t>T_fluid</t>
  </si>
  <si>
    <t>T_fluid</t>
    <phoneticPr fontId="1" type="noConversion"/>
  </si>
  <si>
    <t>P_amb</t>
    <phoneticPr fontId="1" type="noConversion"/>
  </si>
  <si>
    <t>T_surf</t>
  </si>
  <si>
    <t>T_surf</t>
    <phoneticPr fontId="1" type="noConversion"/>
  </si>
  <si>
    <t>T_amb</t>
  </si>
  <si>
    <t>T_amb</t>
    <phoneticPr fontId="1" type="noConversion"/>
  </si>
  <si>
    <t>V_wind</t>
    <phoneticPr fontId="1" type="noConversion"/>
  </si>
  <si>
    <t>m/s</t>
    <phoneticPr fontId="1" type="noConversion"/>
  </si>
  <si>
    <t>r_pi</t>
    <phoneticPr fontId="1" type="noConversion"/>
  </si>
  <si>
    <t>r_po</t>
  </si>
  <si>
    <t>r_po</t>
    <phoneticPr fontId="1" type="noConversion"/>
  </si>
  <si>
    <t>r_io</t>
  </si>
  <si>
    <t>r_io</t>
    <phoneticPr fontId="1" type="noConversion"/>
  </si>
  <si>
    <t>mm</t>
    <phoneticPr fontId="1" type="noConversion"/>
  </si>
  <si>
    <t>t_insulation, 보온재 두께</t>
    <phoneticPr fontId="1" type="noConversion"/>
  </si>
  <si>
    <t>t_pipe</t>
    <phoneticPr fontId="1" type="noConversion"/>
  </si>
  <si>
    <t>k_fluid</t>
  </si>
  <si>
    <t>k_fluid</t>
    <phoneticPr fontId="1" type="noConversion"/>
  </si>
  <si>
    <t>W/m-K</t>
    <phoneticPr fontId="1" type="noConversion"/>
  </si>
  <si>
    <t>k_pipe</t>
    <phoneticPr fontId="1" type="noConversion"/>
  </si>
  <si>
    <t>k_insul</t>
  </si>
  <si>
    <t>k_insul</t>
    <phoneticPr fontId="1" type="noConversion"/>
  </si>
  <si>
    <t>배관 외경</t>
    <phoneticPr fontId="1" type="noConversion"/>
  </si>
  <si>
    <t>inch</t>
    <phoneticPr fontId="1" type="noConversion"/>
  </si>
  <si>
    <t>DATA 정리</t>
    <phoneticPr fontId="1" type="noConversion"/>
  </si>
  <si>
    <t>Type I</t>
    <phoneticPr fontId="1" type="noConversion"/>
  </si>
  <si>
    <t>Type II</t>
    <phoneticPr fontId="1" type="noConversion"/>
  </si>
  <si>
    <t>2)</t>
    <phoneticPr fontId="1" type="noConversion"/>
  </si>
  <si>
    <t>Type I</t>
    <phoneticPr fontId="1" type="noConversion"/>
  </si>
  <si>
    <t>Type II</t>
    <phoneticPr fontId="1" type="noConversion"/>
  </si>
  <si>
    <t>Type III</t>
    <phoneticPr fontId="1" type="noConversion"/>
  </si>
  <si>
    <t>Type IV</t>
    <phoneticPr fontId="1" type="noConversion"/>
  </si>
  <si>
    <t>Type V</t>
    <phoneticPr fontId="1" type="noConversion"/>
  </si>
  <si>
    <t>ASTM C533 - Calcium Silicate Block and Pipe Thermal Insulation</t>
    <phoneticPr fontId="1" type="noConversion"/>
  </si>
  <si>
    <t>ASTM C610 - Perlite Block and Pipe Thermal Insulation</t>
    <phoneticPr fontId="1" type="noConversion"/>
  </si>
  <si>
    <t>ASTM C547 - Mineral Fiber Pipe Insulation (Cover)</t>
    <phoneticPr fontId="1" type="noConversion"/>
  </si>
  <si>
    <t>UTCC</t>
    <phoneticPr fontId="1" type="noConversion"/>
  </si>
  <si>
    <t>ASTM C592 - Mineral Fiber Blanket Insulation and Blanket-Type Pipe Insulation</t>
    <phoneticPr fontId="1" type="noConversion"/>
  </si>
  <si>
    <t>MMCC</t>
    <phoneticPr fontId="1" type="noConversion"/>
  </si>
  <si>
    <t>사업</t>
    <phoneticPr fontId="1" type="noConversion"/>
  </si>
  <si>
    <t>ASTM code</t>
    <phoneticPr fontId="1" type="noConversion"/>
  </si>
  <si>
    <t>용도</t>
    <phoneticPr fontId="1" type="noConversion"/>
  </si>
  <si>
    <t>C533</t>
    <phoneticPr fontId="1" type="noConversion"/>
  </si>
  <si>
    <t>Pipe</t>
    <phoneticPr fontId="1" type="noConversion"/>
  </si>
  <si>
    <t>Cover</t>
    <phoneticPr fontId="1" type="noConversion"/>
  </si>
  <si>
    <t>UTCC</t>
    <phoneticPr fontId="1" type="noConversion"/>
  </si>
  <si>
    <t>적용 기준</t>
    <phoneticPr fontId="1" type="noConversion"/>
  </si>
  <si>
    <t>C547</t>
    <phoneticPr fontId="1" type="noConversion"/>
  </si>
  <si>
    <t>&lt;=DN250 &amp; 550 deg.C</t>
    <phoneticPr fontId="1" type="noConversion"/>
  </si>
  <si>
    <t>C592</t>
    <phoneticPr fontId="1" type="noConversion"/>
  </si>
  <si>
    <t>Blanket</t>
    <phoneticPr fontId="1" type="noConversion"/>
  </si>
  <si>
    <t>&gt;DN300 &amp; &lt;=550 deg.C</t>
    <phoneticPr fontId="1" type="noConversion"/>
  </si>
  <si>
    <t>DATAN</t>
    <phoneticPr fontId="1" type="noConversion"/>
  </si>
  <si>
    <t>C610</t>
    <phoneticPr fontId="1" type="noConversion"/>
  </si>
  <si>
    <t>Pipe</t>
    <phoneticPr fontId="1" type="noConversion"/>
  </si>
  <si>
    <t>DATAN</t>
    <phoneticPr fontId="1" type="noConversion"/>
  </si>
  <si>
    <t>Anti-sweat insulation of pipe</t>
    <phoneticPr fontId="1" type="noConversion"/>
  </si>
  <si>
    <t>Line list 상 대부분, &lt;= 650 deg.C</t>
    <phoneticPr fontId="1" type="noConversion"/>
  </si>
  <si>
    <t>UTAM</t>
    <phoneticPr fontId="1" type="noConversion"/>
  </si>
  <si>
    <t>C547</t>
    <phoneticPr fontId="1" type="noConversion"/>
  </si>
  <si>
    <t>up to DN250 &amp; 400 deg.C</t>
    <phoneticPr fontId="1" type="noConversion"/>
  </si>
  <si>
    <t>Type III</t>
    <phoneticPr fontId="1" type="noConversion"/>
  </si>
  <si>
    <t>Blanket</t>
    <phoneticPr fontId="1" type="noConversion"/>
  </si>
  <si>
    <t>over DN300 &amp; up to 400 deg.C</t>
    <phoneticPr fontId="1" type="noConversion"/>
  </si>
  <si>
    <t>C533</t>
    <phoneticPr fontId="1" type="noConversion"/>
  </si>
  <si>
    <t>Pipe</t>
    <phoneticPr fontId="1" type="noConversion"/>
  </si>
  <si>
    <t>Over 300 deg.C</t>
    <phoneticPr fontId="1" type="noConversion"/>
  </si>
  <si>
    <t>UTE</t>
    <phoneticPr fontId="1" type="noConversion"/>
  </si>
  <si>
    <t>Pipe</t>
    <phoneticPr fontId="1" type="noConversion"/>
  </si>
  <si>
    <t>Cover</t>
    <phoneticPr fontId="1" type="noConversion"/>
  </si>
  <si>
    <t xml:space="preserve">Calcium Silicate </t>
    <phoneticPr fontId="1" type="noConversion"/>
  </si>
  <si>
    <t>Mineral Fiber - Cover</t>
    <phoneticPr fontId="1" type="noConversion"/>
  </si>
  <si>
    <t>Mineral Fiber - Blanket</t>
    <phoneticPr fontId="1" type="noConversion"/>
  </si>
  <si>
    <t>보온재 재질에 따른 열전도율 확인 및 계산 적용 기준</t>
    <phoneticPr fontId="1" type="noConversion"/>
  </si>
  <si>
    <t>ASTM Code 별 열전도율</t>
    <phoneticPr fontId="1" type="noConversion"/>
  </si>
  <si>
    <t>프로젝트 적용 현황</t>
    <phoneticPr fontId="1" type="noConversion"/>
  </si>
  <si>
    <t>Type</t>
    <phoneticPr fontId="1" type="noConversion"/>
  </si>
  <si>
    <t>BISKRA</t>
    <phoneticPr fontId="1" type="noConversion"/>
  </si>
  <si>
    <t>Cover</t>
    <phoneticPr fontId="1" type="noConversion"/>
  </si>
  <si>
    <t>up to DN250</t>
    <phoneticPr fontId="1" type="noConversion"/>
  </si>
  <si>
    <t>C592</t>
    <phoneticPr fontId="1" type="noConversion"/>
  </si>
  <si>
    <t>over DN250</t>
    <phoneticPr fontId="1" type="noConversion"/>
  </si>
  <si>
    <t>BAPP</t>
    <phoneticPr fontId="1" type="noConversion"/>
  </si>
  <si>
    <t>-</t>
    <phoneticPr fontId="1" type="noConversion"/>
  </si>
  <si>
    <t>C612</t>
    <phoneticPr fontId="1" type="noConversion"/>
  </si>
  <si>
    <t>-</t>
    <phoneticPr fontId="1" type="noConversion"/>
  </si>
  <si>
    <t>계산에 적용할 보온재 선정</t>
    <phoneticPr fontId="1" type="noConversion"/>
  </si>
  <si>
    <t>T_mean, 보온재 내/외부 면 평균 온도</t>
    <phoneticPr fontId="1" type="noConversion"/>
  </si>
  <si>
    <t>보온재 내부 표면은 유체의 온도와 같다고 가정</t>
    <phoneticPr fontId="1" type="noConversion"/>
  </si>
  <si>
    <t>Up to DN250</t>
    <phoneticPr fontId="1" type="noConversion"/>
  </si>
  <si>
    <t>Over DN250</t>
    <phoneticPr fontId="1" type="noConversion"/>
  </si>
  <si>
    <t>W/m-K</t>
    <phoneticPr fontId="1" type="noConversion"/>
  </si>
  <si>
    <t>배관 사이즈</t>
    <phoneticPr fontId="1" type="noConversion"/>
  </si>
  <si>
    <t>k_amb</t>
  </si>
  <si>
    <t>k_amb</t>
    <phoneticPr fontId="1" type="noConversion"/>
  </si>
  <si>
    <t>열전달율 확인, h</t>
    <phoneticPr fontId="1" type="noConversion"/>
  </si>
  <si>
    <t>연전도율 확인, k</t>
    <phoneticPr fontId="1" type="noConversion"/>
  </si>
  <si>
    <t>반지름 확인, r</t>
    <phoneticPr fontId="1" type="noConversion"/>
  </si>
  <si>
    <t>유속 확인, V</t>
    <phoneticPr fontId="1" type="noConversion"/>
  </si>
  <si>
    <t>온도 확인, T</t>
    <phoneticPr fontId="1" type="noConversion"/>
  </si>
  <si>
    <t>압력 확인, P</t>
    <phoneticPr fontId="1" type="noConversion"/>
  </si>
  <si>
    <t>h_fluid</t>
    <phoneticPr fontId="1" type="noConversion"/>
  </si>
  <si>
    <t>k_fluid</t>
    <phoneticPr fontId="1" type="noConversion"/>
  </si>
  <si>
    <t>D_pi</t>
    <phoneticPr fontId="1" type="noConversion"/>
  </si>
  <si>
    <t>Nu_fluid, Nusselt No.</t>
    <phoneticPr fontId="1" type="noConversion"/>
  </si>
  <si>
    <t>Re_fluid</t>
    <phoneticPr fontId="1" type="noConversion"/>
  </si>
  <si>
    <t>μ_fluid, viscocity</t>
  </si>
  <si>
    <t>ρ_fluid, density</t>
  </si>
  <si>
    <t>V_fluid, velosity</t>
  </si>
  <si>
    <t>D_pi, diameter</t>
  </si>
  <si>
    <t>T_fluid</t>
    <phoneticPr fontId="1" type="noConversion"/>
  </si>
  <si>
    <t>cP</t>
    <phoneticPr fontId="1" type="noConversion"/>
  </si>
  <si>
    <t>kg/m3</t>
    <phoneticPr fontId="1" type="noConversion"/>
  </si>
  <si>
    <t>D_pi, diameter</t>
    <phoneticPr fontId="1" type="noConversion"/>
  </si>
  <si>
    <t>m2</t>
    <phoneticPr fontId="1" type="noConversion"/>
  </si>
  <si>
    <t>ton/hr</t>
    <phoneticPr fontId="1" type="noConversion"/>
  </si>
  <si>
    <t>m3/hr</t>
    <phoneticPr fontId="1" type="noConversion"/>
  </si>
  <si>
    <t>A_pi, area</t>
    <phoneticPr fontId="1" type="noConversion"/>
  </si>
  <si>
    <t>Q_fluid, flow rate</t>
    <phoneticPr fontId="1" type="noConversion"/>
  </si>
  <si>
    <t>Pr_fluid</t>
    <phoneticPr fontId="1" type="noConversion"/>
  </si>
  <si>
    <t>Cp_fluid, specific heat</t>
  </si>
  <si>
    <t>cP</t>
    <phoneticPr fontId="1" type="noConversion"/>
  </si>
  <si>
    <t>kJ/kg-K</t>
    <phoneticPr fontId="1" type="noConversion"/>
  </si>
  <si>
    <t>h_amb</t>
    <phoneticPr fontId="1" type="noConversion"/>
  </si>
  <si>
    <t>D_io</t>
  </si>
  <si>
    <t>D_io</t>
    <phoneticPr fontId="1" type="noConversion"/>
  </si>
  <si>
    <t>k_amb</t>
    <phoneticPr fontId="1" type="noConversion"/>
  </si>
  <si>
    <t>Nu_amb</t>
    <phoneticPr fontId="1" type="noConversion"/>
  </si>
  <si>
    <t>Nu_amb_w0</t>
    <phoneticPr fontId="1" type="noConversion"/>
  </si>
  <si>
    <t>Pr_amb</t>
  </si>
  <si>
    <t>Pr_amb</t>
    <phoneticPr fontId="1" type="noConversion"/>
  </si>
  <si>
    <t>μ_amb, viscocity</t>
  </si>
  <si>
    <t>Cp_amb, specific heat</t>
  </si>
  <si>
    <t>Overall Nusselt Number (ASTM C680 - 식 (28))</t>
    <phoneticPr fontId="1" type="noConversion"/>
  </si>
  <si>
    <t>kJ/kg-K</t>
    <phoneticPr fontId="1" type="noConversion"/>
  </si>
  <si>
    <t>Ra_amb, Rayleigh No.</t>
    <phoneticPr fontId="1" type="noConversion"/>
  </si>
  <si>
    <t>Gr_amb, Grashof No.</t>
  </si>
  <si>
    <t>ρ_amb, density</t>
  </si>
  <si>
    <t>g</t>
  </si>
  <si>
    <t>ß, Thermal expansion coeff.</t>
  </si>
  <si>
    <t>m/s2</t>
    <phoneticPr fontId="1" type="noConversion"/>
  </si>
  <si>
    <t>1/K</t>
    <phoneticPr fontId="1" type="noConversion"/>
  </si>
  <si>
    <t>Nu_amb_w</t>
    <phoneticPr fontId="1" type="noConversion"/>
  </si>
  <si>
    <t>Nu_forced, Nu No. for forced flow</t>
    <phoneticPr fontId="1" type="noConversion"/>
  </si>
  <si>
    <t>Re_amb</t>
  </si>
  <si>
    <t>D_io, diameter</t>
  </si>
  <si>
    <t>V_wind, velosity</t>
    <phoneticPr fontId="1" type="noConversion"/>
  </si>
  <si>
    <t>m/s</t>
    <phoneticPr fontId="1" type="noConversion"/>
  </si>
  <si>
    <t>cP</t>
    <phoneticPr fontId="1" type="noConversion"/>
  </si>
  <si>
    <t>-</t>
    <phoneticPr fontId="1" type="noConversion"/>
  </si>
  <si>
    <t>Nu_free (= Nu_amb_w0)</t>
    <phoneticPr fontId="1" type="noConversion"/>
  </si>
  <si>
    <t>ASTM C680 식 (36)</t>
    <phoneticPr fontId="1" type="noConversion"/>
  </si>
  <si>
    <t>ASTM C680 식 (35)</t>
    <phoneticPr fontId="1" type="noConversion"/>
  </si>
  <si>
    <t>ASTM C680 식 (28)</t>
    <phoneticPr fontId="1" type="noConversion"/>
  </si>
  <si>
    <t>V_wind</t>
    <phoneticPr fontId="1" type="noConversion"/>
  </si>
  <si>
    <t>h_rad</t>
    <phoneticPr fontId="1" type="noConversion"/>
  </si>
  <si>
    <t>ε, emissivity</t>
  </si>
  <si>
    <t>σ, Stefan-Boltzmann constant</t>
  </si>
  <si>
    <t>-</t>
    <phoneticPr fontId="1" type="noConversion"/>
  </si>
  <si>
    <t>W/m2-K4</t>
    <phoneticPr fontId="1" type="noConversion"/>
  </si>
  <si>
    <t>W/m2-K</t>
    <phoneticPr fontId="1" type="noConversion"/>
  </si>
  <si>
    <t>h_surf</t>
  </si>
  <si>
    <t>h_surf</t>
    <phoneticPr fontId="1" type="noConversion"/>
  </si>
  <si>
    <t>h_rad</t>
    <phoneticPr fontId="1" type="noConversion"/>
  </si>
  <si>
    <t>R1</t>
    <phoneticPr fontId="1" type="noConversion"/>
  </si>
  <si>
    <t>r_pi</t>
    <phoneticPr fontId="1" type="noConversion"/>
  </si>
  <si>
    <t>W/m2-K</t>
    <phoneticPr fontId="1" type="noConversion"/>
  </si>
  <si>
    <t>m-K/W</t>
    <phoneticPr fontId="1" type="noConversion"/>
  </si>
  <si>
    <t>R2</t>
    <phoneticPr fontId="1" type="noConversion"/>
  </si>
  <si>
    <t>k_pipe</t>
    <phoneticPr fontId="1" type="noConversion"/>
  </si>
  <si>
    <t>R3</t>
    <phoneticPr fontId="1" type="noConversion"/>
  </si>
  <si>
    <t>t_insulation</t>
  </si>
  <si>
    <t>mm</t>
    <phoneticPr fontId="1" type="noConversion"/>
  </si>
  <si>
    <t>R4</t>
  </si>
  <si>
    <t>R4</t>
    <phoneticPr fontId="1" type="noConversion"/>
  </si>
  <si>
    <t>열저항 계산 및 보안재 두께 계산</t>
    <phoneticPr fontId="1" type="noConversion"/>
  </si>
  <si>
    <t>(1) 바람이 없는 경우 (바람 속도 = 0 m/s)</t>
    <phoneticPr fontId="1" type="noConversion"/>
  </si>
  <si>
    <t>(2) 바람이 있는 경우 (바람 속도 =/= 0 m/s)</t>
    <phoneticPr fontId="1" type="noConversion"/>
  </si>
  <si>
    <t>(1) q from Fluid to Insulation Surface</t>
    <phoneticPr fontId="1" type="noConversion"/>
  </si>
  <si>
    <t>q_fl to io</t>
    <phoneticPr fontId="1" type="noConversion"/>
  </si>
  <si>
    <t>R_tot_1</t>
    <phoneticPr fontId="1" type="noConversion"/>
  </si>
  <si>
    <t>R1</t>
    <phoneticPr fontId="1" type="noConversion"/>
  </si>
  <si>
    <t>R3</t>
    <phoneticPr fontId="1" type="noConversion"/>
  </si>
  <si>
    <t>△T_1</t>
  </si>
  <si>
    <t>deg.C (=K)</t>
    <phoneticPr fontId="1" type="noConversion"/>
  </si>
  <si>
    <t>W/m</t>
    <phoneticPr fontId="1" type="noConversion"/>
  </si>
  <si>
    <t>(2) q from Insulation Surface to Atmosphere</t>
    <phoneticPr fontId="1" type="noConversion"/>
  </si>
  <si>
    <t>q_io to atm</t>
    <phoneticPr fontId="1" type="noConversion"/>
  </si>
  <si>
    <t>R_tot_2</t>
  </si>
  <si>
    <t>△T_2</t>
  </si>
  <si>
    <t>W/m</t>
    <phoneticPr fontId="1" type="noConversion"/>
  </si>
  <si>
    <t>q_fl to io (=q_1)</t>
    <phoneticPr fontId="1" type="noConversion"/>
  </si>
  <si>
    <t>q_in to atm (=q_2)</t>
    <phoneticPr fontId="1" type="noConversion"/>
  </si>
  <si>
    <t>q_1 - q_2 =</t>
    <phoneticPr fontId="1" type="noConversion"/>
  </si>
  <si>
    <t>-</t>
    <phoneticPr fontId="1" type="noConversion"/>
  </si>
  <si>
    <t>필요 보온재 두께 계산</t>
    <phoneticPr fontId="1" type="noConversion"/>
  </si>
  <si>
    <t>3)</t>
    <phoneticPr fontId="1" type="noConversion"/>
  </si>
  <si>
    <t>적용 보온재 두께 계산</t>
    <phoneticPr fontId="1" type="noConversion"/>
  </si>
  <si>
    <t>t_insulation_actual</t>
    <phoneticPr fontId="1" type="noConversion"/>
  </si>
  <si>
    <t>3.</t>
    <phoneticPr fontId="1" type="noConversion"/>
  </si>
  <si>
    <t>보온재 두께 기준</t>
    <phoneticPr fontId="1" type="noConversion"/>
  </si>
  <si>
    <t>당 값이 0이 되는 보온재 두께 (t_insul) 해 찾기</t>
    <phoneticPr fontId="1" type="noConversion"/>
  </si>
  <si>
    <t>보온재 두께</t>
    <phoneticPr fontId="1" type="noConversion"/>
  </si>
  <si>
    <t>2)</t>
    <phoneticPr fontId="1" type="noConversion"/>
  </si>
  <si>
    <t>당 값이 0이 되는 보온재 표면 온도 (T_surf) 해 찾기</t>
    <phoneticPr fontId="1" type="noConversion"/>
  </si>
  <si>
    <t>q, 열전달</t>
    <phoneticPr fontId="1" type="noConversion"/>
  </si>
  <si>
    <t>W/m</t>
    <phoneticPr fontId="1" type="noConversion"/>
  </si>
  <si>
    <t>배관 길이</t>
    <phoneticPr fontId="1" type="noConversion"/>
  </si>
  <si>
    <t>m</t>
    <phoneticPr fontId="1" type="noConversion"/>
  </si>
  <si>
    <t>L_pipe, 배관 길이</t>
    <phoneticPr fontId="1" type="noConversion"/>
  </si>
  <si>
    <t>m</t>
    <phoneticPr fontId="1" type="noConversion"/>
  </si>
  <si>
    <t>ton/h</t>
    <phoneticPr fontId="1" type="noConversion"/>
  </si>
  <si>
    <t>kg/s</t>
    <phoneticPr fontId="1" type="noConversion"/>
  </si>
  <si>
    <t>kJ/kg</t>
    <phoneticPr fontId="1" type="noConversion"/>
  </si>
  <si>
    <t>입구 조건</t>
    <phoneticPr fontId="1" type="noConversion"/>
  </si>
  <si>
    <t>P_fluid</t>
    <phoneticPr fontId="1" type="noConversion"/>
  </si>
  <si>
    <t>T_fluid</t>
    <phoneticPr fontId="1" type="noConversion"/>
  </si>
  <si>
    <t>deg.C</t>
    <phoneticPr fontId="1" type="noConversion"/>
  </si>
  <si>
    <t>출구 조건</t>
    <phoneticPr fontId="1" type="noConversion"/>
  </si>
  <si>
    <t>배관 압력 손실</t>
    <phoneticPr fontId="1" type="noConversion"/>
  </si>
  <si>
    <t>bar</t>
    <phoneticPr fontId="1" type="noConversion"/>
  </si>
  <si>
    <t>P_fluid_out</t>
    <phoneticPr fontId="1" type="noConversion"/>
  </si>
  <si>
    <t>T_fluid_out</t>
    <phoneticPr fontId="1" type="noConversion"/>
  </si>
  <si>
    <t>h_fluid_out</t>
    <phoneticPr fontId="1" type="noConversion"/>
  </si>
  <si>
    <t>h_loss, 엔탈피 손실</t>
    <phoneticPr fontId="1" type="noConversion"/>
  </si>
  <si>
    <t>Q_loss, 열손실</t>
    <phoneticPr fontId="1" type="noConversion"/>
  </si>
  <si>
    <t>kW</t>
    <phoneticPr fontId="1" type="noConversion"/>
  </si>
  <si>
    <t>h_loss</t>
    <phoneticPr fontId="1" type="noConversion"/>
  </si>
  <si>
    <t>kJ/kg</t>
    <phoneticPr fontId="1" type="noConversion"/>
  </si>
  <si>
    <t>deg.C</t>
    <phoneticPr fontId="1" type="noConversion"/>
  </si>
  <si>
    <t>압력 강하에 의한 enthalpy loss는 고려하지 않음 (교축 - 등엔탈피)</t>
    <phoneticPr fontId="1" type="noConversion"/>
  </si>
  <si>
    <t>길이 확인, L</t>
    <phoneticPr fontId="1" type="noConversion"/>
  </si>
  <si>
    <t>L_pipe</t>
    <phoneticPr fontId="1" type="noConversion"/>
  </si>
  <si>
    <t>m</t>
    <phoneticPr fontId="1" type="noConversion"/>
  </si>
  <si>
    <t>보온재 표면 온도 및 열 전도율 계산</t>
    <phoneticPr fontId="1" type="noConversion"/>
  </si>
  <si>
    <t>△P_fluid</t>
    <phoneticPr fontId="1" type="noConversion"/>
  </si>
  <si>
    <t>△P_fluid</t>
    <phoneticPr fontId="1" type="noConversion"/>
  </si>
  <si>
    <t>3)</t>
    <phoneticPr fontId="1" type="noConversion"/>
  </si>
  <si>
    <t>열 손실 및 출구 온도 계산</t>
    <phoneticPr fontId="1" type="noConversion"/>
  </si>
  <si>
    <t>열 전달량 계산</t>
    <phoneticPr fontId="1" type="noConversion"/>
  </si>
  <si>
    <t>3.</t>
    <phoneticPr fontId="1" type="noConversion"/>
  </si>
  <si>
    <t>2.</t>
    <phoneticPr fontId="1" type="noConversion"/>
  </si>
  <si>
    <t>출력</t>
    <phoneticPr fontId="1" type="noConversion"/>
  </si>
  <si>
    <t>보온재 표면 온도</t>
    <phoneticPr fontId="1" type="noConversion"/>
  </si>
  <si>
    <t>열 손실</t>
    <phoneticPr fontId="1" type="noConversion"/>
  </si>
  <si>
    <t>kW/m</t>
    <phoneticPr fontId="1" type="noConversion"/>
  </si>
  <si>
    <t>출구 온도</t>
    <phoneticPr fontId="1" type="noConversion"/>
  </si>
  <si>
    <t>1)</t>
    <phoneticPr fontId="1" type="noConversion"/>
  </si>
  <si>
    <t>3)</t>
    <phoneticPr fontId="1" type="noConversion"/>
  </si>
  <si>
    <t>1)</t>
    <phoneticPr fontId="1" type="noConversion"/>
  </si>
  <si>
    <t>보온재 두께</t>
    <phoneticPr fontId="1" type="noConversion"/>
  </si>
  <si>
    <t>대기 조건</t>
    <phoneticPr fontId="1" type="noConversion"/>
  </si>
  <si>
    <t>k_insul - Mineral Fiber - Blanket (ASTM C592)</t>
    <phoneticPr fontId="1" type="noConversion"/>
  </si>
  <si>
    <t>k_insul - Mineral Fiber - Cover (ASTM C547)</t>
    <phoneticPr fontId="1" type="noConversion"/>
  </si>
  <si>
    <t>k_insul - Calcium Silicate (ASTM C533)</t>
    <phoneticPr fontId="1" type="noConversion"/>
  </si>
  <si>
    <t>Perlite - Cover</t>
    <phoneticPr fontId="1" type="noConversion"/>
  </si>
  <si>
    <t>C610</t>
    <phoneticPr fontId="1" type="noConversion"/>
  </si>
  <si>
    <t>-</t>
    <phoneticPr fontId="1" type="noConversion"/>
  </si>
  <si>
    <t>Type I</t>
    <phoneticPr fontId="1" type="noConversion"/>
  </si>
  <si>
    <t>Type IA</t>
    <phoneticPr fontId="1" type="noConversion"/>
  </si>
  <si>
    <t>Type II</t>
    <phoneticPr fontId="1" type="noConversion"/>
  </si>
  <si>
    <t>k_insul : Thermal conductivity, W/m-K</t>
    <phoneticPr fontId="1" type="noConversion"/>
  </si>
  <si>
    <t>T_mean</t>
    <phoneticPr fontId="1" type="noConversion"/>
  </si>
  <si>
    <t>T_mean : Mean Temperature (보온재 내/외부 표면 온도 평균), deg.C</t>
    <phoneticPr fontId="1" type="noConversion"/>
  </si>
  <si>
    <t>k_insul</t>
    <phoneticPr fontId="1" type="noConversion"/>
  </si>
  <si>
    <t>T_max</t>
    <phoneticPr fontId="1" type="noConversion"/>
  </si>
  <si>
    <t>-</t>
    <phoneticPr fontId="1" type="noConversion"/>
  </si>
  <si>
    <t>T_max</t>
    <phoneticPr fontId="1" type="noConversion"/>
  </si>
  <si>
    <t>T_max : Max. use temperature (배관 내 유체 온도), deg.C</t>
    <phoneticPr fontId="1" type="noConversion"/>
  </si>
  <si>
    <t>k_insul - Glass Fiber (ASTM C1086)</t>
    <phoneticPr fontId="1" type="noConversion"/>
  </si>
  <si>
    <t>k_insul - Perlite (ASTM C610)</t>
    <phoneticPr fontId="1" type="noConversion"/>
  </si>
  <si>
    <t>Glass Fiber</t>
    <phoneticPr fontId="1" type="noConversion"/>
  </si>
  <si>
    <t>C1086</t>
    <phoneticPr fontId="1" type="noConversion"/>
  </si>
  <si>
    <t>-</t>
    <phoneticPr fontId="1" type="noConversion"/>
  </si>
  <si>
    <t>INPUT DATA</t>
    <phoneticPr fontId="1" type="noConversion"/>
  </si>
  <si>
    <t>대기 압력</t>
  </si>
  <si>
    <t>대기 온도</t>
  </si>
  <si>
    <t>바람 속도</t>
  </si>
  <si>
    <t>2.</t>
    <phoneticPr fontId="1" type="noConversion"/>
  </si>
  <si>
    <t>배관 사이즈 (외경)</t>
  </si>
  <si>
    <t>배관 두께</t>
  </si>
  <si>
    <t>보온재 재질</t>
  </si>
  <si>
    <t>유량</t>
    <phoneticPr fontId="1" type="noConversion"/>
  </si>
  <si>
    <t>Jacket 방사율</t>
  </si>
  <si>
    <t>운전 온도</t>
    <phoneticPr fontId="1" type="noConversion"/>
  </si>
  <si>
    <t>(선택)</t>
    <phoneticPr fontId="1" type="noConversion"/>
  </si>
  <si>
    <t xml:space="preserve"> : 입력</t>
    <phoneticPr fontId="1" type="noConversion"/>
  </si>
  <si>
    <t>배관 압력 손실</t>
    <phoneticPr fontId="1" type="noConversion"/>
  </si>
  <si>
    <t>열손실</t>
    <phoneticPr fontId="1" type="noConversion"/>
  </si>
  <si>
    <t xml:space="preserve"> : 결과</t>
    <phoneticPr fontId="1" type="noConversion"/>
  </si>
  <si>
    <t>배관 표면 온도 제한</t>
    <phoneticPr fontId="1" type="noConversion"/>
  </si>
  <si>
    <t xml:space="preserve"> barA</t>
    <phoneticPr fontId="1" type="noConversion"/>
  </si>
  <si>
    <t xml:space="preserve"> m/s</t>
    <phoneticPr fontId="1" type="noConversion"/>
  </si>
  <si>
    <t xml:space="preserve"> -</t>
    <phoneticPr fontId="1" type="noConversion"/>
  </si>
  <si>
    <t xml:space="preserve"> ton/h</t>
    <phoneticPr fontId="1" type="noConversion"/>
  </si>
  <si>
    <t xml:space="preserve"> bar</t>
    <phoneticPr fontId="1" type="noConversion"/>
  </si>
  <si>
    <t xml:space="preserve"> kW</t>
    <phoneticPr fontId="1" type="noConversion"/>
  </si>
  <si>
    <t xml:space="preserve"> W/m</t>
    <phoneticPr fontId="1" type="noConversion"/>
  </si>
  <si>
    <t xml:space="preserve"> kJ/kg</t>
    <phoneticPr fontId="1" type="noConversion"/>
  </si>
  <si>
    <t>1.</t>
    <phoneticPr fontId="1" type="noConversion"/>
  </si>
  <si>
    <t>대기 조건</t>
    <phoneticPr fontId="1" type="noConversion"/>
  </si>
  <si>
    <t>바람 속도</t>
    <phoneticPr fontId="1" type="noConversion"/>
  </si>
  <si>
    <t>2.</t>
    <phoneticPr fontId="1" type="noConversion"/>
  </si>
  <si>
    <t>배관 및 보온재 정보</t>
    <phoneticPr fontId="1" type="noConversion"/>
  </si>
  <si>
    <t xml:space="preserve"> DN</t>
    <phoneticPr fontId="1" type="noConversion"/>
  </si>
  <si>
    <t xml:space="preserve"> mm</t>
    <phoneticPr fontId="1" type="noConversion"/>
  </si>
  <si>
    <t>운전 압력</t>
    <phoneticPr fontId="1" type="noConversion"/>
  </si>
  <si>
    <t xml:space="preserve"> barA</t>
    <phoneticPr fontId="1" type="noConversion"/>
  </si>
  <si>
    <t xml:space="preserve"> -</t>
    <phoneticPr fontId="1" type="noConversion"/>
  </si>
  <si>
    <t>(선택)</t>
    <phoneticPr fontId="1" type="noConversion"/>
  </si>
  <si>
    <t xml:space="preserve"> -</t>
    <phoneticPr fontId="1" type="noConversion"/>
  </si>
  <si>
    <t xml:space="preserve"> mm</t>
    <phoneticPr fontId="1" type="noConversion"/>
  </si>
  <si>
    <t xml:space="preserve"> m</t>
    <phoneticPr fontId="1" type="noConversion"/>
  </si>
  <si>
    <t>OUTPUT DATA</t>
    <phoneticPr fontId="1" type="noConversion"/>
  </si>
  <si>
    <t>보온재 표면 온도</t>
    <phoneticPr fontId="1" type="noConversion"/>
  </si>
  <si>
    <t>계산과정 - 열손실</t>
    <phoneticPr fontId="1" type="noConversion"/>
  </si>
  <si>
    <t>(설명서 3)</t>
    <phoneticPr fontId="1" type="noConversion"/>
  </si>
  <si>
    <t>(설명서 4)</t>
    <phoneticPr fontId="1" type="noConversion"/>
  </si>
  <si>
    <t xml:space="preserve"> °C</t>
    <phoneticPr fontId="1" type="noConversion"/>
  </si>
  <si>
    <t xml:space="preserve"> °C</t>
    <phoneticPr fontId="1" type="noConversion"/>
  </si>
  <si>
    <t xml:space="preserve"> °C</t>
    <phoneticPr fontId="1" type="noConversion"/>
  </si>
  <si>
    <t>열손실, 표면온도, 출구온도 계산 과정을 당 시트에 정리하였음.</t>
    <phoneticPr fontId="1" type="noConversion"/>
  </si>
  <si>
    <t>(설명서 4)</t>
    <phoneticPr fontId="1" type="noConversion"/>
  </si>
  <si>
    <t>(설명서 5)</t>
    <phoneticPr fontId="1" type="noConversion"/>
  </si>
  <si>
    <t>상대 습도</t>
    <phoneticPr fontId="1" type="noConversion"/>
  </si>
  <si>
    <t>%</t>
    <phoneticPr fontId="1" type="noConversion"/>
  </si>
  <si>
    <t>상대 습도</t>
    <phoneticPr fontId="1" type="noConversion"/>
  </si>
  <si>
    <t xml:space="preserve"> %</t>
    <phoneticPr fontId="1" type="noConversion"/>
  </si>
  <si>
    <t>상대 습도</t>
    <phoneticPr fontId="1" type="noConversion"/>
  </si>
  <si>
    <t>P, T, RH, V, r, k, h 확인</t>
    <phoneticPr fontId="1" type="noConversion"/>
  </si>
  <si>
    <t>상대 습도 확인, RH</t>
    <phoneticPr fontId="1" type="noConversion"/>
  </si>
  <si>
    <t>RH_amb</t>
    <phoneticPr fontId="1" type="noConversion"/>
  </si>
  <si>
    <t>%</t>
    <phoneticPr fontId="1" type="noConversion"/>
  </si>
  <si>
    <t>%</t>
    <phoneticPr fontId="1" type="noConversion"/>
  </si>
  <si>
    <t>P, T, RH, V, r, L, k, h 확인</t>
    <phoneticPr fontId="1" type="noConversion"/>
  </si>
  <si>
    <t>상대습도 확인, RH</t>
    <phoneticPr fontId="1" type="noConversion"/>
  </si>
  <si>
    <t>INPUT - 보온재 설계 조건 (ITB or 배관팀 확인)</t>
    <phoneticPr fontId="1" type="noConversion"/>
  </si>
  <si>
    <t>운전 온도 (°C)</t>
    <phoneticPr fontId="1" type="noConversion"/>
  </si>
  <si>
    <t>SIZE
(DN)</t>
    <phoneticPr fontId="1" type="noConversion"/>
  </si>
  <si>
    <t>q_fl to io (=q_1)</t>
    <phoneticPr fontId="1" type="noConversion"/>
  </si>
  <si>
    <t>~100</t>
    <phoneticPr fontId="1" type="noConversion"/>
  </si>
  <si>
    <t>151~200</t>
    <phoneticPr fontId="1" type="noConversion"/>
  </si>
  <si>
    <t>201~250</t>
    <phoneticPr fontId="1" type="noConversion"/>
  </si>
  <si>
    <t>251~300</t>
    <phoneticPr fontId="1" type="noConversion"/>
  </si>
  <si>
    <t>For문 자동 입력</t>
    <phoneticPr fontId="1" type="noConversion"/>
  </si>
  <si>
    <t>계산과정 - 보온재 표</t>
    <phoneticPr fontId="1" type="noConversion"/>
  </si>
  <si>
    <t>보온재 두께 표 작성에 필요한 계산과정을 당 시트에 정리하였음.(VBA 반복 계산)</t>
    <phoneticPr fontId="1" type="noConversion"/>
  </si>
  <si>
    <t>Margin</t>
    <phoneticPr fontId="1" type="noConversion"/>
  </si>
  <si>
    <t>보온재 두께 Margin</t>
    <phoneticPr fontId="1" type="noConversion"/>
  </si>
  <si>
    <t>t_insulation_applied</t>
    <phoneticPr fontId="1" type="noConversion"/>
  </si>
  <si>
    <t>t_insulation_applied</t>
    <phoneticPr fontId="1" type="noConversion"/>
  </si>
  <si>
    <t>%</t>
    <phoneticPr fontId="1" type="noConversion"/>
  </si>
  <si>
    <t>R2</t>
    <phoneticPr fontId="1" type="noConversion"/>
  </si>
  <si>
    <t>배관 내 유체에 의한 열저항 고려하지 않음. (전체 결과에 유의미한 영향 없음.)</t>
    <phoneticPr fontId="1" type="noConversion"/>
  </si>
  <si>
    <t>배관 두께에 의한 열저항 고려하지 않음. (전체 결과에 유의미한 영향 없음.)</t>
    <phoneticPr fontId="1" type="noConversion"/>
  </si>
  <si>
    <t>301~350</t>
    <phoneticPr fontId="1" type="noConversion"/>
  </si>
  <si>
    <t>101~150</t>
    <phoneticPr fontId="1" type="noConversion"/>
  </si>
  <si>
    <t>표 작성 - 보온재 두께</t>
    <phoneticPr fontId="1" type="noConversion"/>
  </si>
  <si>
    <t>351~400</t>
    <phoneticPr fontId="1" type="noConversion"/>
  </si>
  <si>
    <t>401~450</t>
    <phoneticPr fontId="1" type="noConversion"/>
  </si>
  <si>
    <t>451~500</t>
    <phoneticPr fontId="1" type="noConversion"/>
  </si>
  <si>
    <t>501~550</t>
    <phoneticPr fontId="1" type="noConversion"/>
  </si>
  <si>
    <t>551~600</t>
    <phoneticPr fontId="1" type="noConversion"/>
  </si>
  <si>
    <t>601~650</t>
    <phoneticPr fontId="1" type="noConversion"/>
  </si>
  <si>
    <t>Glass Fiber (ASTM C1086)</t>
  </si>
  <si>
    <t>설명서</t>
    <phoneticPr fontId="1" type="noConversion"/>
  </si>
  <si>
    <t>온도 범위 별, ITB 요구 표면 온도를 충족하는 보온재 두께를 계산한다.</t>
    <phoneticPr fontId="1" type="noConversion"/>
  </si>
  <si>
    <t>3)</t>
    <phoneticPr fontId="1" type="noConversion"/>
  </si>
  <si>
    <t>보온재 설계 대기 조건 : ITB 또는 배관팀에 확인. (RSC 아님)</t>
    <phoneticPr fontId="1" type="noConversion"/>
  </si>
  <si>
    <t>확인 불가 시, 여름철 대기 조건으로 적용 추천한다. (배관 표면 온도 가장 높은 조건)</t>
    <phoneticPr fontId="1" type="noConversion"/>
  </si>
  <si>
    <t>■</t>
    <phoneticPr fontId="1" type="noConversion"/>
  </si>
  <si>
    <t>배관 열 손실 계산기</t>
    <phoneticPr fontId="1" type="noConversion"/>
  </si>
  <si>
    <r>
      <rPr>
        <b/>
        <sz val="13"/>
        <color theme="1"/>
        <rFont val="맑은 고딕"/>
        <family val="3"/>
        <charset val="129"/>
        <scheme val="minor"/>
      </rPr>
      <t>배관 열 손실 계산기</t>
    </r>
    <r>
      <rPr>
        <b/>
        <sz val="14"/>
        <color theme="1"/>
        <rFont val="맑은 고딕"/>
        <family val="3"/>
        <charset val="129"/>
        <scheme val="minor"/>
      </rPr>
      <t xml:space="preserve">    </t>
    </r>
    <phoneticPr fontId="1" type="noConversion"/>
  </si>
  <si>
    <t>ASTM C585 Tolerance 적용</t>
    <phoneticPr fontId="1" type="noConversion"/>
  </si>
  <si>
    <t>적용 전(mm)</t>
    <phoneticPr fontId="1" type="noConversion"/>
  </si>
  <si>
    <t>적용 후(mm)</t>
    <phoneticPr fontId="1" type="noConversion"/>
  </si>
  <si>
    <t>(Table 4)</t>
    <phoneticPr fontId="1" type="noConversion"/>
  </si>
  <si>
    <t xml:space="preserve">결과에 유의미한 영향 없으므로, 배관 재질은 별도 기입하지 않음. </t>
    <phoneticPr fontId="1" type="noConversion"/>
  </si>
  <si>
    <t>Carbon steel 통일</t>
    <phoneticPr fontId="1" type="noConversion"/>
  </si>
  <si>
    <t>q_fl to io와 q_in to atm 중 큰 값을 열손실로 적용</t>
    <phoneticPr fontId="1" type="noConversion"/>
  </si>
  <si>
    <t>Inch</t>
    <phoneticPr fontId="1" type="noConversion"/>
  </si>
  <si>
    <t>mm_actual</t>
    <phoneticPr fontId="1" type="noConversion"/>
  </si>
  <si>
    <t>mm_spec</t>
    <phoneticPr fontId="1" type="noConversion"/>
  </si>
  <si>
    <t>Margin 적용할 경우 입력</t>
    <phoneticPr fontId="1" type="noConversion"/>
  </si>
  <si>
    <t/>
  </si>
  <si>
    <t>(완료)</t>
    <phoneticPr fontId="1" type="noConversion"/>
  </si>
  <si>
    <r>
      <rPr>
        <b/>
        <sz val="11"/>
        <color theme="1"/>
        <rFont val="맑은 고딕"/>
        <family val="3"/>
        <charset val="129"/>
        <scheme val="minor"/>
      </rPr>
      <t>설명서</t>
    </r>
    <r>
      <rPr>
        <sz val="10"/>
        <color theme="1"/>
        <rFont val="맑은 고딕"/>
        <family val="3"/>
        <charset val="129"/>
        <scheme val="minor"/>
      </rPr>
      <t xml:space="preserve">
1) WinSteam, WinAir 설치 필요.
2) 보온재가 적용된 배관의 열손실, 표면온도, 출구온도를 계산.
3) 1. 대기 조건
   a) 보온재 설계 조건이 아닌, 운전 조건을 기입.
4) 2. 배관 및 보온재 정보
   a) 보온재 재질
       - 일반적으로 사용되는 ASTM 보온재 4가지 중 선택.
       - 보온재 상세 정보는 "Data" 시트 참조.
       - 프로젝트 별 보온재 현황은 "Data" 시트 참조.
   b) Jacket 방사율 (Emissivity)
       - 배관 보온재 마감 처리에 따라 방사율 다름.
       - 일반적으로 도막 없는 Aluminum jacket 마감이므로, 0.1 적용.
       - 특별한 마감 적용될 경우, 위의 기준 참고.
5) 출구 온도 계산을 위해 압력 손실 입력.
6) "계 산 (Click)" 버튼 클릭 시 계산 진행. 계산 완료 시 버튼 옆에 "</t>
    </r>
    <r>
      <rPr>
        <sz val="10"/>
        <color rgb="FFFF0000"/>
        <rFont val="맑은 고딕"/>
        <family val="3"/>
        <charset val="129"/>
        <scheme val="minor"/>
      </rPr>
      <t>(완료)</t>
    </r>
    <r>
      <rPr>
        <sz val="10"/>
        <color theme="1"/>
        <rFont val="맑은 고딕"/>
        <family val="3"/>
        <charset val="129"/>
        <scheme val="minor"/>
      </rPr>
      <t>"가 표시. 
    계산 과정에 문제 있을 시 "</t>
    </r>
    <r>
      <rPr>
        <sz val="10"/>
        <color rgb="FFFF0000"/>
        <rFont val="맑은 고딕"/>
        <family val="3"/>
        <charset val="129"/>
        <scheme val="minor"/>
      </rPr>
      <t>(계산 중)</t>
    </r>
    <r>
      <rPr>
        <sz val="10"/>
        <color theme="1"/>
        <rFont val="맑은 고딕"/>
        <family val="3"/>
        <charset val="129"/>
        <scheme val="minor"/>
      </rPr>
      <t>"이 지속 표시.</t>
    </r>
    <phoneticPr fontId="1" type="noConversion"/>
  </si>
  <si>
    <t>WinAir 설치가 필요하다.</t>
    <phoneticPr fontId="1" type="noConversion"/>
  </si>
  <si>
    <t>ASTM C1086 - Glass Fiber Mechanically Bonded Felt Thermal Insulation</t>
    <phoneticPr fontId="1" type="noConversion"/>
  </si>
  <si>
    <t>OUTPUT - 보온재 두께 (mm)</t>
    <phoneticPr fontId="1" type="noConversion"/>
  </si>
  <si>
    <t>Mineral Fiber (ASTM C547&amp;C592)</t>
  </si>
  <si>
    <t>(완료)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</si>
</sst>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76" formatCode="#,##0.000"/>
    <numFmt numFmtId="177" formatCode="#,##0.00_ "/>
    <numFmt numFmtId="178" formatCode="0.000"/>
    <numFmt numFmtId="179" formatCode="#,##0.00000"/>
  </numFmts>
  <fonts count="2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u/>
      <sz val="10"/>
      <color theme="1"/>
      <name val="맑은 고딕"/>
      <family val="3"/>
      <charset val="129"/>
      <scheme val="minor"/>
    </font>
    <font>
      <u/>
      <sz val="11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rgb="FFFF0000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sz val="13"/>
      <color theme="1"/>
      <name val="맑은 고딕"/>
      <family val="3"/>
      <charset val="129"/>
      <scheme val="minor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9"/>
      <color theme="1"/>
      <name val="Arial"/>
      <family val="2"/>
    </font>
    <font>
      <sz val="9"/>
      <color rgb="FFFF0000"/>
      <name val="맑은 고딕"/>
      <family val="2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</font>
    <font>
      <sz val="8"/>
      <color theme="1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109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thin">
        <color auto="1"/>
      </bottom>
      <diagonal/>
    </border>
    <border>
      <left style="medium">
        <color rgb="FFFF0000"/>
      </left>
      <right style="medium">
        <color rgb="FFFF0000"/>
      </right>
      <top style="thin">
        <color auto="1"/>
      </top>
      <bottom style="thin">
        <color auto="1"/>
      </bottom>
      <diagonal/>
    </border>
    <border>
      <left style="medium">
        <color rgb="FFFF0000"/>
      </left>
      <right style="medium">
        <color rgb="FFFF0000"/>
      </right>
      <top style="thin">
        <color auto="1"/>
      </top>
      <bottom style="medium">
        <color rgb="FFFF0000"/>
      </bottom>
      <diagonal/>
    </border>
    <border>
      <left style="medium">
        <color rgb="FFFF0000"/>
      </left>
      <right style="medium">
        <color rgb="FFFF0000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indexed="64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auto="1"/>
      </bottom>
      <diagonal/>
    </border>
    <border>
      <left/>
      <right style="thin">
        <color theme="1" tint="0.499984740745262"/>
      </right>
      <top style="thin">
        <color theme="0" tint="-0.14996795556505021"/>
      </top>
      <bottom/>
      <diagonal/>
    </border>
    <border>
      <left/>
      <right style="thin">
        <color theme="1" tint="0.499984740745262"/>
      </right>
      <top/>
      <bottom/>
      <diagonal/>
    </border>
    <border>
      <left/>
      <right style="hair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hair">
        <color indexed="64"/>
      </right>
      <top style="thin">
        <color theme="0" tint="-0.14996795556505021"/>
      </top>
      <bottom style="thin">
        <color auto="1"/>
      </bottom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double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double">
        <color theme="1" tint="0.499984740745262"/>
      </top>
      <bottom style="double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double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double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medium">
        <color auto="1"/>
      </right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auto="1"/>
      </left>
      <right/>
      <top style="thin">
        <color theme="0" tint="-0.14996795556505021"/>
      </top>
      <bottom style="thin">
        <color auto="1"/>
      </bottom>
      <diagonal/>
    </border>
    <border>
      <left/>
      <right style="medium">
        <color auto="1"/>
      </right>
      <top style="thin">
        <color theme="0" tint="-0.1499679555650502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hair">
        <color indexed="64"/>
      </left>
      <right style="medium">
        <color auto="1"/>
      </right>
      <top style="thin">
        <color indexed="64"/>
      </top>
      <bottom/>
      <diagonal/>
    </border>
    <border>
      <left style="medium">
        <color auto="1"/>
      </left>
      <right/>
      <top/>
      <bottom/>
      <diagonal/>
    </border>
    <border>
      <left style="hair">
        <color indexed="64"/>
      </left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hair">
        <color indexed="64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hair">
        <color indexed="64"/>
      </right>
      <top/>
      <bottom style="thin">
        <color theme="0" tint="-0.14996795556505021"/>
      </bottom>
      <diagonal/>
    </border>
    <border>
      <left/>
      <right style="medium">
        <color auto="1"/>
      </right>
      <top/>
      <bottom style="thin">
        <color theme="0" tint="-0.14996795556505021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medium">
        <color auto="1"/>
      </right>
      <top style="thin">
        <color indexed="64"/>
      </top>
      <bottom/>
      <diagonal/>
    </border>
    <border>
      <left style="medium">
        <color indexed="64"/>
      </left>
      <right/>
      <top style="thin">
        <color theme="0" tint="-0.14996795556505021"/>
      </top>
      <bottom/>
      <diagonal/>
    </border>
    <border>
      <left style="hair">
        <color auto="1"/>
      </left>
      <right style="medium">
        <color auto="1"/>
      </right>
      <top/>
      <bottom style="thin">
        <color theme="0" tint="-0.1499679555650502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theme="1" tint="0.499984740745262"/>
      </right>
      <top/>
      <bottom style="thin">
        <color theme="0" tint="-0.14996795556505021"/>
      </bottom>
      <diagonal/>
    </border>
    <border>
      <left style="thin">
        <color theme="1" tint="0.499984740745262"/>
      </left>
      <right/>
      <top style="thin">
        <color theme="0" tint="-0.14996795556505021"/>
      </top>
      <bottom/>
      <diagonal/>
    </border>
    <border>
      <left style="hair">
        <color indexed="64"/>
      </left>
      <right style="medium">
        <color auto="1"/>
      </right>
      <top style="thin">
        <color theme="0" tint="-0.14996795556505021"/>
      </top>
      <bottom/>
      <diagonal/>
    </border>
    <border>
      <left style="thin">
        <color theme="1" tint="0.499984740745262"/>
      </left>
      <right/>
      <top/>
      <bottom style="thin">
        <color theme="0" tint="-0.14996795556505021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double">
        <color theme="1" tint="0.499984740745262"/>
      </bottom>
      <diagonal/>
    </border>
    <border>
      <left/>
      <right/>
      <top style="thin">
        <color theme="1" tint="0.499984740745262"/>
      </top>
      <bottom style="double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double">
        <color theme="1" tint="0.499984740745262"/>
      </bottom>
      <diagonal/>
    </border>
    <border>
      <left style="thin">
        <color theme="1" tint="0.499984740745262"/>
      </left>
      <right/>
      <top style="double">
        <color theme="1" tint="0.499984740745262"/>
      </top>
      <bottom style="double">
        <color theme="1" tint="0.499984740745262"/>
      </bottom>
      <diagonal/>
    </border>
    <border>
      <left/>
      <right/>
      <top style="double">
        <color theme="1" tint="0.499984740745262"/>
      </top>
      <bottom style="double">
        <color theme="1" tint="0.499984740745262"/>
      </bottom>
      <diagonal/>
    </border>
    <border>
      <left/>
      <right style="thin">
        <color theme="1" tint="0.499984740745262"/>
      </right>
      <top style="double">
        <color theme="1" tint="0.499984740745262"/>
      </top>
      <bottom style="double">
        <color theme="1" tint="0.499984740745262"/>
      </bottom>
      <diagonal/>
    </border>
    <border>
      <left style="thin">
        <color theme="1" tint="0.499984740745262"/>
      </left>
      <right/>
      <top style="double">
        <color theme="1" tint="0.499984740745262"/>
      </top>
      <bottom style="thin">
        <color theme="1" tint="0.499984740745262"/>
      </bottom>
      <diagonal/>
    </border>
    <border>
      <left/>
      <right/>
      <top style="double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double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0" tint="-0.14996795556505021"/>
      </top>
      <bottom/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 style="medium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medium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theme="1" tint="0.499984740745262"/>
      </left>
      <right style="thin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  <border>
      <left style="thin">
        <color theme="1" tint="0.499984740745262"/>
      </left>
      <right style="medium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  <border>
      <left style="thin">
        <color auto="1"/>
      </left>
      <right/>
      <top/>
      <bottom/>
      <diagonal/>
    </border>
    <border>
      <left style="medium">
        <color theme="1" tint="0.499984740745262"/>
      </left>
      <right/>
      <top/>
      <bottom style="thin">
        <color theme="0" tint="-0.14996795556505021"/>
      </bottom>
      <diagonal/>
    </border>
    <border>
      <left/>
      <right style="medium">
        <color theme="1" tint="0.499984740745262"/>
      </right>
      <top/>
      <bottom style="thin">
        <color theme="0" tint="-0.14996795556505021"/>
      </bottom>
      <diagonal/>
    </border>
    <border>
      <left style="medium">
        <color theme="1" tint="0.499984740745262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medium">
        <color theme="1" tint="0.499984740745262"/>
      </right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theme="1" tint="0.499984740745262"/>
      </left>
      <right/>
      <top/>
      <bottom/>
      <diagonal/>
    </border>
    <border>
      <left style="medium">
        <color theme="1" tint="0.499984740745262"/>
      </left>
      <right/>
      <top/>
      <bottom style="medium">
        <color theme="1" tint="0.499984740745262"/>
      </bottom>
      <diagonal/>
    </border>
    <border>
      <left/>
      <right/>
      <top/>
      <bottom style="medium">
        <color theme="1" tint="0.499984740745262"/>
      </bottom>
      <diagonal/>
    </border>
    <border>
      <left style="medium">
        <color theme="1" tint="0.499984740745262"/>
      </left>
      <right/>
      <top style="thin">
        <color theme="0" tint="-0.14996795556505021"/>
      </top>
      <bottom/>
      <diagonal/>
    </border>
    <border>
      <left/>
      <right style="medium">
        <color theme="1" tint="0.499984740745262"/>
      </right>
      <top style="thin">
        <color theme="0" tint="-0.14996795556505021"/>
      </top>
      <bottom/>
      <diagonal/>
    </border>
    <border>
      <left/>
      <right style="medium">
        <color theme="1" tint="0.499984740745262"/>
      </right>
      <top/>
      <bottom style="medium">
        <color theme="1" tint="0.499984740745262"/>
      </bottom>
      <diagonal/>
    </border>
    <border>
      <left/>
      <right style="medium">
        <color theme="1" tint="0.499984740745262"/>
      </right>
      <top/>
      <bottom/>
      <diagonal/>
    </border>
    <border>
      <left style="medium">
        <color theme="1" tint="0.499984740745262"/>
      </left>
      <right/>
      <top style="medium">
        <color theme="1" tint="0.499984740745262"/>
      </top>
      <bottom style="medium">
        <color theme="1" tint="0.499984740745262"/>
      </bottom>
      <diagonal/>
    </border>
    <border>
      <left/>
      <right/>
      <top style="medium">
        <color theme="1" tint="0.499984740745262"/>
      </top>
      <bottom style="medium">
        <color theme="1" tint="0.499984740745262"/>
      </bottom>
      <diagonal/>
    </border>
    <border>
      <left/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medium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medium">
        <color theme="1" tint="0.499984740745262"/>
      </left>
      <right/>
      <top/>
      <bottom style="thin">
        <color theme="1" tint="0.499984740745262"/>
      </bottom>
      <diagonal/>
    </border>
    <border>
      <left style="medium">
        <color theme="1" tint="0.499984740745262"/>
      </left>
      <right/>
      <top style="medium">
        <color theme="1" tint="0.499984740745262"/>
      </top>
      <bottom style="double">
        <color theme="1" tint="0.499984740745262"/>
      </bottom>
      <diagonal/>
    </border>
    <border>
      <left/>
      <right/>
      <top style="medium">
        <color theme="1" tint="0.499984740745262"/>
      </top>
      <bottom style="double">
        <color theme="1" tint="0.499984740745262"/>
      </bottom>
      <diagonal/>
    </border>
    <border>
      <left/>
      <right style="medium">
        <color theme="1" tint="0.499984740745262"/>
      </right>
      <top style="medium">
        <color theme="1" tint="0.499984740745262"/>
      </top>
      <bottom style="double">
        <color theme="1" tint="0.499984740745262"/>
      </bottom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 style="medium">
        <color theme="1" tint="0.499984740745262"/>
      </right>
      <top style="double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medium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medium">
        <color theme="1" tint="0.499984740745262"/>
      </right>
      <top style="thin">
        <color theme="1" tint="0.499984740745262"/>
      </top>
      <bottom/>
      <diagonal/>
    </border>
    <border>
      <left style="thin">
        <color theme="1"/>
      </left>
      <right style="thin">
        <color theme="1" tint="0.499984740745262"/>
      </right>
      <top style="thin">
        <color theme="1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/>
      </top>
      <bottom style="thin">
        <color theme="1" tint="0.499984740745262"/>
      </bottom>
      <diagonal/>
    </border>
    <border>
      <left style="thin">
        <color theme="1" tint="0.499984740745262"/>
      </left>
      <right style="medium">
        <color theme="1" tint="0.499984740745262"/>
      </right>
      <top style="thin">
        <color theme="1"/>
      </top>
      <bottom style="thin">
        <color theme="1" tint="0.499984740745262"/>
      </bottom>
      <diagonal/>
    </border>
    <border>
      <left style="thin">
        <color theme="1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/>
      </left>
      <right style="thin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  <border>
      <left style="medium">
        <color rgb="FFFF0000"/>
      </left>
      <right/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237">
    <xf numFmtId="0" fontId="0" fillId="0" borderId="0" xfId="0">
      <alignment vertical="center"/>
    </xf>
    <xf numFmtId="49" fontId="0" fillId="0" borderId="0" xfId="0" applyNumberFormat="1">
      <alignment vertical="center"/>
    </xf>
    <xf numFmtId="49" fontId="2" fillId="0" borderId="0" xfId="0" applyNumberFormat="1" applyFont="1">
      <alignment vertical="center"/>
    </xf>
    <xf numFmtId="0" fontId="0" fillId="0" borderId="6" xfId="0" applyBorder="1">
      <alignment vertical="center"/>
    </xf>
    <xf numFmtId="49" fontId="2" fillId="0" borderId="0" xfId="0" quotePrefix="1" applyNumberFormat="1" applyFont="1">
      <alignment vertical="center"/>
    </xf>
    <xf numFmtId="0" fontId="2" fillId="0" borderId="0" xfId="0" applyFont="1">
      <alignment vertical="center"/>
    </xf>
    <xf numFmtId="0" fontId="0" fillId="2" borderId="6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49" fontId="7" fillId="0" borderId="0" xfId="0" applyNumberFormat="1" applyFont="1">
      <alignment vertical="center"/>
    </xf>
    <xf numFmtId="0" fontId="0" fillId="0" borderId="6" xfId="0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12" fillId="3" borderId="3" xfId="0" applyFont="1" applyFill="1" applyBorder="1" applyAlignment="1">
      <alignment horizontal="right" vertical="center"/>
    </xf>
    <xf numFmtId="49" fontId="0" fillId="0" borderId="0" xfId="0" applyNumberFormat="1" applyFill="1" applyBorder="1">
      <alignment vertical="center"/>
    </xf>
    <xf numFmtId="0" fontId="0" fillId="0" borderId="0" xfId="0" applyFill="1" applyBorder="1">
      <alignment vertical="center"/>
    </xf>
    <xf numFmtId="0" fontId="0" fillId="0" borderId="0" xfId="0" applyFill="1" applyBorder="1" applyAlignment="1">
      <alignment horizontal="center" vertical="center"/>
    </xf>
    <xf numFmtId="0" fontId="3" fillId="0" borderId="0" xfId="0" applyFont="1" applyFill="1" applyBorder="1" applyAlignment="1">
      <alignment vertical="center"/>
    </xf>
    <xf numFmtId="0" fontId="4" fillId="0" borderId="0" xfId="0" applyFon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0" fillId="0" borderId="0" xfId="0" applyFill="1" applyBorder="1" applyAlignment="1">
      <alignment vertical="center" wrapText="1"/>
    </xf>
    <xf numFmtId="0" fontId="0" fillId="0" borderId="10" xfId="0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2" borderId="0" xfId="0" applyFill="1">
      <alignment vertical="center"/>
    </xf>
    <xf numFmtId="0" fontId="0" fillId="2" borderId="0" xfId="0" applyFill="1" applyBorder="1">
      <alignment vertical="center"/>
    </xf>
    <xf numFmtId="0" fontId="0" fillId="2" borderId="18" xfId="0" applyFill="1" applyBorder="1">
      <alignment vertical="center"/>
    </xf>
    <xf numFmtId="0" fontId="0" fillId="2" borderId="19" xfId="0" applyFill="1" applyBorder="1" applyAlignment="1">
      <alignment horizontal="right" vertical="center"/>
    </xf>
    <xf numFmtId="0" fontId="0" fillId="2" borderId="20" xfId="0" applyFill="1" applyBorder="1" applyAlignment="1">
      <alignment horizontal="left" vertical="center" indent="1"/>
    </xf>
    <xf numFmtId="0" fontId="0" fillId="2" borderId="20" xfId="0" applyFill="1" applyBorder="1" applyAlignment="1">
      <alignment horizontal="right" vertical="center"/>
    </xf>
    <xf numFmtId="0" fontId="2" fillId="2" borderId="19" xfId="0" applyFont="1" applyFill="1" applyBorder="1" applyAlignment="1"/>
    <xf numFmtId="0" fontId="14" fillId="2" borderId="0" xfId="0" applyFont="1" applyFill="1">
      <alignment vertical="center"/>
    </xf>
    <xf numFmtId="0" fontId="15" fillId="2" borderId="0" xfId="0" applyFont="1" applyFill="1">
      <alignment vertical="center"/>
    </xf>
    <xf numFmtId="0" fontId="0" fillId="2" borderId="23" xfId="0" applyFill="1" applyBorder="1">
      <alignment vertical="center"/>
    </xf>
    <xf numFmtId="0" fontId="0" fillId="2" borderId="24" xfId="0" applyFill="1" applyBorder="1">
      <alignment vertical="center"/>
    </xf>
    <xf numFmtId="0" fontId="0" fillId="2" borderId="16" xfId="0" applyFill="1" applyBorder="1">
      <alignment vertical="center"/>
    </xf>
    <xf numFmtId="0" fontId="14" fillId="2" borderId="22" xfId="0" applyFont="1" applyFill="1" applyBorder="1" applyAlignment="1">
      <alignment horizontal="right" vertical="center" indent="1"/>
    </xf>
    <xf numFmtId="0" fontId="0" fillId="6" borderId="26" xfId="0" applyFill="1" applyBorder="1" applyAlignment="1">
      <alignment horizontal="left" vertical="center" indent="1"/>
    </xf>
    <xf numFmtId="0" fontId="0" fillId="6" borderId="28" xfId="0" applyFill="1" applyBorder="1" applyAlignment="1">
      <alignment horizontal="left" vertical="center" indent="1"/>
    </xf>
    <xf numFmtId="0" fontId="0" fillId="6" borderId="27" xfId="0" applyFill="1" applyBorder="1" applyAlignment="1">
      <alignment horizontal="left" vertical="center" indent="1"/>
    </xf>
    <xf numFmtId="0" fontId="0" fillId="6" borderId="31" xfId="0" applyFill="1" applyBorder="1" applyAlignment="1">
      <alignment horizontal="left" vertical="center" indent="1"/>
    </xf>
    <xf numFmtId="0" fontId="0" fillId="6" borderId="29" xfId="0" applyFill="1" applyBorder="1" applyAlignment="1">
      <alignment horizontal="left" vertical="center" indent="1"/>
    </xf>
    <xf numFmtId="0" fontId="3" fillId="6" borderId="29" xfId="0" applyFont="1" applyFill="1" applyBorder="1" applyAlignment="1">
      <alignment horizontal="left" vertical="center" indent="1"/>
    </xf>
    <xf numFmtId="0" fontId="0" fillId="6" borderId="30" xfId="0" applyFill="1" applyBorder="1" applyAlignment="1">
      <alignment horizontal="left" vertical="center" indent="1"/>
    </xf>
    <xf numFmtId="0" fontId="17" fillId="2" borderId="19" xfId="0" applyFont="1" applyFill="1" applyBorder="1" applyAlignment="1">
      <alignment horizontal="right" vertical="center" indent="1"/>
    </xf>
    <xf numFmtId="0" fontId="13" fillId="2" borderId="19" xfId="0" applyFont="1" applyFill="1" applyBorder="1" applyAlignment="1">
      <alignment horizontal="right" vertical="center" indent="1"/>
    </xf>
    <xf numFmtId="0" fontId="0" fillId="3" borderId="27" xfId="0" applyFill="1" applyBorder="1" applyAlignment="1">
      <alignment horizontal="right" vertical="center" indent="1"/>
    </xf>
    <xf numFmtId="0" fontId="0" fillId="6" borderId="26" xfId="0" applyFill="1" applyBorder="1" applyAlignment="1">
      <alignment horizontal="right" vertical="center" indent="1"/>
    </xf>
    <xf numFmtId="0" fontId="0" fillId="2" borderId="35" xfId="0" applyFill="1" applyBorder="1">
      <alignment vertical="center"/>
    </xf>
    <xf numFmtId="0" fontId="2" fillId="2" borderId="35" xfId="0" quotePrefix="1" applyFont="1" applyFill="1" applyBorder="1" applyAlignment="1">
      <alignment horizontal="center"/>
    </xf>
    <xf numFmtId="0" fontId="16" fillId="2" borderId="36" xfId="0" applyFont="1" applyFill="1" applyBorder="1" applyAlignment="1">
      <alignment horizontal="center" vertical="center"/>
    </xf>
    <xf numFmtId="0" fontId="8" fillId="2" borderId="36" xfId="0" applyFont="1" applyFill="1" applyBorder="1" applyAlignment="1">
      <alignment horizontal="center" vertical="center"/>
    </xf>
    <xf numFmtId="0" fontId="0" fillId="2" borderId="37" xfId="0" applyFill="1" applyBorder="1">
      <alignment vertical="center"/>
    </xf>
    <xf numFmtId="0" fontId="0" fillId="2" borderId="41" xfId="0" quotePrefix="1" applyFill="1" applyBorder="1" applyAlignment="1">
      <alignment horizontal="left" vertical="center"/>
    </xf>
    <xf numFmtId="0" fontId="0" fillId="2" borderId="43" xfId="0" applyFill="1" applyBorder="1">
      <alignment vertical="center"/>
    </xf>
    <xf numFmtId="0" fontId="10" fillId="2" borderId="44" xfId="0" applyFont="1" applyFill="1" applyBorder="1" applyAlignment="1">
      <alignment horizontal="center" vertical="center"/>
    </xf>
    <xf numFmtId="0" fontId="0" fillId="2" borderId="45" xfId="0" applyFill="1" applyBorder="1">
      <alignment vertical="center"/>
    </xf>
    <xf numFmtId="0" fontId="0" fillId="2" borderId="46" xfId="0" applyFill="1" applyBorder="1">
      <alignment vertical="center"/>
    </xf>
    <xf numFmtId="0" fontId="2" fillId="2" borderId="48" xfId="0" quotePrefix="1" applyFont="1" applyFill="1" applyBorder="1" applyAlignment="1">
      <alignment horizontal="center" vertical="center"/>
    </xf>
    <xf numFmtId="0" fontId="2" fillId="2" borderId="49" xfId="0" applyFont="1" applyFill="1" applyBorder="1">
      <alignment vertical="center"/>
    </xf>
    <xf numFmtId="0" fontId="0" fillId="2" borderId="50" xfId="0" applyFill="1" applyBorder="1">
      <alignment vertical="center"/>
    </xf>
    <xf numFmtId="0" fontId="0" fillId="2" borderId="52" xfId="0" applyFill="1" applyBorder="1">
      <alignment vertical="center"/>
    </xf>
    <xf numFmtId="0" fontId="0" fillId="2" borderId="54" xfId="0" applyFill="1" applyBorder="1">
      <alignment vertical="center"/>
    </xf>
    <xf numFmtId="0" fontId="0" fillId="2" borderId="49" xfId="0" applyFill="1" applyBorder="1">
      <alignment vertical="center"/>
    </xf>
    <xf numFmtId="0" fontId="0" fillId="2" borderId="43" xfId="0" quotePrefix="1" applyFill="1" applyBorder="1" applyAlignment="1">
      <alignment horizontal="left" vertical="center"/>
    </xf>
    <xf numFmtId="4" fontId="2" fillId="3" borderId="26" xfId="0" applyNumberFormat="1" applyFont="1" applyFill="1" applyBorder="1" applyAlignment="1">
      <alignment horizontal="left" vertical="center" indent="1"/>
    </xf>
    <xf numFmtId="4" fontId="2" fillId="3" borderId="28" xfId="0" applyNumberFormat="1" applyFont="1" applyFill="1" applyBorder="1" applyAlignment="1">
      <alignment horizontal="left" vertical="center" indent="1"/>
    </xf>
    <xf numFmtId="4" fontId="2" fillId="3" borderId="30" xfId="0" applyNumberFormat="1" applyFont="1" applyFill="1" applyBorder="1" applyAlignment="1">
      <alignment horizontal="left" vertical="center" indent="1"/>
    </xf>
    <xf numFmtId="4" fontId="2" fillId="3" borderId="17" xfId="0" applyNumberFormat="1" applyFont="1" applyFill="1" applyBorder="1" applyAlignment="1">
      <alignment horizontal="left" vertical="center" indent="1"/>
    </xf>
    <xf numFmtId="49" fontId="5" fillId="2" borderId="2" xfId="0" applyNumberFormat="1" applyFont="1" applyFill="1" applyBorder="1">
      <alignment vertical="center"/>
    </xf>
    <xf numFmtId="0" fontId="4" fillId="2" borderId="2" xfId="0" applyFont="1" applyFill="1" applyBorder="1">
      <alignment vertical="center"/>
    </xf>
    <xf numFmtId="0" fontId="4" fillId="2" borderId="2" xfId="0" applyFont="1" applyFill="1" applyBorder="1" applyAlignment="1">
      <alignment horizontal="right" vertical="center"/>
    </xf>
    <xf numFmtId="0" fontId="4" fillId="2" borderId="4" xfId="0" applyFont="1" applyFill="1" applyBorder="1">
      <alignment vertical="center"/>
    </xf>
    <xf numFmtId="0" fontId="8" fillId="2" borderId="2" xfId="0" applyFont="1" applyFill="1" applyBorder="1">
      <alignment vertical="center"/>
    </xf>
    <xf numFmtId="0" fontId="0" fillId="2" borderId="2" xfId="0" applyFill="1" applyBorder="1">
      <alignment vertical="center"/>
    </xf>
    <xf numFmtId="49" fontId="5" fillId="2" borderId="3" xfId="0" applyNumberFormat="1" applyFont="1" applyFill="1" applyBorder="1">
      <alignment vertical="center"/>
    </xf>
    <xf numFmtId="0" fontId="4" fillId="2" borderId="3" xfId="0" applyFont="1" applyFill="1" applyBorder="1">
      <alignment vertical="center"/>
    </xf>
    <xf numFmtId="0" fontId="4" fillId="2" borderId="3" xfId="0" applyFont="1" applyFill="1" applyBorder="1" applyAlignment="1">
      <alignment horizontal="right" vertical="center"/>
    </xf>
    <xf numFmtId="0" fontId="4" fillId="2" borderId="5" xfId="0" applyFont="1" applyFill="1" applyBorder="1">
      <alignment vertical="center"/>
    </xf>
    <xf numFmtId="0" fontId="8" fillId="2" borderId="3" xfId="0" applyFont="1" applyFill="1" applyBorder="1">
      <alignment vertical="center"/>
    </xf>
    <xf numFmtId="0" fontId="0" fillId="2" borderId="3" xfId="0" applyFill="1" applyBorder="1">
      <alignment vertical="center"/>
    </xf>
    <xf numFmtId="49" fontId="5" fillId="2" borderId="3" xfId="0" quotePrefix="1" applyNumberFormat="1" applyFont="1" applyFill="1" applyBorder="1">
      <alignment vertical="center"/>
    </xf>
    <xf numFmtId="49" fontId="3" fillId="2" borderId="3" xfId="0" applyNumberFormat="1" applyFont="1" applyFill="1" applyBorder="1">
      <alignment vertical="center"/>
    </xf>
    <xf numFmtId="0" fontId="5" fillId="2" borderId="3" xfId="0" applyFont="1" applyFill="1" applyBorder="1">
      <alignment vertical="center"/>
    </xf>
    <xf numFmtId="0" fontId="6" fillId="2" borderId="3" xfId="0" applyFont="1" applyFill="1" applyBorder="1">
      <alignment vertical="center"/>
    </xf>
    <xf numFmtId="4" fontId="4" fillId="2" borderId="3" xfId="0" applyNumberFormat="1" applyFont="1" applyFill="1" applyBorder="1" applyAlignment="1">
      <alignment horizontal="right" vertical="center"/>
    </xf>
    <xf numFmtId="0" fontId="3" fillId="2" borderId="0" xfId="0" applyFont="1" applyFill="1">
      <alignment vertical="center"/>
    </xf>
    <xf numFmtId="0" fontId="10" fillId="2" borderId="3" xfId="0" applyFont="1" applyFill="1" applyBorder="1">
      <alignment vertical="center"/>
    </xf>
    <xf numFmtId="0" fontId="9" fillId="2" borderId="3" xfId="0" applyFont="1" applyFill="1" applyBorder="1">
      <alignment vertical="center"/>
    </xf>
    <xf numFmtId="0" fontId="10" fillId="2" borderId="38" xfId="0" applyFont="1" applyFill="1" applyBorder="1" applyAlignment="1">
      <alignment horizontal="center" vertical="center"/>
    </xf>
    <xf numFmtId="176" fontId="4" fillId="2" borderId="3" xfId="0" applyNumberFormat="1" applyFont="1" applyFill="1" applyBorder="1" applyAlignment="1">
      <alignment horizontal="right" vertical="center"/>
    </xf>
    <xf numFmtId="0" fontId="11" fillId="2" borderId="3" xfId="0" applyFont="1" applyFill="1" applyBorder="1">
      <alignment vertical="center"/>
    </xf>
    <xf numFmtId="0" fontId="5" fillId="2" borderId="3" xfId="0" applyFont="1" applyFill="1" applyBorder="1" applyAlignment="1">
      <alignment horizontal="right" vertical="center"/>
    </xf>
    <xf numFmtId="0" fontId="12" fillId="2" borderId="3" xfId="0" applyFont="1" applyFill="1" applyBorder="1">
      <alignment vertical="center"/>
    </xf>
    <xf numFmtId="49" fontId="15" fillId="0" borderId="0" xfId="0" applyNumberFormat="1" applyFont="1">
      <alignment vertical="center"/>
    </xf>
    <xf numFmtId="0" fontId="16" fillId="2" borderId="51" xfId="0" applyFont="1" applyFill="1" applyBorder="1" applyAlignment="1">
      <alignment horizontal="center" vertical="center"/>
    </xf>
    <xf numFmtId="0" fontId="16" fillId="2" borderId="0" xfId="0" applyFont="1" applyFill="1" applyAlignment="1">
      <alignment horizontal="center" vertical="center"/>
    </xf>
    <xf numFmtId="0" fontId="16" fillId="2" borderId="53" xfId="0" applyFont="1" applyFill="1" applyBorder="1" applyAlignment="1">
      <alignment horizontal="center" vertical="center"/>
    </xf>
    <xf numFmtId="0" fontId="8" fillId="2" borderId="42" xfId="0" applyFont="1" applyFill="1" applyBorder="1" applyAlignment="1">
      <alignment horizontal="center" vertical="center"/>
    </xf>
    <xf numFmtId="0" fontId="8" fillId="2" borderId="47" xfId="0" applyFont="1" applyFill="1" applyBorder="1" applyAlignment="1">
      <alignment horizontal="center" vertical="center"/>
    </xf>
    <xf numFmtId="0" fontId="8" fillId="2" borderId="44" xfId="0" applyFont="1" applyFill="1" applyBorder="1" applyAlignment="1">
      <alignment horizontal="center" vertical="center"/>
    </xf>
    <xf numFmtId="0" fontId="16" fillId="2" borderId="44" xfId="0" applyFont="1" applyFill="1" applyBorder="1" applyAlignment="1">
      <alignment horizontal="center" vertical="center"/>
    </xf>
    <xf numFmtId="0" fontId="0" fillId="2" borderId="0" xfId="0" applyFill="1" applyBorder="1" applyAlignment="1">
      <alignment vertical="top"/>
    </xf>
    <xf numFmtId="0" fontId="13" fillId="2" borderId="0" xfId="0" applyFont="1" applyFill="1" applyBorder="1" applyAlignment="1">
      <alignment vertical="top" wrapText="1"/>
    </xf>
    <xf numFmtId="0" fontId="19" fillId="2" borderId="23" xfId="0" applyFont="1" applyFill="1" applyBorder="1" applyAlignment="1">
      <alignment horizontal="left" vertical="center"/>
    </xf>
    <xf numFmtId="0" fontId="19" fillId="2" borderId="23" xfId="0" applyFont="1" applyFill="1" applyBorder="1">
      <alignment vertical="center"/>
    </xf>
    <xf numFmtId="0" fontId="20" fillId="6" borderId="29" xfId="0" applyFont="1" applyFill="1" applyBorder="1" applyAlignment="1">
      <alignment horizontal="left" vertical="center" indent="1"/>
    </xf>
    <xf numFmtId="0" fontId="19" fillId="2" borderId="25" xfId="0" applyFont="1" applyFill="1" applyBorder="1">
      <alignment vertical="center"/>
    </xf>
    <xf numFmtId="0" fontId="19" fillId="2" borderId="0" xfId="0" applyFont="1" applyFill="1" applyBorder="1">
      <alignment vertical="center"/>
    </xf>
    <xf numFmtId="0" fontId="0" fillId="2" borderId="48" xfId="0" applyFill="1" applyBorder="1">
      <alignment vertical="center"/>
    </xf>
    <xf numFmtId="0" fontId="19" fillId="2" borderId="58" xfId="0" applyFont="1" applyFill="1" applyBorder="1">
      <alignment vertical="center"/>
    </xf>
    <xf numFmtId="0" fontId="16" fillId="2" borderId="59" xfId="0" applyFont="1" applyFill="1" applyBorder="1" applyAlignment="1">
      <alignment horizontal="center" vertical="center"/>
    </xf>
    <xf numFmtId="0" fontId="19" fillId="2" borderId="60" xfId="0" applyFont="1" applyFill="1" applyBorder="1">
      <alignment vertical="center"/>
    </xf>
    <xf numFmtId="0" fontId="16" fillId="2" borderId="55" xfId="0" applyFont="1" applyFill="1" applyBorder="1" applyAlignment="1">
      <alignment horizontal="center" vertical="center"/>
    </xf>
    <xf numFmtId="49" fontId="4" fillId="2" borderId="3" xfId="0" applyNumberFormat="1" applyFont="1" applyFill="1" applyBorder="1">
      <alignment vertical="center"/>
    </xf>
    <xf numFmtId="0" fontId="18" fillId="2" borderId="0" xfId="0" applyFont="1" applyFill="1" applyAlignment="1"/>
    <xf numFmtId="0" fontId="0" fillId="2" borderId="0" xfId="0" applyFill="1" applyAlignment="1">
      <alignment horizontal="center" vertical="center"/>
    </xf>
    <xf numFmtId="0" fontId="0" fillId="2" borderId="19" xfId="0" applyFill="1" applyBorder="1">
      <alignment vertical="center"/>
    </xf>
    <xf numFmtId="0" fontId="17" fillId="2" borderId="49" xfId="0" applyFont="1" applyFill="1" applyBorder="1" applyAlignment="1">
      <alignment horizontal="right" vertical="center" indent="1"/>
    </xf>
    <xf numFmtId="0" fontId="0" fillId="2" borderId="70" xfId="0" applyFill="1" applyBorder="1">
      <alignment vertical="center"/>
    </xf>
    <xf numFmtId="0" fontId="13" fillId="2" borderId="70" xfId="0" applyFont="1" applyFill="1" applyBorder="1" applyAlignment="1">
      <alignment horizontal="right" vertical="center" indent="1"/>
    </xf>
    <xf numFmtId="0" fontId="0" fillId="6" borderId="17" xfId="0" applyFill="1" applyBorder="1" applyAlignment="1">
      <alignment horizontal="right" vertical="center" indent="1"/>
    </xf>
    <xf numFmtId="0" fontId="0" fillId="2" borderId="17" xfId="0" applyFill="1" applyBorder="1" applyAlignment="1">
      <alignment horizontal="center" vertical="center"/>
    </xf>
    <xf numFmtId="0" fontId="0" fillId="2" borderId="74" xfId="0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2" borderId="76" xfId="0" applyFill="1" applyBorder="1" applyAlignment="1">
      <alignment horizontal="center" vertical="center"/>
    </xf>
    <xf numFmtId="0" fontId="0" fillId="2" borderId="77" xfId="0" applyFill="1" applyBorder="1" applyAlignment="1">
      <alignment horizontal="center" vertical="center"/>
    </xf>
    <xf numFmtId="0" fontId="0" fillId="2" borderId="78" xfId="0" applyFill="1" applyBorder="1">
      <alignment vertical="center"/>
    </xf>
    <xf numFmtId="0" fontId="0" fillId="2" borderId="81" xfId="0" applyFill="1" applyBorder="1">
      <alignment vertical="center"/>
    </xf>
    <xf numFmtId="0" fontId="0" fillId="2" borderId="84" xfId="0" applyFill="1" applyBorder="1">
      <alignment vertical="center"/>
    </xf>
    <xf numFmtId="0" fontId="0" fillId="2" borderId="85" xfId="0" applyFill="1" applyBorder="1">
      <alignment vertical="center"/>
    </xf>
    <xf numFmtId="0" fontId="0" fillId="2" borderId="79" xfId="0" applyFill="1" applyBorder="1">
      <alignment vertical="center"/>
    </xf>
    <xf numFmtId="0" fontId="19" fillId="2" borderId="80" xfId="0" applyFont="1" applyFill="1" applyBorder="1" applyAlignment="1">
      <alignment horizontal="left" vertical="center"/>
    </xf>
    <xf numFmtId="0" fontId="19" fillId="2" borderId="82" xfId="0" applyFont="1" applyFill="1" applyBorder="1">
      <alignment vertical="center"/>
    </xf>
    <xf numFmtId="0" fontId="0" fillId="2" borderId="86" xfId="0" applyFill="1" applyBorder="1">
      <alignment vertical="center"/>
    </xf>
    <xf numFmtId="0" fontId="19" fillId="2" borderId="87" xfId="0" applyFont="1" applyFill="1" applyBorder="1">
      <alignment vertical="center"/>
    </xf>
    <xf numFmtId="0" fontId="0" fillId="2" borderId="88" xfId="0" applyFill="1" applyBorder="1">
      <alignment vertical="center"/>
    </xf>
    <xf numFmtId="0" fontId="2" fillId="2" borderId="83" xfId="0" quotePrefix="1" applyFont="1" applyFill="1" applyBorder="1" applyAlignment="1">
      <alignment horizontal="left" vertical="center"/>
    </xf>
    <xf numFmtId="0" fontId="2" fillId="2" borderId="0" xfId="0" applyFont="1" applyFill="1" applyBorder="1">
      <alignment vertical="center"/>
    </xf>
    <xf numFmtId="0" fontId="0" fillId="2" borderId="89" xfId="0" applyFill="1" applyBorder="1">
      <alignment vertical="center"/>
    </xf>
    <xf numFmtId="0" fontId="0" fillId="7" borderId="94" xfId="0" applyFill="1" applyBorder="1">
      <alignment vertical="center"/>
    </xf>
    <xf numFmtId="0" fontId="0" fillId="7" borderId="72" xfId="0" applyFill="1" applyBorder="1" applyAlignment="1">
      <alignment horizontal="center" vertical="center"/>
    </xf>
    <xf numFmtId="0" fontId="0" fillId="7" borderId="83" xfId="0" applyFill="1" applyBorder="1">
      <alignment vertical="center"/>
    </xf>
    <xf numFmtId="0" fontId="0" fillId="7" borderId="22" xfId="0" applyFill="1" applyBorder="1">
      <alignment vertical="center"/>
    </xf>
    <xf numFmtId="0" fontId="0" fillId="2" borderId="78" xfId="0" applyFill="1" applyBorder="1" applyAlignment="1">
      <alignment horizontal="center" vertical="center"/>
    </xf>
    <xf numFmtId="0" fontId="22" fillId="2" borderId="0" xfId="0" applyFont="1" applyFill="1" applyAlignment="1">
      <alignment horizontal="center" vertical="center"/>
    </xf>
    <xf numFmtId="0" fontId="10" fillId="2" borderId="3" xfId="0" applyFont="1" applyFill="1" applyBorder="1" applyAlignment="1">
      <alignment horizontal="right" vertical="center"/>
    </xf>
    <xf numFmtId="4" fontId="0" fillId="2" borderId="0" xfId="0" applyNumberFormat="1" applyFill="1" applyBorder="1" applyAlignment="1">
      <alignment horizontal="center" vertical="center"/>
    </xf>
    <xf numFmtId="0" fontId="2" fillId="2" borderId="0" xfId="0" applyFont="1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23" fillId="2" borderId="0" xfId="0" applyFont="1" applyFill="1" applyAlignment="1">
      <alignment horizontal="center" vertical="center"/>
    </xf>
    <xf numFmtId="0" fontId="2" fillId="2" borderId="78" xfId="0" applyFont="1" applyFill="1" applyBorder="1" applyAlignment="1">
      <alignment vertical="center"/>
    </xf>
    <xf numFmtId="0" fontId="0" fillId="2" borderId="78" xfId="0" applyFill="1" applyBorder="1" applyAlignment="1">
      <alignment vertical="center"/>
    </xf>
    <xf numFmtId="4" fontId="0" fillId="2" borderId="78" xfId="0" applyNumberFormat="1" applyFill="1" applyBorder="1" applyAlignment="1">
      <alignment horizontal="center" vertical="center"/>
    </xf>
    <xf numFmtId="0" fontId="3" fillId="7" borderId="98" xfId="0" applyFont="1" applyFill="1" applyBorder="1" applyAlignment="1">
      <alignment horizontal="center" vertical="center"/>
    </xf>
    <xf numFmtId="0" fontId="3" fillId="7" borderId="71" xfId="0" applyFont="1" applyFill="1" applyBorder="1" applyAlignment="1">
      <alignment horizontal="center" vertical="center"/>
    </xf>
    <xf numFmtId="0" fontId="3" fillId="7" borderId="100" xfId="0" applyFont="1" applyFill="1" applyBorder="1" applyAlignment="1">
      <alignment horizontal="center" vertical="center"/>
    </xf>
    <xf numFmtId="0" fontId="3" fillId="7" borderId="101" xfId="0" applyFont="1" applyFill="1" applyBorder="1" applyAlignment="1">
      <alignment horizontal="center" vertical="center"/>
    </xf>
    <xf numFmtId="0" fontId="4" fillId="7" borderId="31" xfId="0" applyFont="1" applyFill="1" applyBorder="1" applyAlignment="1">
      <alignment horizontal="center" vertical="center"/>
    </xf>
    <xf numFmtId="0" fontId="4" fillId="7" borderId="102" xfId="0" applyFont="1" applyFill="1" applyBorder="1" applyAlignment="1">
      <alignment horizontal="center" vertical="center"/>
    </xf>
    <xf numFmtId="0" fontId="0" fillId="2" borderId="103" xfId="0" applyFill="1" applyBorder="1" applyAlignment="1">
      <alignment horizontal="center" vertical="center"/>
    </xf>
    <xf numFmtId="0" fontId="0" fillId="2" borderId="104" xfId="0" applyFill="1" applyBorder="1" applyAlignment="1">
      <alignment horizontal="center" vertical="center"/>
    </xf>
    <xf numFmtId="0" fontId="0" fillId="2" borderId="105" xfId="0" applyFill="1" applyBorder="1" applyAlignment="1">
      <alignment horizontal="center" vertical="center"/>
    </xf>
    <xf numFmtId="0" fontId="0" fillId="2" borderId="106" xfId="0" applyFill="1" applyBorder="1" applyAlignment="1">
      <alignment horizontal="center" vertical="center"/>
    </xf>
    <xf numFmtId="0" fontId="0" fillId="2" borderId="107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4" fillId="2" borderId="0" xfId="0" applyFont="1" applyFill="1" applyBorder="1" applyAlignment="1">
      <alignment vertical="center" wrapText="1"/>
    </xf>
    <xf numFmtId="0" fontId="24" fillId="2" borderId="0" xfId="0" quotePrefix="1" applyFont="1" applyFill="1">
      <alignment vertical="center"/>
    </xf>
    <xf numFmtId="0" fontId="25" fillId="8" borderId="6" xfId="0" applyFont="1" applyFill="1" applyBorder="1" applyAlignment="1">
      <alignment horizontal="center" vertical="center"/>
    </xf>
    <xf numFmtId="177" fontId="4" fillId="2" borderId="6" xfId="0" applyNumberFormat="1" applyFont="1" applyFill="1" applyBorder="1">
      <alignment vertical="center"/>
    </xf>
    <xf numFmtId="0" fontId="4" fillId="2" borderId="6" xfId="0" applyFont="1" applyFill="1" applyBorder="1">
      <alignment vertical="center"/>
    </xf>
    <xf numFmtId="0" fontId="4" fillId="9" borderId="3" xfId="0" applyFont="1" applyFill="1" applyBorder="1" applyAlignment="1">
      <alignment horizontal="right" vertical="center"/>
    </xf>
    <xf numFmtId="1" fontId="0" fillId="0" borderId="7" xfId="0" applyNumberFormat="1" applyBorder="1" applyAlignment="1">
      <alignment horizontal="center" vertical="center"/>
    </xf>
    <xf numFmtId="178" fontId="0" fillId="2" borderId="15" xfId="0" applyNumberFormat="1" applyFill="1" applyBorder="1" applyAlignment="1">
      <alignment horizontal="center" vertical="center"/>
    </xf>
    <xf numFmtId="178" fontId="0" fillId="2" borderId="13" xfId="0" applyNumberFormat="1" applyFill="1" applyBorder="1" applyAlignment="1">
      <alignment horizontal="center" vertical="center"/>
    </xf>
    <xf numFmtId="178" fontId="0" fillId="2" borderId="14" xfId="0" applyNumberFormat="1" applyFill="1" applyBorder="1" applyAlignment="1">
      <alignment horizontal="center" vertical="center"/>
    </xf>
    <xf numFmtId="178" fontId="0" fillId="2" borderId="8" xfId="0" applyNumberFormat="1" applyFill="1" applyBorder="1" applyAlignment="1">
      <alignment horizontal="center" vertical="center"/>
    </xf>
    <xf numFmtId="178" fontId="0" fillId="2" borderId="7" xfId="0" applyNumberFormat="1" applyFill="1" applyBorder="1" applyAlignment="1">
      <alignment horizontal="center" vertical="center"/>
    </xf>
    <xf numFmtId="178" fontId="0" fillId="2" borderId="108" xfId="0" applyNumberFormat="1" applyFill="1" applyBorder="1" applyAlignment="1">
      <alignment horizontal="center" vertical="center"/>
    </xf>
    <xf numFmtId="178" fontId="0" fillId="2" borderId="6" xfId="0" applyNumberFormat="1" applyFill="1" applyBorder="1" applyAlignment="1">
      <alignment horizontal="center" vertical="center"/>
    </xf>
    <xf numFmtId="176" fontId="0" fillId="2" borderId="8" xfId="0" applyNumberFormat="1" applyFill="1" applyBorder="1" applyAlignment="1">
      <alignment horizontal="center" vertical="center"/>
    </xf>
    <xf numFmtId="178" fontId="0" fillId="2" borderId="12" xfId="0" applyNumberFormat="1" applyFill="1" applyBorder="1" applyAlignment="1">
      <alignment horizontal="center" vertical="center"/>
    </xf>
    <xf numFmtId="178" fontId="0" fillId="0" borderId="12" xfId="0" applyNumberFormat="1" applyBorder="1" applyAlignment="1">
      <alignment horizontal="center" vertical="center"/>
    </xf>
    <xf numFmtId="178" fontId="0" fillId="0" borderId="13" xfId="0" applyNumberFormat="1" applyBorder="1" applyAlignment="1">
      <alignment horizontal="center" vertical="center"/>
    </xf>
    <xf numFmtId="178" fontId="0" fillId="0" borderId="14" xfId="0" applyNumberFormat="1" applyBorder="1" applyAlignment="1">
      <alignment horizontal="center" vertical="center"/>
    </xf>
    <xf numFmtId="179" fontId="4" fillId="2" borderId="3" xfId="0" applyNumberFormat="1" applyFont="1" applyFill="1" applyBorder="1" applyAlignment="1">
      <alignment horizontal="right" vertical="center"/>
    </xf>
    <xf numFmtId="0" fontId="11" fillId="2" borderId="3" xfId="0" applyFont="1" applyFill="1" applyBorder="1" applyAlignment="1">
      <alignment horizontal="right" vertical="center"/>
    </xf>
    <xf numFmtId="0" fontId="26" fillId="3" borderId="11" xfId="0" applyFont="1" applyFill="1" applyBorder="1" applyAlignment="1">
      <alignment horizontal="right" vertical="center"/>
    </xf>
    <xf numFmtId="0" fontId="15" fillId="7" borderId="0" xfId="0" applyFont="1" applyFill="1" applyAlignment="1">
      <alignment horizontal="center" vertical="center"/>
    </xf>
    <xf numFmtId="0" fontId="4" fillId="2" borderId="9" xfId="0" applyFont="1" applyFill="1" applyBorder="1" applyAlignment="1">
      <alignment horizontal="left" vertical="center" wrapText="1" indent="1"/>
    </xf>
    <xf numFmtId="0" fontId="4" fillId="2" borderId="56" xfId="0" applyFont="1" applyFill="1" applyBorder="1" applyAlignment="1">
      <alignment horizontal="left" vertical="center" wrapText="1" indent="1"/>
    </xf>
    <xf numFmtId="0" fontId="4" fillId="2" borderId="10" xfId="0" applyFont="1" applyFill="1" applyBorder="1" applyAlignment="1">
      <alignment horizontal="left" vertical="center" wrapText="1" indent="1"/>
    </xf>
    <xf numFmtId="0" fontId="14" fillId="2" borderId="21" xfId="0" applyFont="1" applyFill="1" applyBorder="1" applyAlignment="1">
      <alignment horizontal="right" vertical="center" indent="1"/>
    </xf>
    <xf numFmtId="0" fontId="14" fillId="2" borderId="22" xfId="0" applyFont="1" applyFill="1" applyBorder="1" applyAlignment="1">
      <alignment horizontal="right" vertical="center" indent="1"/>
    </xf>
    <xf numFmtId="0" fontId="14" fillId="2" borderId="57" xfId="0" applyFont="1" applyFill="1" applyBorder="1" applyAlignment="1">
      <alignment horizontal="right" vertical="center" indent="1"/>
    </xf>
    <xf numFmtId="0" fontId="14" fillId="5" borderId="32" xfId="0" quotePrefix="1" applyFont="1" applyFill="1" applyBorder="1" applyAlignment="1">
      <alignment horizontal="center" vertical="center"/>
    </xf>
    <xf numFmtId="0" fontId="14" fillId="5" borderId="33" xfId="0" quotePrefix="1" applyFont="1" applyFill="1" applyBorder="1" applyAlignment="1">
      <alignment horizontal="center" vertical="center"/>
    </xf>
    <xf numFmtId="0" fontId="14" fillId="5" borderId="34" xfId="0" quotePrefix="1" applyFont="1" applyFill="1" applyBorder="1" applyAlignment="1">
      <alignment horizontal="center" vertical="center"/>
    </xf>
    <xf numFmtId="0" fontId="14" fillId="5" borderId="39" xfId="0" quotePrefix="1" applyFont="1" applyFill="1" applyBorder="1" applyAlignment="1">
      <alignment horizontal="center" vertical="center"/>
    </xf>
    <xf numFmtId="0" fontId="14" fillId="5" borderId="1" xfId="0" quotePrefix="1" applyFont="1" applyFill="1" applyBorder="1" applyAlignment="1">
      <alignment horizontal="center" vertical="center"/>
    </xf>
    <xf numFmtId="0" fontId="14" fillId="5" borderId="40" xfId="0" quotePrefix="1" applyFont="1" applyFill="1" applyBorder="1" applyAlignment="1">
      <alignment horizontal="center" vertical="center"/>
    </xf>
    <xf numFmtId="0" fontId="18" fillId="7" borderId="0" xfId="0" applyFont="1" applyFill="1" applyAlignment="1">
      <alignment horizontal="center" vertical="center"/>
    </xf>
    <xf numFmtId="0" fontId="0" fillId="6" borderId="67" xfId="0" applyFill="1" applyBorder="1" applyAlignment="1">
      <alignment horizontal="left" vertical="center" indent="1"/>
    </xf>
    <xf numFmtId="0" fontId="0" fillId="6" borderId="68" xfId="0" applyFill="1" applyBorder="1" applyAlignment="1">
      <alignment horizontal="left" vertical="center" indent="1"/>
    </xf>
    <xf numFmtId="0" fontId="0" fillId="6" borderId="69" xfId="0" applyFill="1" applyBorder="1" applyAlignment="1">
      <alignment horizontal="left" vertical="center" indent="1"/>
    </xf>
    <xf numFmtId="0" fontId="14" fillId="5" borderId="90" xfId="0" quotePrefix="1" applyFont="1" applyFill="1" applyBorder="1" applyAlignment="1">
      <alignment horizontal="center" vertical="center"/>
    </xf>
    <xf numFmtId="0" fontId="14" fillId="5" borderId="91" xfId="0" applyFont="1" applyFill="1" applyBorder="1" applyAlignment="1">
      <alignment horizontal="center" vertical="center"/>
    </xf>
    <xf numFmtId="0" fontId="14" fillId="5" borderId="92" xfId="0" applyFont="1" applyFill="1" applyBorder="1" applyAlignment="1">
      <alignment horizontal="center" vertical="center"/>
    </xf>
    <xf numFmtId="0" fontId="0" fillId="7" borderId="93" xfId="0" applyFill="1" applyBorder="1" applyAlignment="1">
      <alignment horizontal="center" vertical="center" wrapText="1"/>
    </xf>
    <xf numFmtId="0" fontId="0" fillId="7" borderId="73" xfId="0" applyFill="1" applyBorder="1" applyAlignment="1">
      <alignment horizontal="center" vertical="center"/>
    </xf>
    <xf numFmtId="0" fontId="0" fillId="7" borderId="75" xfId="0" applyFill="1" applyBorder="1" applyAlignment="1">
      <alignment horizontal="center" vertical="center"/>
    </xf>
    <xf numFmtId="0" fontId="14" fillId="5" borderId="95" xfId="0" applyFont="1" applyFill="1" applyBorder="1" applyAlignment="1">
      <alignment horizontal="center" vertical="center"/>
    </xf>
    <xf numFmtId="0" fontId="14" fillId="5" borderId="96" xfId="0" applyFont="1" applyFill="1" applyBorder="1" applyAlignment="1">
      <alignment horizontal="center" vertical="center"/>
    </xf>
    <xf numFmtId="0" fontId="14" fillId="5" borderId="97" xfId="0" applyFont="1" applyFill="1" applyBorder="1" applyAlignment="1">
      <alignment horizontal="center" vertical="center"/>
    </xf>
    <xf numFmtId="0" fontId="0" fillId="7" borderId="67" xfId="0" applyFill="1" applyBorder="1" applyAlignment="1">
      <alignment horizontal="center" vertical="center"/>
    </xf>
    <xf numFmtId="0" fontId="0" fillId="7" borderId="68" xfId="0" applyFill="1" applyBorder="1" applyAlignment="1">
      <alignment horizontal="center" vertical="center"/>
    </xf>
    <xf numFmtId="0" fontId="0" fillId="7" borderId="99" xfId="0" applyFill="1" applyBorder="1" applyAlignment="1">
      <alignment horizontal="center" vertical="center"/>
    </xf>
    <xf numFmtId="0" fontId="21" fillId="6" borderId="64" xfId="0" applyFont="1" applyFill="1" applyBorder="1" applyAlignment="1">
      <alignment horizontal="left" vertical="center" indent="1"/>
    </xf>
    <xf numFmtId="0" fontId="21" fillId="6" borderId="65" xfId="0" applyFont="1" applyFill="1" applyBorder="1" applyAlignment="1">
      <alignment horizontal="left" vertical="center" indent="1"/>
    </xf>
    <xf numFmtId="0" fontId="21" fillId="6" borderId="66" xfId="0" applyFont="1" applyFill="1" applyBorder="1" applyAlignment="1">
      <alignment horizontal="left" vertical="center" indent="1"/>
    </xf>
    <xf numFmtId="0" fontId="0" fillId="6" borderId="61" xfId="0" applyFill="1" applyBorder="1" applyAlignment="1">
      <alignment horizontal="left" vertical="center" indent="1"/>
    </xf>
    <xf numFmtId="0" fontId="0" fillId="6" borderId="62" xfId="0" applyFill="1" applyBorder="1" applyAlignment="1">
      <alignment horizontal="left" vertical="center" indent="1"/>
    </xf>
    <xf numFmtId="0" fontId="0" fillId="6" borderId="63" xfId="0" applyFill="1" applyBorder="1" applyAlignment="1">
      <alignment horizontal="left" vertical="center" indent="1"/>
    </xf>
    <xf numFmtId="0" fontId="0" fillId="6" borderId="64" xfId="0" applyFill="1" applyBorder="1" applyAlignment="1">
      <alignment horizontal="left" vertical="center" indent="1"/>
    </xf>
    <xf numFmtId="0" fontId="0" fillId="6" borderId="65" xfId="0" applyFill="1" applyBorder="1" applyAlignment="1">
      <alignment horizontal="left" vertical="center" indent="1"/>
    </xf>
    <xf numFmtId="0" fontId="0" fillId="6" borderId="66" xfId="0" applyFill="1" applyBorder="1" applyAlignment="1">
      <alignment horizontal="left" vertical="center" indent="1"/>
    </xf>
    <xf numFmtId="0" fontId="25" fillId="8" borderId="10" xfId="0" applyFont="1" applyFill="1" applyBorder="1" applyAlignment="1">
      <alignment horizontal="center" vertical="center"/>
    </xf>
    <xf numFmtId="0" fontId="25" fillId="8" borderId="9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15239</xdr:colOff>
      <xdr:row>24</xdr:row>
      <xdr:rowOff>126852</xdr:rowOff>
    </xdr:from>
    <xdr:to>
      <xdr:col>4</xdr:col>
      <xdr:colOff>2240039</xdr:colOff>
      <xdr:row>24</xdr:row>
      <xdr:rowOff>539228</xdr:rowOff>
    </xdr:to>
    <xdr:sp macro="[0]!FindHeatLoss" textlink="">
      <xdr:nvSpPr>
        <xdr:cNvPr id="5" name="TextBox 4"/>
        <xdr:cNvSpPr txBox="1"/>
      </xdr:nvSpPr>
      <xdr:spPr>
        <a:xfrm>
          <a:off x="2407919" y="12783672"/>
          <a:ext cx="2224800" cy="412376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19050" cmpd="sng">
          <a:solidFill>
            <a:schemeClr val="tx1">
              <a:lumMod val="50000"/>
              <a:lumOff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ko-KR" altLang="en-US" sz="1400" b="1"/>
            <a:t>계 산 </a:t>
          </a:r>
          <a:r>
            <a:rPr lang="en-US" altLang="ko-KR" sz="1400" b="1"/>
            <a:t>(CLICK)</a:t>
          </a:r>
          <a:endParaRPr lang="ko-KR" altLang="en-US" sz="1400" b="1"/>
        </a:p>
      </xdr:txBody>
    </xdr:sp>
    <xdr:clientData/>
  </xdr:twoCellAnchor>
  <xdr:twoCellAnchor>
    <xdr:from>
      <xdr:col>10</xdr:col>
      <xdr:colOff>570597</xdr:colOff>
      <xdr:row>18</xdr:row>
      <xdr:rowOff>14221</xdr:rowOff>
    </xdr:from>
    <xdr:to>
      <xdr:col>10</xdr:col>
      <xdr:colOff>4102693</xdr:colOff>
      <xdr:row>24</xdr:row>
      <xdr:rowOff>527529</xdr:rowOff>
    </xdr:to>
    <xdr:pic>
      <xdr:nvPicPr>
        <xdr:cNvPr id="19" name="그림 18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8149776" y="11648328"/>
          <a:ext cx="3532096" cy="2146165"/>
        </a:xfrm>
        <a:prstGeom prst="rect">
          <a:avLst/>
        </a:prstGeom>
        <a:noFill/>
        <a:ln>
          <a:solidFill>
            <a:schemeClr val="tx1">
              <a:lumMod val="50000"/>
              <a:lumOff val="50000"/>
            </a:schemeClr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4294910</xdr:colOff>
      <xdr:row>18</xdr:row>
      <xdr:rowOff>2723</xdr:rowOff>
    </xdr:from>
    <xdr:to>
      <xdr:col>10</xdr:col>
      <xdr:colOff>6525491</xdr:colOff>
      <xdr:row>24</xdr:row>
      <xdr:rowOff>549800</xdr:rowOff>
    </xdr:to>
    <xdr:pic>
      <xdr:nvPicPr>
        <xdr:cNvPr id="22" name="그림 21"/>
        <xdr:cNvPicPr>
          <a:picLocks noChangeAspect="1" noChangeArrowheads="1"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1874089" y="11636830"/>
          <a:ext cx="2230581" cy="2179934"/>
        </a:xfrm>
        <a:prstGeom prst="rect">
          <a:avLst/>
        </a:prstGeom>
        <a:noFill/>
        <a:ln>
          <a:solidFill>
            <a:schemeClr val="tx1">
              <a:lumMod val="50000"/>
              <a:lumOff val="50000"/>
            </a:schemeClr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221877</xdr:colOff>
      <xdr:row>7</xdr:row>
      <xdr:rowOff>156882</xdr:rowOff>
    </xdr:from>
    <xdr:to>
      <xdr:col>11</xdr:col>
      <xdr:colOff>504265</xdr:colOff>
      <xdr:row>10</xdr:row>
      <xdr:rowOff>201707</xdr:rowOff>
    </xdr:to>
    <xdr:sp macro="[0]!InsulThickTable" textlink="">
      <xdr:nvSpPr>
        <xdr:cNvPr id="3" name="직사각형 2"/>
        <xdr:cNvSpPr/>
      </xdr:nvSpPr>
      <xdr:spPr>
        <a:xfrm>
          <a:off x="5701553" y="1703294"/>
          <a:ext cx="1649506" cy="851648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22225">
          <a:solidFill>
            <a:schemeClr val="tx1">
              <a:lumMod val="50000"/>
              <a:lumOff val="50000"/>
            </a:schemeClr>
          </a:solidFill>
        </a:ln>
        <a:effectLst>
          <a:outerShdw blurRad="50800" dist="38100" dir="2700000" algn="tl" rotWithShape="0">
            <a:schemeClr val="tx1">
              <a:alpha val="40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>
              <a:solidFill>
                <a:sysClr val="windowText" lastClr="000000"/>
              </a:solidFill>
              <a:latin typeface="+mj-ea"/>
              <a:ea typeface="+mj-ea"/>
            </a:rPr>
            <a:t>표 작성 </a:t>
          </a:r>
          <a:r>
            <a:rPr lang="en-US" altLang="ko-KR" sz="1400" b="1">
              <a:solidFill>
                <a:sysClr val="windowText" lastClr="000000"/>
              </a:solidFill>
              <a:latin typeface="+mj-ea"/>
              <a:ea typeface="+mj-ea"/>
            </a:rPr>
            <a:t>(CLICK)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115956</xdr:colOff>
      <xdr:row>72</xdr:row>
      <xdr:rowOff>115956</xdr:rowOff>
    </xdr:from>
    <xdr:ext cx="1259384" cy="32239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/>
            <xdr:cNvSpPr txBox="1"/>
          </xdr:nvSpPr>
          <xdr:spPr>
            <a:xfrm>
              <a:off x="7297806" y="15203556"/>
              <a:ext cx="1259384" cy="3223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altLang="ko-KR" sz="10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𝑓𝑙𝑢𝑖𝑑</m:t>
                        </m:r>
                      </m:sub>
                    </m:sSub>
                    <m:r>
                      <a:rPr lang="en-US" altLang="ko-KR" sz="10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altLang="ko-KR" sz="1000" b="0" i="1">
                        <a:latin typeface="Cambria Math" panose="02040503050406030204" pitchFamily="18" charset="0"/>
                      </a:rPr>
                      <m:t>𝑁</m:t>
                    </m:r>
                    <m:sSub>
                      <m:sSubPr>
                        <m:ctrlPr>
                          <a:rPr lang="en-US" altLang="ko-KR" sz="10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𝑢</m:t>
                        </m:r>
                      </m:e>
                      <m:sub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𝑓𝑙𝑢𝑖𝑑</m:t>
                        </m:r>
                      </m:sub>
                    </m:sSub>
                    <m:f>
                      <m:fPr>
                        <m:ctrlPr>
                          <a:rPr lang="en-US" altLang="ko-KR" sz="1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  <m:t>𝑘</m:t>
                            </m:r>
                          </m:e>
                          <m:sub>
                            <m: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  <m:t>𝑓𝑙𝑢𝑖𝑑</m:t>
                            </m:r>
                          </m:sub>
                        </m:sSub>
                      </m:num>
                      <m:den>
                        <m:r>
                          <a:rPr lang="en-US" altLang="ko-KR" sz="1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𝐷</m:t>
                        </m:r>
                        <m:r>
                          <a:rPr lang="en-US" altLang="ko-KR" sz="1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_</m:t>
                        </m:r>
                        <m:r>
                          <a:rPr lang="en-US" altLang="ko-KR" sz="1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𝑝𝑖</m:t>
                        </m:r>
                      </m:den>
                    </m:f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2" name="TextBox 1"/>
            <xdr:cNvSpPr txBox="1"/>
          </xdr:nvSpPr>
          <xdr:spPr>
            <a:xfrm>
              <a:off x="7297806" y="15203556"/>
              <a:ext cx="1259384" cy="3223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altLang="ko-KR" sz="1000" b="0" i="0">
                  <a:latin typeface="Cambria Math" panose="02040503050406030204" pitchFamily="18" charset="0"/>
                </a:rPr>
                <a:t>ℎ_𝑓𝑙𝑢𝑖𝑑=𝑁𝑢_𝑓𝑙𝑢𝑖𝑑  𝑘_𝑓𝑙𝑢𝑖𝑑/(</a:t>
              </a:r>
              <a:r>
                <a:rPr lang="en-US" altLang="ko-KR" sz="1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𝐷_𝑝𝑖)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82825</xdr:colOff>
      <xdr:row>76</xdr:row>
      <xdr:rowOff>16565</xdr:rowOff>
    </xdr:from>
    <xdr:ext cx="1484701" cy="16921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/>
            <xdr:cNvSpPr txBox="1"/>
          </xdr:nvSpPr>
          <xdr:spPr>
            <a:xfrm>
              <a:off x="7264675" y="15942365"/>
              <a:ext cx="1484701" cy="16921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000" b="0" i="1">
                        <a:latin typeface="Cambria Math" panose="02040503050406030204" pitchFamily="18" charset="0"/>
                      </a:rPr>
                      <m:t>𝑁</m:t>
                    </m:r>
                    <m:sSub>
                      <m:sSubPr>
                        <m:ctrlPr>
                          <a:rPr lang="en-US" altLang="ko-KR" sz="10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𝑢</m:t>
                        </m:r>
                      </m:e>
                      <m:sub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𝑓𝑙𝑢𝑖𝑑</m:t>
                        </m:r>
                      </m:sub>
                    </m:sSub>
                    <m:r>
                      <a:rPr lang="en-US" altLang="ko-KR" sz="1000" b="0" i="1">
                        <a:latin typeface="Cambria Math" panose="02040503050406030204" pitchFamily="18" charset="0"/>
                      </a:rPr>
                      <m:t>=0.023</m:t>
                    </m:r>
                    <m:sSup>
                      <m:sSupPr>
                        <m:ctrlPr>
                          <a:rPr lang="en-US" altLang="ko-KR" sz="10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𝑅𝑒</m:t>
                        </m:r>
                      </m:e>
                      <m:sup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0.8</m:t>
                        </m:r>
                      </m:sup>
                    </m:sSup>
                    <m:sSup>
                      <m:sSupPr>
                        <m:ctrlPr>
                          <a:rPr lang="en-US" altLang="ko-KR" sz="10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𝑃𝑟</m:t>
                        </m:r>
                      </m:e>
                      <m:sup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0.4</m:t>
                        </m:r>
                      </m:sup>
                    </m:sSup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7264675" y="15942365"/>
              <a:ext cx="1484701" cy="16921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altLang="ko-KR" sz="1000" b="0" i="0">
                  <a:latin typeface="Cambria Math" panose="02040503050406030204" pitchFamily="18" charset="0"/>
                </a:rPr>
                <a:t>𝑁𝑢_𝑓𝑙𝑢𝑖𝑑=0.023〖𝑅𝑒〗^0.8 〖𝑃𝑟〗^0.4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6</xdr:col>
      <xdr:colOff>0</xdr:colOff>
      <xdr:row>88</xdr:row>
      <xdr:rowOff>0</xdr:rowOff>
    </xdr:from>
    <xdr:ext cx="75623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/>
            <xdr:cNvSpPr txBox="1"/>
          </xdr:nvSpPr>
          <xdr:spPr>
            <a:xfrm>
              <a:off x="3581400" y="18440400"/>
              <a:ext cx="75623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𝑃𝑟</m:t>
                    </m:r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ko-KR" altLang="en-US" sz="1100" b="0" i="1">
                        <a:latin typeface="Cambria Math" panose="02040503050406030204" pitchFamily="18" charset="0"/>
                      </a:rPr>
                      <m:t>𝜇</m:t>
                    </m:r>
                    <m:sSub>
                      <m:sSubPr>
                        <m:ctrlPr>
                          <a:rPr lang="en-US" altLang="ko-KR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b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sub>
                    </m:sSub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/</m:t>
                    </m:r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𝑘</m:t>
                    </m:r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3581400" y="18440400"/>
              <a:ext cx="75623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altLang="ko-KR" sz="1100" b="0" i="0">
                  <a:latin typeface="Cambria Math" panose="02040503050406030204" pitchFamily="18" charset="0"/>
                </a:rPr>
                <a:t>𝑃𝑟=</a:t>
              </a:r>
              <a:r>
                <a:rPr lang="ko-KR" altLang="en-US" sz="1100" b="0" i="0">
                  <a:latin typeface="Cambria Math" panose="02040503050406030204" pitchFamily="18" charset="0"/>
                </a:rPr>
                <a:t>𝜇</a:t>
              </a:r>
              <a:r>
                <a:rPr lang="en-US" altLang="ko-KR" sz="1100" b="0" i="0">
                  <a:latin typeface="Cambria Math" panose="02040503050406030204" pitchFamily="18" charset="0"/>
                </a:rPr>
                <a:t>𝐶_𝑃/𝑘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11</xdr:col>
      <xdr:colOff>41412</xdr:colOff>
      <xdr:row>93</xdr:row>
      <xdr:rowOff>132521</xdr:rowOff>
    </xdr:from>
    <xdr:ext cx="1159548" cy="30623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/>
            <xdr:cNvSpPr txBox="1"/>
          </xdr:nvSpPr>
          <xdr:spPr>
            <a:xfrm>
              <a:off x="7223262" y="19620671"/>
              <a:ext cx="1159548" cy="3062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altLang="ko-KR" sz="10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𝑎𝑚𝑏</m:t>
                        </m:r>
                      </m:sub>
                    </m:sSub>
                    <m:r>
                      <a:rPr lang="en-US" altLang="ko-KR" sz="10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altLang="ko-KR" sz="1000" b="0" i="1">
                        <a:latin typeface="Cambria Math" panose="02040503050406030204" pitchFamily="18" charset="0"/>
                      </a:rPr>
                      <m:t>𝑁</m:t>
                    </m:r>
                    <m:sSub>
                      <m:sSubPr>
                        <m:ctrlPr>
                          <a:rPr lang="en-US" altLang="ko-KR" sz="10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𝑢</m:t>
                        </m:r>
                      </m:e>
                      <m:sub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𝑎𝑚𝑏</m:t>
                        </m:r>
                      </m:sub>
                    </m:sSub>
                    <m:f>
                      <m:fPr>
                        <m:ctrlPr>
                          <a:rPr lang="en-US" altLang="ko-KR" sz="1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  <m:t>𝑘</m:t>
                            </m:r>
                          </m:e>
                          <m:sub>
                            <m: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  <m:t>𝑎𝑚𝑏</m:t>
                            </m:r>
                          </m:sub>
                        </m:sSub>
                      </m:num>
                      <m:den>
                        <m:r>
                          <a:rPr lang="en-US" altLang="ko-KR" sz="1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𝐷</m:t>
                        </m:r>
                        <m:r>
                          <a:rPr lang="en-US" altLang="ko-KR" sz="1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_</m:t>
                        </m:r>
                        <m:r>
                          <a:rPr lang="en-US" altLang="ko-KR" sz="1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𝑖𝑜</m:t>
                        </m:r>
                      </m:den>
                    </m:f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/>
            <xdr:cNvSpPr txBox="1"/>
          </xdr:nvSpPr>
          <xdr:spPr>
            <a:xfrm>
              <a:off x="7223262" y="19620671"/>
              <a:ext cx="1159548" cy="3062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altLang="ko-KR" sz="1000" b="0" i="0">
                  <a:latin typeface="Cambria Math" panose="02040503050406030204" pitchFamily="18" charset="0"/>
                </a:rPr>
                <a:t>ℎ_𝑎𝑚𝑏=𝑁𝑢_𝑎𝑚𝑏  𝑘_𝑎𝑚𝑏/(</a:t>
              </a:r>
              <a:r>
                <a:rPr lang="en-US" altLang="ko-KR" sz="1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𝐷_𝑖𝑜)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115957</xdr:colOff>
      <xdr:row>101</xdr:row>
      <xdr:rowOff>24848</xdr:rowOff>
    </xdr:from>
    <xdr:ext cx="687624" cy="15651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/>
            <xdr:cNvSpPr txBox="1"/>
          </xdr:nvSpPr>
          <xdr:spPr>
            <a:xfrm>
              <a:off x="7297807" y="21189398"/>
              <a:ext cx="687624" cy="15651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000" b="0" i="1">
                        <a:latin typeface="Cambria Math" panose="02040503050406030204" pitchFamily="18" charset="0"/>
                      </a:rPr>
                      <m:t>𝑃𝑟</m:t>
                    </m:r>
                    <m:r>
                      <a:rPr lang="en-US" altLang="ko-KR" sz="10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ko-KR" altLang="en-US" sz="1000" b="0" i="1">
                        <a:latin typeface="Cambria Math" panose="02040503050406030204" pitchFamily="18" charset="0"/>
                      </a:rPr>
                      <m:t>𝜇</m:t>
                    </m:r>
                    <m:sSub>
                      <m:sSubPr>
                        <m:ctrlPr>
                          <a:rPr lang="en-US" altLang="ko-KR" sz="10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b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𝑃</m:t>
                        </m:r>
                      </m:sub>
                    </m:sSub>
                    <m:r>
                      <a:rPr lang="en-US" altLang="ko-KR" sz="1000" b="0" i="1">
                        <a:latin typeface="Cambria Math" panose="02040503050406030204" pitchFamily="18" charset="0"/>
                      </a:rPr>
                      <m:t>/</m:t>
                    </m:r>
                    <m:r>
                      <a:rPr lang="en-US" altLang="ko-KR" sz="1000" b="0" i="1">
                        <a:latin typeface="Cambria Math" panose="02040503050406030204" pitchFamily="18" charset="0"/>
                      </a:rPr>
                      <m:t>𝑘</m:t>
                    </m:r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6" name="TextBox 5"/>
            <xdr:cNvSpPr txBox="1"/>
          </xdr:nvSpPr>
          <xdr:spPr>
            <a:xfrm>
              <a:off x="7297807" y="21189398"/>
              <a:ext cx="687624" cy="15651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altLang="ko-KR" sz="1000" b="0" i="0">
                  <a:latin typeface="Cambria Math" panose="02040503050406030204" pitchFamily="18" charset="0"/>
                </a:rPr>
                <a:t>𝑃𝑟=</a:t>
              </a:r>
              <a:r>
                <a:rPr lang="ko-KR" altLang="en-US" sz="1000" b="0" i="0">
                  <a:latin typeface="Cambria Math" panose="02040503050406030204" pitchFamily="18" charset="0"/>
                </a:rPr>
                <a:t>𝜇</a:t>
              </a:r>
              <a:r>
                <a:rPr lang="en-US" altLang="ko-KR" sz="1000" b="0" i="0">
                  <a:latin typeface="Cambria Math" panose="02040503050406030204" pitchFamily="18" charset="0"/>
                </a:rPr>
                <a:t>𝐶_𝑃/𝑘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646044</xdr:colOff>
      <xdr:row>99</xdr:row>
      <xdr:rowOff>82825</xdr:rowOff>
    </xdr:from>
    <xdr:ext cx="2365391" cy="5347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/>
            <xdr:cNvSpPr txBox="1"/>
          </xdr:nvSpPr>
          <xdr:spPr>
            <a:xfrm>
              <a:off x="7827894" y="20828275"/>
              <a:ext cx="2365391" cy="5347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000" b="0" i="1">
                        <a:latin typeface="Cambria Math" panose="02040503050406030204" pitchFamily="18" charset="0"/>
                      </a:rPr>
                      <m:t>𝑁</m:t>
                    </m:r>
                    <m:sSub>
                      <m:sSubPr>
                        <m:ctrlPr>
                          <a:rPr lang="en-US" altLang="ko-KR" sz="10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𝑢</m:t>
                        </m:r>
                      </m:e>
                      <m:sub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𝑎𝑚𝑏</m:t>
                        </m:r>
                      </m:sub>
                    </m:sSub>
                    <m:r>
                      <a:rPr lang="en-US" altLang="ko-KR" sz="1000" b="0" i="1">
                        <a:latin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n-US" altLang="ko-KR" sz="10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  <m:t>0.60+</m:t>
                            </m:r>
                            <m:f>
                              <m:fPr>
                                <m:ctrlPr>
                                  <a:rPr lang="en-US" altLang="ko-KR" sz="10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n-US" altLang="ko-KR" sz="1000" b="0" i="1">
                                    <a:latin typeface="Cambria Math" panose="02040503050406030204" pitchFamily="18" charset="0"/>
                                  </a:rPr>
                                  <m:t>0.387</m:t>
                                </m:r>
                                <m:sSup>
                                  <m:sSupPr>
                                    <m:ctrlPr>
                                      <a:rPr lang="en-US" altLang="ko-KR" sz="10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pPr>
                                  <m:e>
                                    <m:r>
                                      <a:rPr lang="en-US" altLang="ko-KR" sz="1000" b="0" i="1">
                                        <a:latin typeface="Cambria Math" panose="02040503050406030204" pitchFamily="18" charset="0"/>
                                      </a:rPr>
                                      <m:t>𝑅𝑎</m:t>
                                    </m:r>
                                  </m:e>
                                  <m:sup>
                                    <m:r>
                                      <a:rPr lang="en-US" altLang="ko-KR" sz="1000" b="0" i="1">
                                        <a:latin typeface="Cambria Math" panose="02040503050406030204" pitchFamily="18" charset="0"/>
                                      </a:rPr>
                                      <m:t>1/6</m:t>
                                    </m:r>
                                  </m:sup>
                                </m:sSup>
                              </m:num>
                              <m:den>
                                <m:sSup>
                                  <m:sSupPr>
                                    <m:ctrlPr>
                                      <a:rPr lang="en-US" altLang="ko-KR" sz="10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pPr>
                                  <m:e>
                                    <m:d>
                                      <m:dPr>
                                        <m:begChr m:val="["/>
                                        <m:endChr m:val="]"/>
                                        <m:ctrlPr>
                                          <a:rPr lang="en-US" altLang="ko-KR" sz="10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dPr>
                                      <m:e>
                                        <m:r>
                                          <a:rPr lang="en-US" altLang="ko-KR" sz="10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1+</m:t>
                                        </m:r>
                                        <m:sSup>
                                          <m:sSupPr>
                                            <m:ctrlPr>
                                              <a:rPr lang="en-US" altLang="ko-KR" sz="10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</m:ctrlPr>
                                          </m:sSupPr>
                                          <m:e>
                                            <m:r>
                                              <a:rPr lang="en-US" altLang="ko-KR" sz="10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  <m:t>(</m:t>
                                            </m:r>
                                            <m:f>
                                              <m:fPr>
                                                <m:ctrlPr>
                                                  <a:rPr lang="en-US" altLang="ko-KR" sz="10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+mn-ea"/>
                                                    <a:cs typeface="+mn-cs"/>
                                                  </a:rPr>
                                                </m:ctrlPr>
                                              </m:fPr>
                                              <m:num>
                                                <m:r>
                                                  <a:rPr lang="en-US" altLang="ko-KR" sz="10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+mn-ea"/>
                                                    <a:cs typeface="+mn-cs"/>
                                                  </a:rPr>
                                                  <m:t>0.559</m:t>
                                                </m:r>
                                              </m:num>
                                              <m:den>
                                                <m:r>
                                                  <a:rPr lang="en-US" altLang="ko-KR" sz="10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+mn-ea"/>
                                                    <a:cs typeface="+mn-cs"/>
                                                  </a:rPr>
                                                  <m:t>𝑃𝑟</m:t>
                                                </m:r>
                                              </m:den>
                                            </m:f>
                                            <m:r>
                                              <a:rPr lang="en-US" altLang="ko-KR" sz="10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  <m:t>)</m:t>
                                            </m:r>
                                          </m:e>
                                          <m:sup>
                                            <m:r>
                                              <a:rPr lang="en-US" altLang="ko-KR" sz="10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  <m:t>9/16</m:t>
                                            </m:r>
                                          </m:sup>
                                        </m:sSup>
                                      </m:e>
                                    </m:d>
                                  </m:e>
                                  <m:sup>
                                    <m:r>
                                      <a:rPr lang="en-US" altLang="ko-KR" sz="1000" b="0" i="1">
                                        <a:latin typeface="Cambria Math" panose="02040503050406030204" pitchFamily="18" charset="0"/>
                                      </a:rPr>
                                      <m:t>8/27</m:t>
                                    </m:r>
                                  </m:sup>
                                </m:sSup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7" name="TextBox 6"/>
            <xdr:cNvSpPr txBox="1"/>
          </xdr:nvSpPr>
          <xdr:spPr>
            <a:xfrm>
              <a:off x="7827894" y="20828275"/>
              <a:ext cx="2365391" cy="5347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altLang="ko-KR" sz="1000" b="0" i="0">
                  <a:latin typeface="Cambria Math" panose="02040503050406030204" pitchFamily="18" charset="0"/>
                </a:rPr>
                <a:t>𝑁𝑢_𝑎𝑚𝑏=(0.60+(0.387〖𝑅𝑎〗^(1/6))/</a:t>
              </a:r>
              <a:r>
                <a:rPr lang="en-US" altLang="ko-KR" sz="10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[1+〖(0.559/𝑃𝑟)〗^(9/16) ]^(</a:t>
              </a:r>
              <a:r>
                <a:rPr lang="en-US" altLang="ko-KR" sz="1000" b="0" i="0">
                  <a:latin typeface="Cambria Math" panose="02040503050406030204" pitchFamily="18" charset="0"/>
                </a:rPr>
                <a:t>8/27) )^2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74544</xdr:colOff>
      <xdr:row>105</xdr:row>
      <xdr:rowOff>0</xdr:rowOff>
    </xdr:from>
    <xdr:ext cx="637418" cy="15651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/>
            <xdr:cNvSpPr txBox="1"/>
          </xdr:nvSpPr>
          <xdr:spPr>
            <a:xfrm>
              <a:off x="7256394" y="22002750"/>
              <a:ext cx="637418" cy="15651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000" b="0" i="1">
                        <a:latin typeface="Cambria Math" panose="02040503050406030204" pitchFamily="18" charset="0"/>
                      </a:rPr>
                      <m:t>𝑅𝑎</m:t>
                    </m:r>
                    <m:r>
                      <a:rPr lang="en-US" altLang="ko-KR" sz="10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altLang="ko-KR" sz="1000" b="0" i="1">
                        <a:latin typeface="Cambria Math" panose="02040503050406030204" pitchFamily="18" charset="0"/>
                      </a:rPr>
                      <m:t>𝐺𝑟𝑃𝑟</m:t>
                    </m:r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8" name="TextBox 7"/>
            <xdr:cNvSpPr txBox="1"/>
          </xdr:nvSpPr>
          <xdr:spPr>
            <a:xfrm>
              <a:off x="7256394" y="22002750"/>
              <a:ext cx="637418" cy="15651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altLang="ko-KR" sz="1000" b="0" i="0">
                  <a:latin typeface="Cambria Math" panose="02040503050406030204" pitchFamily="18" charset="0"/>
                </a:rPr>
                <a:t>𝑅𝑎=𝐺𝑟𝑃𝑟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12</xdr:col>
      <xdr:colOff>0</xdr:colOff>
      <xdr:row>106</xdr:row>
      <xdr:rowOff>0</xdr:rowOff>
    </xdr:from>
    <xdr:ext cx="1970090" cy="35798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8"/>
            <xdr:cNvSpPr txBox="1"/>
          </xdr:nvSpPr>
          <xdr:spPr>
            <a:xfrm>
              <a:off x="7867650" y="22212300"/>
              <a:ext cx="1970090" cy="3579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000" b="0" i="1">
                        <a:latin typeface="Cambria Math" panose="02040503050406030204" pitchFamily="18" charset="0"/>
                      </a:rPr>
                      <m:t>𝐺</m:t>
                    </m:r>
                    <m:sSub>
                      <m:sSubPr>
                        <m:ctrlPr>
                          <a:rPr lang="en-US" altLang="ko-KR" sz="10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𝑎𝑚𝑏</m:t>
                        </m:r>
                      </m:sub>
                    </m:sSub>
                    <m:r>
                      <a:rPr lang="en-US" altLang="ko-KR" sz="10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altLang="ko-KR" sz="1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Sup>
                          <m:sSubSupPr>
                            <m:ctrlP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  <m:t>𝐷</m:t>
                            </m:r>
                          </m:e>
                          <m:sub>
                            <m: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  <m:t>𝑖𝑜</m:t>
                            </m:r>
                          </m:sub>
                          <m:sup>
                            <m: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  <m:t>3</m:t>
                            </m:r>
                          </m:sup>
                        </m:sSubSup>
                        <m:sSubSup>
                          <m:sSubSupPr>
                            <m:ctrlP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ko-KR" altLang="en-US" sz="1000" b="0" i="1">
                                <a:latin typeface="Cambria Math" panose="02040503050406030204" pitchFamily="18" charset="0"/>
                              </a:rPr>
                              <m:t>𝜌</m:t>
                            </m:r>
                          </m:e>
                          <m:sub>
                            <m: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  <m:t>𝑎𝑚𝑏</m:t>
                            </m:r>
                          </m:sub>
                          <m:sup>
                            <m: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bSup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𝑔</m:t>
                        </m:r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(</m:t>
                        </m:r>
                        <m:sSub>
                          <m:sSubPr>
                            <m:ctrlP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</m:e>
                          <m:sub>
                            <m: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  <m:t>𝑠𝑢𝑟𝑓</m:t>
                            </m:r>
                          </m:sub>
                        </m:sSub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−</m:t>
                        </m:r>
                        <m:sSub>
                          <m:sSubPr>
                            <m:ctrlP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</m:e>
                          <m:sub>
                            <m: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  <m:t>𝑎𝑚𝑏</m:t>
                            </m:r>
                          </m:sub>
                        </m:sSub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)</m:t>
                        </m:r>
                        <m:r>
                          <a:rPr lang="ko-KR" altLang="en-US" sz="1000" b="0" i="1">
                            <a:latin typeface="Cambria Math" panose="02040503050406030204" pitchFamily="18" charset="0"/>
                          </a:rPr>
                          <m:t>𝛽</m:t>
                        </m:r>
                      </m:num>
                      <m:den>
                        <m:sSubSup>
                          <m:sSubSupPr>
                            <m:ctrlP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ko-KR" altLang="en-US" sz="1000" b="0" i="1">
                                <a:latin typeface="Cambria Math" panose="02040503050406030204" pitchFamily="18" charset="0"/>
                              </a:rPr>
                              <m:t>𝜇</m:t>
                            </m:r>
                          </m:e>
                          <m:sub>
                            <m: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  <m:t>𝑎𝑚𝑏</m:t>
                            </m:r>
                          </m:sub>
                          <m:sup>
                            <m: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bSup>
                      </m:den>
                    </m:f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9" name="TextBox 8"/>
            <xdr:cNvSpPr txBox="1"/>
          </xdr:nvSpPr>
          <xdr:spPr>
            <a:xfrm>
              <a:off x="7867650" y="22212300"/>
              <a:ext cx="1970090" cy="3579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altLang="ko-KR" sz="1000" b="0" i="0">
                  <a:latin typeface="Cambria Math" panose="02040503050406030204" pitchFamily="18" charset="0"/>
                </a:rPr>
                <a:t>𝐺𝑟_𝑎𝑚𝑏=(𝐷_𝑖𝑜^3 </a:t>
              </a:r>
              <a:r>
                <a:rPr lang="ko-KR" altLang="en-US" sz="1000" b="0" i="0">
                  <a:latin typeface="Cambria Math" panose="02040503050406030204" pitchFamily="18" charset="0"/>
                </a:rPr>
                <a:t>𝜌</a:t>
              </a:r>
              <a:r>
                <a:rPr lang="en-US" altLang="ko-KR" sz="1000" b="0" i="0">
                  <a:latin typeface="Cambria Math" panose="02040503050406030204" pitchFamily="18" charset="0"/>
                </a:rPr>
                <a:t>_𝑎𝑚𝑏^2 𝑔(𝑇_𝑠𝑢𝑟𝑓−𝑇_𝑎𝑚𝑏)</a:t>
              </a:r>
              <a:r>
                <a:rPr lang="ko-KR" altLang="en-US" sz="1000" b="0" i="0">
                  <a:latin typeface="Cambria Math" panose="02040503050406030204" pitchFamily="18" charset="0"/>
                </a:rPr>
                <a:t>𝛽</a:t>
              </a:r>
              <a:r>
                <a:rPr lang="en-US" altLang="ko-KR" sz="1000" b="0" i="0">
                  <a:latin typeface="Cambria Math" panose="02040503050406030204" pitchFamily="18" charset="0"/>
                </a:rPr>
                <a:t>)/(</a:t>
              </a:r>
              <a:r>
                <a:rPr lang="ko-KR" altLang="en-US" sz="1000" b="0" i="0">
                  <a:latin typeface="Cambria Math" panose="02040503050406030204" pitchFamily="18" charset="0"/>
                </a:rPr>
                <a:t>𝜇</a:t>
              </a:r>
              <a:r>
                <a:rPr lang="en-US" altLang="ko-KR" sz="1000" b="0" i="0">
                  <a:latin typeface="Cambria Math" panose="02040503050406030204" pitchFamily="18" charset="0"/>
                </a:rPr>
                <a:t>_𝑎𝑚𝑏^2 )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72885</xdr:colOff>
      <xdr:row>116</xdr:row>
      <xdr:rowOff>159854</xdr:rowOff>
    </xdr:from>
    <xdr:ext cx="3317831" cy="56605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/>
            <xdr:cNvSpPr txBox="1"/>
          </xdr:nvSpPr>
          <xdr:spPr>
            <a:xfrm>
              <a:off x="7254735" y="24467654"/>
              <a:ext cx="3317831" cy="56605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000" b="0" i="1">
                        <a:latin typeface="Cambria Math" panose="02040503050406030204" pitchFamily="18" charset="0"/>
                      </a:rPr>
                      <m:t>𝑁</m:t>
                    </m:r>
                    <m:sSub>
                      <m:sSubPr>
                        <m:ctrlPr>
                          <a:rPr lang="en-US" altLang="ko-KR" sz="10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𝑢</m:t>
                        </m:r>
                      </m:e>
                      <m:sub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𝑓𝑜𝑟𝑐𝑒𝑑</m:t>
                        </m:r>
                      </m:sub>
                    </m:sSub>
                    <m:r>
                      <a:rPr lang="en-US" altLang="ko-KR" sz="1000" b="0" i="1">
                        <a:latin typeface="Cambria Math" panose="02040503050406030204" pitchFamily="18" charset="0"/>
                      </a:rPr>
                      <m:t>=0.3+</m:t>
                    </m:r>
                    <m:f>
                      <m:fPr>
                        <m:ctrlPr>
                          <a:rPr lang="en-US" altLang="ko-KR" sz="1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0.62</m:t>
                        </m:r>
                        <m:sSubSup>
                          <m:sSubSupPr>
                            <m:ctrlP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  <m:t>𝑅𝑒</m:t>
                            </m:r>
                          </m:e>
                          <m:sub>
                            <m: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  <m:t>𝑎𝑚𝑏</m:t>
                            </m:r>
                          </m:sub>
                          <m:sup>
                            <m: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  <m:t>1/2</m:t>
                            </m:r>
                          </m:sup>
                        </m:sSubSup>
                        <m:sSup>
                          <m:sSupPr>
                            <m:ctrlP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limLow>
                              <m:limLowPr>
                                <m:ctrlPr>
                                  <a:rPr lang="en-US" altLang="ko-KR" sz="1000" b="0" i="1">
                                    <a:latin typeface="Cambria Math" panose="02040503050406030204" pitchFamily="18" charset="0"/>
                                  </a:rPr>
                                </m:ctrlPr>
                              </m:limLowPr>
                              <m:e>
                                <m:r>
                                  <m:rPr>
                                    <m:sty m:val="p"/>
                                  </m:rPr>
                                  <a:rPr lang="en-US" altLang="ko-KR" sz="1000" b="0" i="0">
                                    <a:latin typeface="Cambria Math" panose="02040503050406030204" pitchFamily="18" charset="0"/>
                                  </a:rPr>
                                  <m:t>Pr</m:t>
                                </m:r>
                              </m:e>
                              <m:lim>
                                <m:r>
                                  <m:rPr>
                                    <m:sty m:val="p"/>
                                  </m:rPr>
                                  <a:rPr lang="en-US" altLang="ko-KR" sz="1000" b="0" i="0">
                                    <a:latin typeface="Cambria Math" panose="02040503050406030204" pitchFamily="18" charset="0"/>
                                  </a:rPr>
                                  <m:t>amb</m:t>
                                </m:r>
                              </m:lim>
                            </m:limLow>
                            <m: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  <m:t>⁡</m:t>
                            </m:r>
                          </m:e>
                          <m:sup>
                            <m: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  <m:t>1/3</m:t>
                            </m:r>
                          </m:sup>
                        </m:sSup>
                      </m:num>
                      <m:den>
                        <m:sSup>
                          <m:sSupPr>
                            <m:ctrlP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d>
                              <m:dPr>
                                <m:begChr m:val="["/>
                                <m:endChr m:val="]"/>
                                <m:ctrlPr>
                                  <a:rPr lang="en-US" altLang="ko-KR" sz="10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r>
                                  <a:rPr lang="en-US" altLang="ko-KR" sz="10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1+(</m:t>
                                </m:r>
                                <m:sSup>
                                  <m:sSupPr>
                                    <m:ctrlPr>
                                      <a:rPr lang="en-US" altLang="ko-KR" sz="10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pPr>
                                  <m:e>
                                    <m:r>
                                      <a:rPr lang="en-US" altLang="ko-KR" sz="10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0.4/</m:t>
                                    </m:r>
                                    <m:limLow>
                                      <m:limLowPr>
                                        <m:ctrlPr>
                                          <a:rPr lang="en-US" altLang="ko-KR" sz="10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limLowPr>
                                      <m:e>
                                        <m:r>
                                          <m:rPr>
                                            <m:sty m:val="p"/>
                                          </m:rPr>
                                          <a:rPr lang="en-US" altLang="ko-KR" sz="1000" b="0" i="0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Pr</m:t>
                                        </m:r>
                                      </m:e>
                                      <m:lim>
                                        <m:r>
                                          <m:rPr>
                                            <m:sty m:val="p"/>
                                          </m:rPr>
                                          <a:rPr lang="en-US" altLang="ko-KR" sz="1000" b="0" i="0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amb</m:t>
                                        </m:r>
                                      </m:lim>
                                    </m:limLow>
                                    <m:r>
                                      <a:rPr lang="en-US" altLang="ko-KR" sz="10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⁡)</m:t>
                                    </m:r>
                                  </m:e>
                                  <m:sup>
                                    <m:r>
                                      <a:rPr lang="en-US" altLang="ko-KR" sz="10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2/3</m:t>
                                    </m:r>
                                  </m:sup>
                                </m:sSup>
                              </m:e>
                            </m:d>
                          </m:e>
                          <m:sup>
                            <m: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  <m:t>1/4</m:t>
                            </m:r>
                          </m:sup>
                        </m:sSup>
                      </m:den>
                    </m:f>
                    <m:sSup>
                      <m:sSupPr>
                        <m:ctrlPr>
                          <a:rPr lang="en-US" altLang="ko-KR" sz="10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begChr m:val="["/>
                            <m:endChr m:val="]"/>
                            <m:ctrlP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  <m:t>1+</m:t>
                            </m:r>
                            <m:sSup>
                              <m:sSupPr>
                                <m:ctrlPr>
                                  <a:rPr lang="en-US" altLang="ko-KR" sz="10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d>
                                  <m:dPr>
                                    <m:ctrlPr>
                                      <a:rPr lang="en-US" altLang="ko-KR" sz="10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dPr>
                                  <m:e>
                                    <m:f>
                                      <m:fPr>
                                        <m:ctrlPr>
                                          <a:rPr lang="en-US" altLang="ko-KR" sz="1000" b="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fPr>
                                      <m:num>
                                        <m:r>
                                          <a:rPr lang="en-US" altLang="ko-KR" sz="1000" b="0" i="1">
                                            <a:latin typeface="Cambria Math" panose="02040503050406030204" pitchFamily="18" charset="0"/>
                                          </a:rPr>
                                          <m:t>𝑅</m:t>
                                        </m:r>
                                        <m:sSub>
                                          <m:sSubPr>
                                            <m:ctrlPr>
                                              <a:rPr lang="en-US" altLang="ko-KR" sz="1000" b="0" i="1">
                                                <a:latin typeface="Cambria Math" panose="02040503050406030204" pitchFamily="18" charset="0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n-US" altLang="ko-KR" sz="1000" b="0" i="1">
                                                <a:latin typeface="Cambria Math" panose="02040503050406030204" pitchFamily="18" charset="0"/>
                                              </a:rPr>
                                              <m:t>𝑒</m:t>
                                            </m:r>
                                          </m:e>
                                          <m:sub>
                                            <m:r>
                                              <a:rPr lang="en-US" altLang="ko-KR" sz="1000" b="0" i="1">
                                                <a:latin typeface="Cambria Math" panose="02040503050406030204" pitchFamily="18" charset="0"/>
                                              </a:rPr>
                                              <m:t>𝑎𝑚𝑏</m:t>
                                            </m:r>
                                          </m:sub>
                                        </m:sSub>
                                      </m:num>
                                      <m:den>
                                        <m:r>
                                          <a:rPr lang="en-US" altLang="ko-KR" sz="1000" b="0" i="1">
                                            <a:latin typeface="Cambria Math" panose="02040503050406030204" pitchFamily="18" charset="0"/>
                                          </a:rPr>
                                          <m:t>282000</m:t>
                                        </m:r>
                                      </m:den>
                                    </m:f>
                                  </m:e>
                                </m:d>
                              </m:e>
                              <m:sup>
                                <m:f>
                                  <m:fPr>
                                    <m:ctrlPr>
                                      <a:rPr lang="en-US" altLang="ko-KR" sz="10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fPr>
                                  <m:num>
                                    <m:r>
                                      <a:rPr lang="en-US" altLang="ko-KR" sz="1000" b="0" i="1">
                                        <a:latin typeface="Cambria Math" panose="02040503050406030204" pitchFamily="18" charset="0"/>
                                      </a:rPr>
                                      <m:t>5</m:t>
                                    </m:r>
                                  </m:num>
                                  <m:den>
                                    <m:r>
                                      <a:rPr lang="en-US" altLang="ko-KR" sz="1000" b="0" i="1">
                                        <a:latin typeface="Cambria Math" panose="02040503050406030204" pitchFamily="18" charset="0"/>
                                      </a:rPr>
                                      <m:t>8</m:t>
                                    </m:r>
                                  </m:den>
                                </m:f>
                              </m:sup>
                            </m:sSup>
                          </m:e>
                        </m:d>
                      </m:e>
                      <m:sup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4/5</m:t>
                        </m:r>
                      </m:sup>
                    </m:sSup>
                    <m:r>
                      <a:rPr lang="en-US" altLang="ko-KR" sz="1000" b="0" i="1">
                        <a:latin typeface="Cambria Math" panose="02040503050406030204" pitchFamily="18" charset="0"/>
                      </a:rPr>
                      <m:t> </m:t>
                    </m:r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10" name="TextBox 9"/>
            <xdr:cNvSpPr txBox="1"/>
          </xdr:nvSpPr>
          <xdr:spPr>
            <a:xfrm>
              <a:off x="7254735" y="24467654"/>
              <a:ext cx="3317831" cy="56605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altLang="ko-KR" sz="1000" b="0" i="0">
                  <a:latin typeface="Cambria Math" panose="02040503050406030204" pitchFamily="18" charset="0"/>
                </a:rPr>
                <a:t>𝑁𝑢_𝑓𝑜𝑟𝑐𝑒𝑑=0.3+(0.62〖𝑅𝑒〗_𝑎𝑚𝑏^(1/2) 〖Pr┬amb⁡〗^(1/3))/</a:t>
              </a:r>
              <a:r>
                <a:rPr lang="en-US" altLang="ko-KR" sz="10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[1+(〖0.4/Pr┬amb⁡)〗^(2/3) ]^(</a:t>
              </a:r>
              <a:r>
                <a:rPr lang="en-US" altLang="ko-KR" sz="1000" b="0" i="0">
                  <a:latin typeface="Cambria Math" panose="02040503050406030204" pitchFamily="18" charset="0"/>
                </a:rPr>
                <a:t>1/4)  [1+((𝑅𝑒_𝑎𝑚𝑏)/282000)^(5/8) ]^(4/5)  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89451</xdr:colOff>
      <xdr:row>115</xdr:row>
      <xdr:rowOff>68746</xdr:rowOff>
    </xdr:from>
    <xdr:ext cx="3236720" cy="26783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/>
            <xdr:cNvSpPr txBox="1"/>
          </xdr:nvSpPr>
          <xdr:spPr>
            <a:xfrm>
              <a:off x="7271301" y="24166996"/>
              <a:ext cx="3236720" cy="2678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000" b="0" i="1">
                        <a:latin typeface="Cambria Math" panose="02040503050406030204" pitchFamily="18" charset="0"/>
                      </a:rPr>
                      <m:t>𝑁</m:t>
                    </m:r>
                    <m:sSub>
                      <m:sSubPr>
                        <m:ctrlPr>
                          <a:rPr lang="en-US" altLang="ko-KR" sz="10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𝑢</m:t>
                        </m:r>
                      </m:e>
                      <m:sub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𝑎𝑚𝑏𝑤</m:t>
                        </m:r>
                      </m:sub>
                    </m:sSub>
                    <m:r>
                      <a:rPr lang="en-US" altLang="ko-KR" sz="1000" b="0" i="1">
                        <a:latin typeface="Cambria Math" panose="02040503050406030204" pitchFamily="18" charset="0"/>
                      </a:rPr>
                      <m:t>=0.3+</m:t>
                    </m:r>
                    <m:sSup>
                      <m:sSupPr>
                        <m:ctrlPr>
                          <a:rPr lang="en-US" altLang="ko-KR" sz="10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begChr m:val="["/>
                            <m:endChr m:val="]"/>
                            <m:ctrlP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p>
                              <m:sSupPr>
                                <m:ctrlPr>
                                  <a:rPr lang="en-US" altLang="ko-KR" sz="10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d>
                                  <m:dPr>
                                    <m:ctrlPr>
                                      <a:rPr lang="en-US" altLang="ko-KR" sz="10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dPr>
                                  <m:e>
                                    <m:r>
                                      <a:rPr lang="en-US" altLang="ko-KR" sz="1000" b="0" i="1">
                                        <a:latin typeface="Cambria Math" panose="02040503050406030204" pitchFamily="18" charset="0"/>
                                      </a:rPr>
                                      <m:t>𝑁</m:t>
                                    </m:r>
                                    <m:sSub>
                                      <m:sSubPr>
                                        <m:ctrlPr>
                                          <a:rPr lang="en-US" altLang="ko-KR" sz="1000" b="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altLang="ko-KR" sz="1000" b="0" i="1">
                                            <a:latin typeface="Cambria Math" panose="02040503050406030204" pitchFamily="18" charset="0"/>
                                          </a:rPr>
                                          <m:t>𝑢</m:t>
                                        </m:r>
                                      </m:e>
                                      <m:sub>
                                        <m:r>
                                          <a:rPr lang="en-US" altLang="ko-KR" sz="1000" b="0" i="1">
                                            <a:latin typeface="Cambria Math" panose="02040503050406030204" pitchFamily="18" charset="0"/>
                                          </a:rPr>
                                          <m:t>𝑓𝑜𝑟𝑐𝑒𝑑</m:t>
                                        </m:r>
                                      </m:sub>
                                    </m:sSub>
                                    <m:r>
                                      <a:rPr lang="en-US" altLang="ko-KR" sz="1000" b="0" i="1">
                                        <a:latin typeface="Cambria Math" panose="02040503050406030204" pitchFamily="18" charset="0"/>
                                      </a:rPr>
                                      <m:t>−0.3</m:t>
                                    </m:r>
                                  </m:e>
                                </m:d>
                              </m:e>
                              <m:sup>
                                <m:r>
                                  <a:rPr lang="en-US" altLang="ko-KR" sz="10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</m:sup>
                            </m:sSup>
                            <m: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  <m:t>+</m:t>
                            </m:r>
                            <m:sSup>
                              <m:sSupPr>
                                <m:ctrlPr>
                                  <a:rPr lang="en-US" altLang="ko-KR" sz="10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d>
                                  <m:dPr>
                                    <m:ctrlPr>
                                      <a:rPr lang="en-US" altLang="ko-KR" sz="10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dPr>
                                  <m:e>
                                    <m:r>
                                      <a:rPr lang="en-US" altLang="ko-KR" sz="1000" b="0" i="1">
                                        <a:latin typeface="Cambria Math" panose="02040503050406030204" pitchFamily="18" charset="0"/>
                                      </a:rPr>
                                      <m:t>𝑁</m:t>
                                    </m:r>
                                    <m:sSub>
                                      <m:sSubPr>
                                        <m:ctrlPr>
                                          <a:rPr lang="en-US" altLang="ko-KR" sz="1000" b="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altLang="ko-KR" sz="1000" b="0" i="1">
                                            <a:latin typeface="Cambria Math" panose="02040503050406030204" pitchFamily="18" charset="0"/>
                                          </a:rPr>
                                          <m:t>𝑢</m:t>
                                        </m:r>
                                      </m:e>
                                      <m:sub>
                                        <m:r>
                                          <a:rPr lang="en-US" altLang="ko-KR" sz="1000" b="0" i="1">
                                            <a:latin typeface="Cambria Math" panose="02040503050406030204" pitchFamily="18" charset="0"/>
                                          </a:rPr>
                                          <m:t>𝑓𝑟𝑒𝑒</m:t>
                                        </m:r>
                                      </m:sub>
                                    </m:sSub>
                                    <m:r>
                                      <a:rPr lang="en-US" altLang="ko-KR" sz="1000" b="0" i="1">
                                        <a:latin typeface="Cambria Math" panose="02040503050406030204" pitchFamily="18" charset="0"/>
                                      </a:rPr>
                                      <m:t>−0.3</m:t>
                                    </m:r>
                                  </m:e>
                                </m:d>
                              </m:e>
                              <m:sup>
                                <m:r>
                                  <a:rPr lang="en-US" altLang="ko-KR" sz="10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</m:sup>
                            </m:sSup>
                          </m:e>
                        </m:d>
                      </m:e>
                      <m:sup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1/4</m:t>
                        </m:r>
                      </m:sup>
                    </m:sSup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11" name="TextBox 10"/>
            <xdr:cNvSpPr txBox="1"/>
          </xdr:nvSpPr>
          <xdr:spPr>
            <a:xfrm>
              <a:off x="7271301" y="24166996"/>
              <a:ext cx="3236720" cy="2678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altLang="ko-KR" sz="1000" b="0" i="0">
                  <a:latin typeface="Cambria Math" panose="02040503050406030204" pitchFamily="18" charset="0"/>
                </a:rPr>
                <a:t>𝑁𝑢_𝑎𝑚𝑏𝑤=0.3+[(𝑁𝑢_𝑓𝑜𝑟𝑐𝑒𝑑−0.3)^4+(𝑁𝑢_𝑓𝑟𝑒𝑒−0.3)^4 ]^(1/4)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74544</xdr:colOff>
      <xdr:row>124</xdr:row>
      <xdr:rowOff>124239</xdr:rowOff>
    </xdr:from>
    <xdr:ext cx="1393523" cy="36535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0" name="TextBox 39"/>
            <xdr:cNvSpPr txBox="1"/>
          </xdr:nvSpPr>
          <xdr:spPr>
            <a:xfrm>
              <a:off x="7256394" y="26108439"/>
              <a:ext cx="1393523" cy="36535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altLang="ko-KR" sz="10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𝑟𝑎𝑑</m:t>
                        </m:r>
                      </m:sub>
                    </m:sSub>
                    <m:r>
                      <a:rPr lang="en-US" altLang="ko-KR" sz="10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altLang="ko-KR" sz="1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000" b="0" i="1">
                            <a:latin typeface="Cambria Math" panose="02040503050406030204" pitchFamily="18" charset="0"/>
                          </a:rPr>
                          <m:t>𝜀𝜎</m:t>
                        </m:r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(</m:t>
                        </m:r>
                        <m:sSubSup>
                          <m:sSubSupPr>
                            <m:ctrlP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</m:e>
                          <m:sub>
                            <m: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  <m:t>𝑠𝑢𝑟𝑓</m:t>
                            </m:r>
                          </m:sub>
                          <m:sup>
                            <m: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  <m:t>4</m:t>
                            </m:r>
                          </m:sup>
                        </m:sSubSup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−</m:t>
                        </m:r>
                        <m:sSubSup>
                          <m:sSubSupPr>
                            <m:ctrlP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</m:e>
                          <m:sub>
                            <m: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  <m:t>𝑎𝑚𝑏</m:t>
                            </m:r>
                          </m:sub>
                          <m:sup>
                            <m: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  <m:t>4</m:t>
                            </m:r>
                          </m:sup>
                        </m:sSubSup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)</m:t>
                        </m:r>
                      </m:num>
                      <m:den>
                        <m:sSub>
                          <m:sSubPr>
                            <m:ctrlP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</m:e>
                          <m:sub>
                            <m: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  <m:t>𝑠𝑢𝑟𝑓</m:t>
                            </m:r>
                          </m:sub>
                        </m:sSub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−</m:t>
                        </m:r>
                        <m:sSub>
                          <m:sSubPr>
                            <m:ctrlP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</m:e>
                          <m:sub>
                            <m: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  <m:t>𝑎𝑚𝑏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40" name="TextBox 39"/>
            <xdr:cNvSpPr txBox="1"/>
          </xdr:nvSpPr>
          <xdr:spPr>
            <a:xfrm>
              <a:off x="7256394" y="26108439"/>
              <a:ext cx="1393523" cy="36535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altLang="ko-KR" sz="1000" b="0" i="0">
                  <a:latin typeface="Cambria Math" panose="02040503050406030204" pitchFamily="18" charset="0"/>
                </a:rPr>
                <a:t>ℎ_𝑟𝑎𝑑=(</a:t>
              </a:r>
              <a:r>
                <a:rPr lang="ko-KR" altLang="en-US" sz="1000" b="0" i="0">
                  <a:latin typeface="Cambria Math" panose="02040503050406030204" pitchFamily="18" charset="0"/>
                </a:rPr>
                <a:t>𝜀𝜎</a:t>
              </a:r>
              <a:r>
                <a:rPr lang="en-US" altLang="ko-KR" sz="1000" b="0" i="0">
                  <a:latin typeface="Cambria Math" panose="02040503050406030204" pitchFamily="18" charset="0"/>
                </a:rPr>
                <a:t>(𝑇_𝑠𝑢𝑟𝑓^4−𝑇_𝑎𝑚𝑏^4))/(𝑇_𝑠𝑢𝑟𝑓−𝑇_𝑎𝑚𝑏 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14</xdr:col>
      <xdr:colOff>48038</xdr:colOff>
      <xdr:row>134</xdr:row>
      <xdr:rowOff>184702</xdr:rowOff>
    </xdr:from>
    <xdr:ext cx="1443985" cy="29232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1" name="TextBox 40"/>
            <xdr:cNvSpPr txBox="1"/>
          </xdr:nvSpPr>
          <xdr:spPr>
            <a:xfrm>
              <a:off x="9287288" y="28264402"/>
              <a:ext cx="1443985" cy="29232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000" b="0" i="1">
                        <a:latin typeface="Cambria Math" panose="02040503050406030204" pitchFamily="18" charset="0"/>
                      </a:rPr>
                      <m:t>𝑞</m:t>
                    </m:r>
                    <m:d>
                      <m:dPr>
                        <m:begChr m:val="["/>
                        <m:endChr m:val="]"/>
                        <m:ctrlPr>
                          <a:rPr lang="en-US" altLang="ko-KR" sz="10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  <m:t>𝑊</m:t>
                            </m:r>
                          </m:num>
                          <m:den>
                            <m: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  <m:t>𝑚</m:t>
                            </m:r>
                          </m:den>
                        </m:f>
                      </m:e>
                    </m:d>
                    <m:r>
                      <a:rPr lang="en-US" altLang="ko-KR" sz="10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altLang="ko-KR" sz="1000" b="0" i="1">
                        <a:latin typeface="Cambria Math" panose="02040503050406030204" pitchFamily="18" charset="0"/>
                      </a:rPr>
                      <m:t>𝑈</m:t>
                    </m:r>
                    <m:d>
                      <m:dPr>
                        <m:begChr m:val="["/>
                        <m:endChr m:val="]"/>
                        <m:ctrlPr>
                          <a:rPr lang="en-US" altLang="ko-KR" sz="10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  <m:t>𝑊</m:t>
                            </m:r>
                          </m:num>
                          <m:den>
                            <m:sSup>
                              <m:sSupPr>
                                <m:ctrlPr>
                                  <a:rPr lang="en-US" altLang="ko-KR" sz="10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000" b="0" i="1">
                                    <a:latin typeface="Cambria Math" panose="02040503050406030204" pitchFamily="18" charset="0"/>
                                  </a:rPr>
                                  <m:t>𝑚</m:t>
                                </m:r>
                              </m:e>
                              <m:sup>
                                <m:r>
                                  <a:rPr lang="en-US" altLang="ko-KR" sz="10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  <m:t>𝐾</m:t>
                            </m:r>
                          </m:den>
                        </m:f>
                      </m:e>
                    </m:d>
                    <m:r>
                      <a:rPr lang="en-US" altLang="ko-KR" sz="1000" b="0" i="1">
                        <a:latin typeface="Cambria Math" panose="02040503050406030204" pitchFamily="18" charset="0"/>
                      </a:rPr>
                      <m:t>∗</m:t>
                    </m:r>
                    <m:r>
                      <a:rPr lang="en-US" altLang="ko-KR" sz="10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r>
                      <a:rPr lang="en-US" altLang="ko-KR" sz="10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𝑇</m:t>
                    </m:r>
                    <m:r>
                      <a:rPr lang="en-US" altLang="ko-KR" sz="10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[</m:t>
                    </m:r>
                    <m:r>
                      <a:rPr lang="en-US" altLang="ko-KR" sz="10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𝐾</m:t>
                    </m:r>
                    <m:r>
                      <a:rPr lang="en-US" altLang="ko-KR" sz="10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41" name="TextBox 40"/>
            <xdr:cNvSpPr txBox="1"/>
          </xdr:nvSpPr>
          <xdr:spPr>
            <a:xfrm>
              <a:off x="9287288" y="28264402"/>
              <a:ext cx="1443985" cy="29232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altLang="ko-KR" sz="1000" b="0" i="0">
                  <a:latin typeface="Cambria Math" panose="02040503050406030204" pitchFamily="18" charset="0"/>
                </a:rPr>
                <a:t>𝑞[𝑊/𝑚]=𝑈[𝑊/(𝑚^2 𝐾)]∗</a:t>
              </a:r>
              <a:r>
                <a:rPr lang="en-US" altLang="ko-KR" sz="1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∆𝑇[𝐾]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14</xdr:col>
      <xdr:colOff>39756</xdr:colOff>
      <xdr:row>137</xdr:row>
      <xdr:rowOff>37272</xdr:rowOff>
    </xdr:from>
    <xdr:ext cx="604076" cy="16305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2" name="TextBox 41"/>
            <xdr:cNvSpPr txBox="1"/>
          </xdr:nvSpPr>
          <xdr:spPr>
            <a:xfrm>
              <a:off x="9279006" y="27297822"/>
              <a:ext cx="604076" cy="16305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000" b="0" i="1">
                        <a:latin typeface="Cambria Math" panose="02040503050406030204" pitchFamily="18" charset="0"/>
                      </a:rPr>
                      <m:t>𝑈</m:t>
                    </m:r>
                    <m:r>
                      <a:rPr lang="en-US" altLang="ko-KR" sz="1000" b="0" i="1">
                        <a:latin typeface="Cambria Math" panose="02040503050406030204" pitchFamily="18" charset="0"/>
                      </a:rPr>
                      <m:t>=</m:t>
                    </m:r>
                    <m:sSubSup>
                      <m:sSubSupPr>
                        <m:ctrlPr>
                          <a:rPr lang="en-US" altLang="ko-KR" sz="1000" b="0" i="1"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𝑡𝑜𝑡𝑎𝑙</m:t>
                        </m:r>
                      </m:sub>
                      <m:sup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−1</m:t>
                        </m:r>
                      </m:sup>
                    </m:sSubSup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42" name="TextBox 41"/>
            <xdr:cNvSpPr txBox="1"/>
          </xdr:nvSpPr>
          <xdr:spPr>
            <a:xfrm>
              <a:off x="9279006" y="27297822"/>
              <a:ext cx="604076" cy="16305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altLang="ko-KR" sz="1000" b="0" i="0">
                  <a:latin typeface="Cambria Math" panose="02040503050406030204" pitchFamily="18" charset="0"/>
                </a:rPr>
                <a:t>𝑈=𝑅_𝑡𝑜𝑡𝑎𝑙^(−1)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14</xdr:col>
      <xdr:colOff>39756</xdr:colOff>
      <xdr:row>138</xdr:row>
      <xdr:rowOff>97735</xdr:rowOff>
    </xdr:from>
    <xdr:ext cx="4798878" cy="15651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3" name="TextBox 42"/>
            <xdr:cNvSpPr txBox="1"/>
          </xdr:nvSpPr>
          <xdr:spPr>
            <a:xfrm>
              <a:off x="9279006" y="27567835"/>
              <a:ext cx="4798878" cy="15651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000" b="0" i="1">
                        <a:latin typeface="Cambria Math" panose="02040503050406030204" pitchFamily="18" charset="0"/>
                      </a:rPr>
                      <m:t>𝑞</m:t>
                    </m:r>
                    <m:d>
                      <m:dPr>
                        <m:ctrlPr>
                          <a:rPr lang="en-US" altLang="ko-KR" sz="10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𝑓𝑟𝑜𝑚</m:t>
                        </m:r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𝐹𝑙𝑢𝑖𝑑</m:t>
                        </m:r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𝑡𝑜</m:t>
                        </m:r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𝐼𝑛𝑠𝑢𝑙𝑎𝑡𝑖𝑜𝑛</m:t>
                        </m:r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𝑆𝑢𝑟𝑓𝑎𝑐𝑒</m:t>
                        </m:r>
                      </m:e>
                    </m:d>
                    <m:r>
                      <a:rPr lang="en-US" altLang="ko-KR" sz="10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altLang="ko-KR" sz="1000" b="0" i="1">
                        <a:latin typeface="Cambria Math" panose="02040503050406030204" pitchFamily="18" charset="0"/>
                      </a:rPr>
                      <m:t>𝑞</m:t>
                    </m:r>
                    <m:r>
                      <a:rPr lang="en-US" altLang="ko-KR" sz="1000" b="0" i="1">
                        <a:latin typeface="Cambria Math" panose="02040503050406030204" pitchFamily="18" charset="0"/>
                      </a:rPr>
                      <m:t>(</m:t>
                    </m:r>
                    <m:r>
                      <a:rPr lang="en-US" altLang="ko-KR" sz="1000" b="0" i="1">
                        <a:latin typeface="Cambria Math" panose="02040503050406030204" pitchFamily="18" charset="0"/>
                      </a:rPr>
                      <m:t>𝑓𝑟𝑜𝑚</m:t>
                    </m:r>
                    <m:r>
                      <a:rPr lang="en-US" altLang="ko-KR" sz="10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altLang="ko-KR" sz="1000" b="0" i="1">
                        <a:latin typeface="Cambria Math" panose="02040503050406030204" pitchFamily="18" charset="0"/>
                      </a:rPr>
                      <m:t>𝐼𝑛𝑠𝑢𝑙𝑎𝑡𝑖𝑜𝑛</m:t>
                    </m:r>
                    <m:r>
                      <a:rPr lang="en-US" altLang="ko-KR" sz="10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altLang="ko-KR" sz="1000" b="0" i="1">
                        <a:latin typeface="Cambria Math" panose="02040503050406030204" pitchFamily="18" charset="0"/>
                      </a:rPr>
                      <m:t>𝑆𝑢𝑟𝑓𝑎𝑐𝑒</m:t>
                    </m:r>
                    <m:r>
                      <a:rPr lang="en-US" altLang="ko-KR" sz="10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altLang="ko-KR" sz="1000" b="0" i="1">
                        <a:latin typeface="Cambria Math" panose="02040503050406030204" pitchFamily="18" charset="0"/>
                      </a:rPr>
                      <m:t>𝑡𝑜</m:t>
                    </m:r>
                    <m:r>
                      <a:rPr lang="en-US" altLang="ko-KR" sz="10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altLang="ko-KR" sz="1000" b="0" i="1">
                        <a:latin typeface="Cambria Math" panose="02040503050406030204" pitchFamily="18" charset="0"/>
                      </a:rPr>
                      <m:t>𝐴𝑡𝑚𝑜𝑠𝑝h𝑒𝑟𝑒</m:t>
                    </m:r>
                    <m:r>
                      <a:rPr lang="en-US" altLang="ko-KR" sz="10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43" name="TextBox 42"/>
            <xdr:cNvSpPr txBox="1"/>
          </xdr:nvSpPr>
          <xdr:spPr>
            <a:xfrm>
              <a:off x="9279006" y="27567835"/>
              <a:ext cx="4798878" cy="15651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altLang="ko-KR" sz="1000" b="0" i="0">
                  <a:latin typeface="Cambria Math" panose="02040503050406030204" pitchFamily="18" charset="0"/>
                </a:rPr>
                <a:t>𝑞(𝑓𝑟𝑜𝑚 𝐹𝑙𝑢𝑖𝑑 𝑡𝑜 𝐼𝑛𝑠𝑢𝑙𝑎𝑡𝑖𝑜𝑛 𝑆𝑢𝑟𝑓𝑎𝑐𝑒)=𝑞(𝑓𝑟𝑜𝑚 𝐼𝑛𝑠𝑢𝑙𝑎𝑡𝑖𝑜𝑛 𝑆𝑢𝑟𝑓𝑎𝑐𝑒 𝑡𝑜 𝐴𝑡𝑚𝑜𝑠𝑝ℎ𝑒𝑟𝑒)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14</xdr:col>
      <xdr:colOff>72887</xdr:colOff>
      <xdr:row>139</xdr:row>
      <xdr:rowOff>180561</xdr:rowOff>
    </xdr:from>
    <xdr:ext cx="1834028" cy="32444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4" name="TextBox 43"/>
            <xdr:cNvSpPr txBox="1"/>
          </xdr:nvSpPr>
          <xdr:spPr>
            <a:xfrm>
              <a:off x="9312137" y="27860211"/>
              <a:ext cx="1834028" cy="32444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US" altLang="ko-KR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</m:e>
                          <m:sub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𝑓𝑙𝑢𝑖𝑑</m:t>
                            </m:r>
                          </m:sub>
                        </m:sSub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sSub>
                          <m:sSubPr>
                            <m:ctrlP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</m:e>
                          <m:sub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𝑆𝑢𝑟𝑓</m:t>
                            </m:r>
                          </m:sub>
                        </m:sSub>
                      </m:num>
                      <m:den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𝑅</m:t>
                        </m:r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1+</m:t>
                        </m:r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𝑅</m:t>
                        </m:r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2+</m:t>
                        </m:r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𝑅</m:t>
                        </m:r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3</m:t>
                        </m:r>
                      </m:den>
                    </m:f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altLang="ko-KR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</m:e>
                          <m:sub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𝑠𝑢𝑟𝑓</m:t>
                            </m:r>
                          </m:sub>
                        </m:sSub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sSub>
                          <m:sSubPr>
                            <m:ctrlP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</m:e>
                          <m:sub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𝑎𝑚𝑏</m:t>
                            </m:r>
                          </m:sub>
                        </m:sSub>
                      </m:num>
                      <m:den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𝑅</m:t>
                        </m:r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4</m:t>
                        </m:r>
                      </m:den>
                    </m:f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44" name="TextBox 43"/>
            <xdr:cNvSpPr txBox="1"/>
          </xdr:nvSpPr>
          <xdr:spPr>
            <a:xfrm>
              <a:off x="9312137" y="27860211"/>
              <a:ext cx="1834028" cy="32444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altLang="ko-KR" sz="1100" i="0">
                  <a:latin typeface="Cambria Math" panose="02040503050406030204" pitchFamily="18" charset="0"/>
                </a:rPr>
                <a:t>(</a:t>
              </a:r>
              <a:r>
                <a:rPr lang="en-US" altLang="ko-KR" sz="1100" b="0" i="0">
                  <a:latin typeface="Cambria Math" panose="02040503050406030204" pitchFamily="18" charset="0"/>
                </a:rPr>
                <a:t>𝑇_𝑓𝑙𝑢𝑖𝑑−𝑇_𝑆𝑢𝑟𝑓)/(𝑅1+𝑅2+𝑅3)=(𝑇_𝑠𝑢𝑟𝑓−𝑇_𝑎𝑚𝑏)/𝑅4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11</xdr:col>
      <xdr:colOff>91109</xdr:colOff>
      <xdr:row>135</xdr:row>
      <xdr:rowOff>109743</xdr:rowOff>
    </xdr:from>
    <xdr:ext cx="1426095" cy="3324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5" name="TextBox 44"/>
            <xdr:cNvSpPr txBox="1"/>
          </xdr:nvSpPr>
          <xdr:spPr>
            <a:xfrm>
              <a:off x="7272959" y="25922493"/>
              <a:ext cx="1426095" cy="3324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000" b="0" i="1"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000" b="0" i="1">
                        <a:latin typeface="Cambria Math" panose="02040503050406030204" pitchFamily="18" charset="0"/>
                      </a:rPr>
                      <m:t>1=</m:t>
                    </m:r>
                    <m:f>
                      <m:fPr>
                        <m:ctrlPr>
                          <a:rPr lang="en-US" altLang="ko-KR" sz="1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sSub>
                          <m:sSubPr>
                            <m:ctrlP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  <m:t>h</m:t>
                            </m:r>
                          </m:e>
                          <m:sub>
                            <m: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  <m:t>𝑓𝑙𝑢𝑖𝑑</m:t>
                            </m:r>
                          </m:sub>
                        </m:sSub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(2</m:t>
                        </m:r>
                        <m:r>
                          <a:rPr lang="ko-KR" altLang="en-US" sz="1000" b="0" i="1">
                            <a:latin typeface="Cambria Math" panose="02040503050406030204" pitchFamily="18" charset="0"/>
                          </a:rPr>
                          <m:t>𝜋</m:t>
                        </m:r>
                        <m:sSub>
                          <m:sSubPr>
                            <m:ctrlP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  <m:t>𝑟</m:t>
                            </m:r>
                          </m:e>
                          <m:sub>
                            <m: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  <m:t>𝑝𝑖</m:t>
                            </m:r>
                          </m:sub>
                        </m:sSub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)</m:t>
                        </m:r>
                      </m:den>
                    </m:f>
                    <m:r>
                      <a:rPr lang="en-US" altLang="ko-KR" sz="1000" b="0" i="1">
                        <a:latin typeface="Cambria Math" panose="02040503050406030204" pitchFamily="18" charset="0"/>
                      </a:rPr>
                      <m:t>, [</m:t>
                    </m:r>
                    <m:f>
                      <m:fPr>
                        <m:ctrlPr>
                          <a:rPr lang="en-US" altLang="ko-KR" sz="1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𝑚𝐾</m:t>
                        </m:r>
                      </m:num>
                      <m:den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𝑊</m:t>
                        </m:r>
                      </m:den>
                    </m:f>
                    <m:r>
                      <a:rPr lang="en-US" altLang="ko-KR" sz="10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45" name="TextBox 44"/>
            <xdr:cNvSpPr txBox="1"/>
          </xdr:nvSpPr>
          <xdr:spPr>
            <a:xfrm>
              <a:off x="7272959" y="25922493"/>
              <a:ext cx="1426095" cy="3324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altLang="ko-KR" sz="1000" b="0" i="0">
                  <a:latin typeface="Cambria Math" panose="02040503050406030204" pitchFamily="18" charset="0"/>
                </a:rPr>
                <a:t>𝑅1=1/(ℎ_𝑓𝑙𝑢𝑖𝑑 (2</a:t>
              </a:r>
              <a:r>
                <a:rPr lang="ko-KR" altLang="en-US" sz="10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000" b="0" i="0">
                  <a:latin typeface="Cambria Math" panose="02040503050406030204" pitchFamily="18" charset="0"/>
                </a:rPr>
                <a:t>𝑟_𝑝𝑖)), [𝑚𝐾/𝑊]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107673</xdr:colOff>
      <xdr:row>137</xdr:row>
      <xdr:rowOff>151158</xdr:rowOff>
    </xdr:from>
    <xdr:ext cx="1138645" cy="46775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6" name="TextBox 45"/>
            <xdr:cNvSpPr txBox="1"/>
          </xdr:nvSpPr>
          <xdr:spPr>
            <a:xfrm>
              <a:off x="7289523" y="26306808"/>
              <a:ext cx="1138645" cy="46775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000" b="0" i="1"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000" b="0" i="1">
                        <a:latin typeface="Cambria Math" panose="02040503050406030204" pitchFamily="18" charset="0"/>
                      </a:rPr>
                      <m:t>2=</m:t>
                    </m:r>
                    <m:f>
                      <m:fPr>
                        <m:ctrlPr>
                          <a:rPr lang="en-US" altLang="ko-KR" sz="1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m:rPr>
                            <m:sty m:val="p"/>
                          </m:rPr>
                          <a:rPr lang="en-US" altLang="ko-KR" sz="1000" b="0" i="0">
                            <a:latin typeface="Cambria Math" panose="02040503050406030204" pitchFamily="18" charset="0"/>
                          </a:rPr>
                          <m:t>ln</m:t>
                        </m:r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⁡(</m:t>
                        </m:r>
                        <m:f>
                          <m:fPr>
                            <m:ctrlP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altLang="ko-KR" sz="10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altLang="ko-KR" sz="1000" b="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en-US" altLang="ko-KR" sz="1000" b="0" i="1">
                                    <a:latin typeface="Cambria Math" panose="02040503050406030204" pitchFamily="18" charset="0"/>
                                  </a:rPr>
                                  <m:t>𝑝𝑜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n-US" altLang="ko-KR" sz="10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altLang="ko-KR" sz="1000" b="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en-US" altLang="ko-KR" sz="1000" b="0" i="1">
                                    <a:latin typeface="Cambria Math" panose="02040503050406030204" pitchFamily="18" charset="0"/>
                                  </a:rPr>
                                  <m:t>𝑝𝑖</m:t>
                                </m:r>
                              </m:sub>
                            </m:sSub>
                          </m:den>
                        </m:f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)</m:t>
                        </m:r>
                      </m:num>
                      <m:den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000" b="0" i="1">
                            <a:latin typeface="Cambria Math" panose="02040503050406030204" pitchFamily="18" charset="0"/>
                          </a:rPr>
                          <m:t>𝜋</m:t>
                        </m:r>
                        <m:sSub>
                          <m:sSubPr>
                            <m:ctrlP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  <m:t>𝑘</m:t>
                            </m:r>
                          </m:e>
                          <m:sub>
                            <m: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  <m:t>𝑝𝑖𝑝𝑒</m:t>
                            </m:r>
                          </m:sub>
                        </m:sSub>
                      </m:den>
                    </m:f>
                    <m:r>
                      <a:rPr lang="en-US" altLang="ko-KR" sz="1000" b="0" i="1">
                        <a:latin typeface="Cambria Math" panose="02040503050406030204" pitchFamily="18" charset="0"/>
                      </a:rPr>
                      <m:t>,[</m:t>
                    </m:r>
                    <m:f>
                      <m:fPr>
                        <m:ctrlPr>
                          <a:rPr lang="en-US" altLang="ko-KR" sz="1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𝑚𝐾</m:t>
                        </m:r>
                      </m:num>
                      <m:den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𝑊</m:t>
                        </m:r>
                      </m:den>
                    </m:f>
                    <m:r>
                      <a:rPr lang="en-US" altLang="ko-KR" sz="10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46" name="TextBox 45"/>
            <xdr:cNvSpPr txBox="1"/>
          </xdr:nvSpPr>
          <xdr:spPr>
            <a:xfrm>
              <a:off x="7289523" y="26306808"/>
              <a:ext cx="1138645" cy="46775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altLang="ko-KR" sz="1000" b="0" i="0">
                  <a:latin typeface="Cambria Math" panose="02040503050406030204" pitchFamily="18" charset="0"/>
                </a:rPr>
                <a:t>𝑅2=(ln⁡(𝑟_𝑝𝑜/𝑟_𝑝𝑖 ))/(2</a:t>
              </a:r>
              <a:r>
                <a:rPr lang="ko-KR" altLang="en-US" sz="10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000" b="0" i="0">
                  <a:latin typeface="Cambria Math" panose="02040503050406030204" pitchFamily="18" charset="0"/>
                </a:rPr>
                <a:t>𝑘_𝑝𝑖𝑝𝑒 ),[𝑚𝐾/𝑊]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117613</xdr:colOff>
      <xdr:row>142</xdr:row>
      <xdr:rowOff>4555</xdr:rowOff>
    </xdr:from>
    <xdr:ext cx="1170257" cy="43403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7" name="TextBox 46"/>
            <xdr:cNvSpPr txBox="1"/>
          </xdr:nvSpPr>
          <xdr:spPr>
            <a:xfrm>
              <a:off x="7299463" y="27017455"/>
              <a:ext cx="1170257" cy="4340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000" b="0" i="1"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000" b="0" i="1">
                        <a:latin typeface="Cambria Math" panose="02040503050406030204" pitchFamily="18" charset="0"/>
                      </a:rPr>
                      <m:t>3=</m:t>
                    </m:r>
                    <m:f>
                      <m:fPr>
                        <m:ctrlPr>
                          <a:rPr lang="en-US" altLang="ko-KR" sz="1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m:rPr>
                            <m:sty m:val="p"/>
                          </m:rPr>
                          <a:rPr lang="en-US" altLang="ko-KR" sz="1000" b="0" i="0">
                            <a:latin typeface="Cambria Math" panose="02040503050406030204" pitchFamily="18" charset="0"/>
                          </a:rPr>
                          <m:t>ln</m:t>
                        </m:r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⁡(</m:t>
                        </m:r>
                        <m:f>
                          <m:fPr>
                            <m:ctrlP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altLang="ko-KR" sz="10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altLang="ko-KR" sz="1000" b="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en-US" altLang="ko-KR" sz="1000" b="0" i="1">
                                    <a:latin typeface="Cambria Math" panose="02040503050406030204" pitchFamily="18" charset="0"/>
                                  </a:rPr>
                                  <m:t>𝑖𝑜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n-US" altLang="ko-KR" sz="10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altLang="ko-KR" sz="1000" b="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en-US" altLang="ko-KR" sz="1000" b="0" i="1">
                                    <a:latin typeface="Cambria Math" panose="02040503050406030204" pitchFamily="18" charset="0"/>
                                  </a:rPr>
                                  <m:t>𝑝𝑜</m:t>
                                </m:r>
                              </m:sub>
                            </m:sSub>
                          </m:den>
                        </m:f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)</m:t>
                        </m:r>
                      </m:num>
                      <m:den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000" b="0" i="1">
                            <a:latin typeface="Cambria Math" panose="02040503050406030204" pitchFamily="18" charset="0"/>
                          </a:rPr>
                          <m:t>𝜋</m:t>
                        </m:r>
                        <m:sSub>
                          <m:sSubPr>
                            <m:ctrlP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  <m:t>𝑘</m:t>
                            </m:r>
                          </m:e>
                          <m:sub>
                            <m: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  <m:t>𝑖𝑛𝑠𝑢𝑙</m:t>
                            </m:r>
                          </m:sub>
                        </m:sSub>
                      </m:den>
                    </m:f>
                    <m:r>
                      <a:rPr lang="en-US" altLang="ko-KR" sz="1000" b="0" i="1">
                        <a:latin typeface="Cambria Math" panose="02040503050406030204" pitchFamily="18" charset="0"/>
                      </a:rPr>
                      <m:t>,[</m:t>
                    </m:r>
                    <m:f>
                      <m:fPr>
                        <m:ctrlPr>
                          <a:rPr lang="en-US" altLang="ko-KR" sz="1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𝑚𝐾</m:t>
                        </m:r>
                      </m:num>
                      <m:den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𝑊</m:t>
                        </m:r>
                      </m:den>
                    </m:f>
                    <m:r>
                      <a:rPr lang="en-US" altLang="ko-KR" sz="10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47" name="TextBox 46"/>
            <xdr:cNvSpPr txBox="1"/>
          </xdr:nvSpPr>
          <xdr:spPr>
            <a:xfrm>
              <a:off x="7299463" y="27017455"/>
              <a:ext cx="1170257" cy="4340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altLang="ko-KR" sz="1000" b="0" i="0">
                  <a:latin typeface="Cambria Math" panose="02040503050406030204" pitchFamily="18" charset="0"/>
                </a:rPr>
                <a:t>𝑅3=(ln⁡(𝑟_𝑖𝑜/𝑟_𝑝𝑜 ))/(2</a:t>
              </a:r>
              <a:r>
                <a:rPr lang="ko-KR" altLang="en-US" sz="10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000" b="0" i="0">
                  <a:latin typeface="Cambria Math" panose="02040503050406030204" pitchFamily="18" charset="0"/>
                </a:rPr>
                <a:t>𝑘_𝑖𝑛𝑠𝑢𝑙 ),[𝑚𝐾/𝑊]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124239</xdr:colOff>
      <xdr:row>147</xdr:row>
      <xdr:rowOff>165652</xdr:rowOff>
    </xdr:from>
    <xdr:ext cx="1397626" cy="3324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8" name="TextBox 47"/>
            <xdr:cNvSpPr txBox="1"/>
          </xdr:nvSpPr>
          <xdr:spPr>
            <a:xfrm>
              <a:off x="7306089" y="31598152"/>
              <a:ext cx="1397626" cy="3324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000" b="0" i="1"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000" b="0" i="1">
                        <a:latin typeface="Cambria Math" panose="02040503050406030204" pitchFamily="18" charset="0"/>
                      </a:rPr>
                      <m:t>4=</m:t>
                    </m:r>
                    <m:f>
                      <m:fPr>
                        <m:ctrlPr>
                          <a:rPr lang="en-US" altLang="ko-KR" sz="1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sSub>
                          <m:sSubPr>
                            <m:ctrlP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  <m:t>h</m:t>
                            </m:r>
                          </m:e>
                          <m:sub>
                            <m: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  <m:t>𝑠𝑢𝑟𝑓</m:t>
                            </m:r>
                          </m:sub>
                        </m:sSub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(2</m:t>
                        </m:r>
                        <m:r>
                          <a:rPr lang="ko-KR" altLang="en-US" sz="1000" b="0" i="1">
                            <a:latin typeface="Cambria Math" panose="02040503050406030204" pitchFamily="18" charset="0"/>
                          </a:rPr>
                          <m:t>𝜋</m:t>
                        </m:r>
                        <m:sSub>
                          <m:sSubPr>
                            <m:ctrlP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  <m:t>𝑟</m:t>
                            </m:r>
                          </m:e>
                          <m:sub>
                            <m: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  <m:t>𝑖𝑜</m:t>
                            </m:r>
                          </m:sub>
                        </m:sSub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)</m:t>
                        </m:r>
                      </m:den>
                    </m:f>
                    <m:r>
                      <a:rPr lang="en-US" altLang="ko-KR" sz="1000" b="0" i="1">
                        <a:latin typeface="Cambria Math" panose="02040503050406030204" pitchFamily="18" charset="0"/>
                      </a:rPr>
                      <m:t>, [</m:t>
                    </m:r>
                    <m:f>
                      <m:fPr>
                        <m:ctrlPr>
                          <a:rPr lang="en-US" altLang="ko-KR" sz="1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𝑚𝐾</m:t>
                        </m:r>
                      </m:num>
                      <m:den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𝑊</m:t>
                        </m:r>
                      </m:den>
                    </m:f>
                    <m:r>
                      <a:rPr lang="en-US" altLang="ko-KR" sz="10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48" name="TextBox 47"/>
            <xdr:cNvSpPr txBox="1"/>
          </xdr:nvSpPr>
          <xdr:spPr>
            <a:xfrm>
              <a:off x="7306089" y="31598152"/>
              <a:ext cx="1397626" cy="3324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altLang="ko-KR" sz="1000" b="0" i="0">
                  <a:latin typeface="Cambria Math" panose="02040503050406030204" pitchFamily="18" charset="0"/>
                </a:rPr>
                <a:t>𝑅4=1/(ℎ_𝑠𝑢𝑟𝑓 (2</a:t>
              </a:r>
              <a:r>
                <a:rPr lang="ko-KR" altLang="en-US" sz="10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000" b="0" i="0">
                  <a:latin typeface="Cambria Math" panose="02040503050406030204" pitchFamily="18" charset="0"/>
                </a:rPr>
                <a:t>𝑟_𝑖𝑜)), [𝑚𝐾/𝑊]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16565</xdr:colOff>
      <xdr:row>159</xdr:row>
      <xdr:rowOff>85725</xdr:rowOff>
    </xdr:from>
    <xdr:ext cx="4798878" cy="15651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9" name="TextBox 48"/>
            <xdr:cNvSpPr txBox="1"/>
          </xdr:nvSpPr>
          <xdr:spPr>
            <a:xfrm>
              <a:off x="7198415" y="31118175"/>
              <a:ext cx="4798878" cy="15651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000" b="0" i="1">
                        <a:latin typeface="Cambria Math" panose="02040503050406030204" pitchFamily="18" charset="0"/>
                      </a:rPr>
                      <m:t>𝑞</m:t>
                    </m:r>
                    <m:d>
                      <m:dPr>
                        <m:ctrlPr>
                          <a:rPr lang="en-US" altLang="ko-KR" sz="10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𝑓𝑟𝑜𝑚</m:t>
                        </m:r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𝐹𝑙𝑢𝑖𝑑</m:t>
                        </m:r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𝑡𝑜</m:t>
                        </m:r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𝐼𝑛𝑠𝑢𝑙𝑎𝑡𝑖𝑜𝑛</m:t>
                        </m:r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𝑆𝑢𝑟𝑓𝑎𝑐𝑒</m:t>
                        </m:r>
                      </m:e>
                    </m:d>
                    <m:r>
                      <a:rPr lang="en-US" altLang="ko-KR" sz="10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altLang="ko-KR" sz="1000" b="0" i="1">
                        <a:latin typeface="Cambria Math" panose="02040503050406030204" pitchFamily="18" charset="0"/>
                      </a:rPr>
                      <m:t>𝑞</m:t>
                    </m:r>
                    <m:r>
                      <a:rPr lang="en-US" altLang="ko-KR" sz="1000" b="0" i="1">
                        <a:latin typeface="Cambria Math" panose="02040503050406030204" pitchFamily="18" charset="0"/>
                      </a:rPr>
                      <m:t>(</m:t>
                    </m:r>
                    <m:r>
                      <a:rPr lang="en-US" altLang="ko-KR" sz="1000" b="0" i="1">
                        <a:latin typeface="Cambria Math" panose="02040503050406030204" pitchFamily="18" charset="0"/>
                      </a:rPr>
                      <m:t>𝑓𝑟𝑜𝑚</m:t>
                    </m:r>
                    <m:r>
                      <a:rPr lang="en-US" altLang="ko-KR" sz="10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altLang="ko-KR" sz="1000" b="0" i="1">
                        <a:latin typeface="Cambria Math" panose="02040503050406030204" pitchFamily="18" charset="0"/>
                      </a:rPr>
                      <m:t>𝐼𝑛𝑠𝑢𝑙𝑎𝑡𝑖𝑜𝑛</m:t>
                    </m:r>
                    <m:r>
                      <a:rPr lang="en-US" altLang="ko-KR" sz="10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altLang="ko-KR" sz="1000" b="0" i="1">
                        <a:latin typeface="Cambria Math" panose="02040503050406030204" pitchFamily="18" charset="0"/>
                      </a:rPr>
                      <m:t>𝑆𝑢𝑟𝑓𝑎𝑐𝑒</m:t>
                    </m:r>
                    <m:r>
                      <a:rPr lang="en-US" altLang="ko-KR" sz="10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altLang="ko-KR" sz="1000" b="0" i="1">
                        <a:latin typeface="Cambria Math" panose="02040503050406030204" pitchFamily="18" charset="0"/>
                      </a:rPr>
                      <m:t>𝑡𝑜</m:t>
                    </m:r>
                    <m:r>
                      <a:rPr lang="en-US" altLang="ko-KR" sz="10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altLang="ko-KR" sz="1000" b="0" i="1">
                        <a:latin typeface="Cambria Math" panose="02040503050406030204" pitchFamily="18" charset="0"/>
                      </a:rPr>
                      <m:t>𝐴𝑡𝑚𝑜𝑠𝑝h𝑒𝑟𝑒</m:t>
                    </m:r>
                    <m:r>
                      <a:rPr lang="en-US" altLang="ko-KR" sz="10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49" name="TextBox 48"/>
            <xdr:cNvSpPr txBox="1"/>
          </xdr:nvSpPr>
          <xdr:spPr>
            <a:xfrm>
              <a:off x="7198415" y="31118175"/>
              <a:ext cx="4798878" cy="15651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altLang="ko-KR" sz="1000" b="0" i="0">
                  <a:latin typeface="Cambria Math" panose="02040503050406030204" pitchFamily="18" charset="0"/>
                </a:rPr>
                <a:t>𝑞(𝑓𝑟𝑜𝑚 𝐹𝑙𝑢𝑖𝑑 𝑡𝑜 𝐼𝑛𝑠𝑢𝑙𝑎𝑡𝑖𝑜𝑛 𝑆𝑢𝑟𝑓𝑎𝑐𝑒)=𝑞(𝑓𝑟𝑜𝑚 𝐼𝑛𝑠𝑢𝑙𝑎𝑡𝑖𝑜𝑛 𝑆𝑢𝑟𝑓𝑎𝑐𝑒 𝑡𝑜 𝐴𝑡𝑚𝑜𝑠𝑝ℎ𝑒𝑟𝑒)</a:t>
              </a:r>
              <a:endParaRPr lang="ko-KR" altLang="en-US" sz="1000"/>
            </a:p>
          </xdr:txBody>
        </xdr:sp>
      </mc:Fallback>
    </mc:AlternateContent>
    <xdr:clientData/>
  </xdr:oneCellAnchor>
  <xdr:twoCellAnchor>
    <xdr:from>
      <xdr:col>2</xdr:col>
      <xdr:colOff>0</xdr:colOff>
      <xdr:row>21</xdr:row>
      <xdr:rowOff>76200</xdr:rowOff>
    </xdr:from>
    <xdr:to>
      <xdr:col>9</xdr:col>
      <xdr:colOff>48039</xdr:colOff>
      <xdr:row>31</xdr:row>
      <xdr:rowOff>192156</xdr:rowOff>
    </xdr:to>
    <xdr:grpSp>
      <xdr:nvGrpSpPr>
        <xdr:cNvPr id="78" name="그룹 77"/>
        <xdr:cNvGrpSpPr/>
      </xdr:nvGrpSpPr>
      <xdr:grpSpPr>
        <a:xfrm>
          <a:off x="838200" y="4362450"/>
          <a:ext cx="4848639" cy="2211456"/>
          <a:chOff x="770283" y="3983935"/>
          <a:chExt cx="4861891" cy="2186608"/>
        </a:xfrm>
      </xdr:grpSpPr>
      <xdr:grpSp>
        <xdr:nvGrpSpPr>
          <xdr:cNvPr id="79" name="그룹 78"/>
          <xdr:cNvGrpSpPr/>
        </xdr:nvGrpSpPr>
        <xdr:grpSpPr>
          <a:xfrm>
            <a:off x="770283" y="3983935"/>
            <a:ext cx="4861891" cy="2186608"/>
            <a:chOff x="765505" y="4086831"/>
            <a:chExt cx="4864758" cy="2240763"/>
          </a:xfrm>
        </xdr:grpSpPr>
        <xdr:grpSp>
          <xdr:nvGrpSpPr>
            <xdr:cNvPr id="81" name="그룹 80"/>
            <xdr:cNvGrpSpPr/>
          </xdr:nvGrpSpPr>
          <xdr:grpSpPr>
            <a:xfrm>
              <a:off x="765505" y="4086831"/>
              <a:ext cx="4864758" cy="2240763"/>
              <a:chOff x="765505" y="4086831"/>
              <a:chExt cx="4864758" cy="2240763"/>
            </a:xfrm>
          </xdr:grpSpPr>
          <xdr:grpSp>
            <xdr:nvGrpSpPr>
              <xdr:cNvPr id="85" name="그룹 84"/>
              <xdr:cNvGrpSpPr/>
            </xdr:nvGrpSpPr>
            <xdr:grpSpPr>
              <a:xfrm>
                <a:off x="765505" y="4086831"/>
                <a:ext cx="4864758" cy="2240763"/>
                <a:chOff x="869674" y="3818283"/>
                <a:chExt cx="4861891" cy="2186608"/>
              </a:xfrm>
            </xdr:grpSpPr>
            <xdr:sp macro="" textlink="">
              <xdr:nvSpPr>
                <xdr:cNvPr id="90" name="직사각형 89"/>
                <xdr:cNvSpPr/>
              </xdr:nvSpPr>
              <xdr:spPr>
                <a:xfrm>
                  <a:off x="869674" y="3818283"/>
                  <a:ext cx="4861891" cy="2186608"/>
                </a:xfrm>
                <a:prstGeom prst="rect">
                  <a:avLst/>
                </a:prstGeom>
                <a:solidFill>
                  <a:schemeClr val="bg1"/>
                </a:solidFill>
                <a:ln w="6350">
                  <a:solidFill>
                    <a:schemeClr val="tx1">
                      <a:lumMod val="50000"/>
                      <a:lumOff val="50000"/>
                    </a:schemeClr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ko-KR" altLang="en-US" sz="1100"/>
                </a:p>
              </xdr:txBody>
            </xdr:sp>
            <xdr:grpSp>
              <xdr:nvGrpSpPr>
                <xdr:cNvPr id="91" name="그룹 90"/>
                <xdr:cNvGrpSpPr/>
              </xdr:nvGrpSpPr>
              <xdr:grpSpPr>
                <a:xfrm>
                  <a:off x="1111526" y="3871713"/>
                  <a:ext cx="2595321" cy="1969657"/>
                  <a:chOff x="1111526" y="3871713"/>
                  <a:chExt cx="2595321" cy="1969657"/>
                </a:xfrm>
              </xdr:grpSpPr>
              <xdr:sp macro="" textlink="">
                <xdr:nvSpPr>
                  <xdr:cNvPr id="92" name="타원 91"/>
                  <xdr:cNvSpPr/>
                </xdr:nvSpPr>
                <xdr:spPr>
                  <a:xfrm>
                    <a:off x="1111526" y="4217504"/>
                    <a:ext cx="1641613" cy="1618422"/>
                  </a:xfrm>
                  <a:prstGeom prst="ellipse">
                    <a:avLst/>
                  </a:prstGeom>
                  <a:solidFill>
                    <a:schemeClr val="accent4">
                      <a:lumMod val="40000"/>
                      <a:lumOff val="60000"/>
                    </a:schemeClr>
                  </a:solidFill>
                  <a:ln>
                    <a:solidFill>
                      <a:schemeClr val="tx1">
                        <a:lumMod val="50000"/>
                        <a:lumOff val="50000"/>
                      </a:schemeClr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ko-KR" altLang="en-US" sz="1100"/>
                  </a:p>
                </xdr:txBody>
              </xdr:sp>
              <xdr:sp macro="" textlink="">
                <xdr:nvSpPr>
                  <xdr:cNvPr id="93" name="타원 92"/>
                  <xdr:cNvSpPr/>
                </xdr:nvSpPr>
                <xdr:spPr>
                  <a:xfrm>
                    <a:off x="1344067" y="4437496"/>
                    <a:ext cx="1190982" cy="1173162"/>
                  </a:xfrm>
                  <a:prstGeom prst="ellipse">
                    <a:avLst/>
                  </a:prstGeom>
                  <a:solidFill>
                    <a:schemeClr val="bg1">
                      <a:lumMod val="75000"/>
                    </a:schemeClr>
                  </a:solidFill>
                  <a:ln>
                    <a:solidFill>
                      <a:schemeClr val="tx1">
                        <a:lumMod val="50000"/>
                        <a:lumOff val="50000"/>
                      </a:schemeClr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ko-KR" altLang="en-US" sz="1100"/>
                  </a:p>
                </xdr:txBody>
              </xdr:sp>
              <xdr:sp macro="" textlink="">
                <xdr:nvSpPr>
                  <xdr:cNvPr id="94" name="타원 93"/>
                  <xdr:cNvSpPr/>
                </xdr:nvSpPr>
                <xdr:spPr>
                  <a:xfrm>
                    <a:off x="1488585" y="4581711"/>
                    <a:ext cx="901948" cy="880813"/>
                  </a:xfrm>
                  <a:prstGeom prst="ellipse">
                    <a:avLst/>
                  </a:prstGeom>
                  <a:solidFill>
                    <a:schemeClr val="accent2">
                      <a:lumMod val="60000"/>
                      <a:lumOff val="40000"/>
                    </a:schemeClr>
                  </a:solidFill>
                  <a:ln>
                    <a:solidFill>
                      <a:schemeClr val="tx1">
                        <a:lumMod val="50000"/>
                        <a:lumOff val="50000"/>
                      </a:schemeClr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ko-KR" altLang="en-US" sz="1100"/>
                  </a:p>
                </xdr:txBody>
              </xdr:sp>
              <xdr:cxnSp macro="">
                <xdr:nvCxnSpPr>
                  <xdr:cNvPr id="95" name="직선 화살표 연결선 94"/>
                  <xdr:cNvCxnSpPr/>
                </xdr:nvCxnSpPr>
                <xdr:spPr>
                  <a:xfrm flipV="1">
                    <a:off x="1929612" y="4615307"/>
                    <a:ext cx="157842" cy="403244"/>
                  </a:xfrm>
                  <a:prstGeom prst="straightConnector1">
                    <a:avLst/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96" name="직선 화살표 연결선 95"/>
                  <xdr:cNvCxnSpPr/>
                </xdr:nvCxnSpPr>
                <xdr:spPr>
                  <a:xfrm flipV="1">
                    <a:off x="1935054" y="4762500"/>
                    <a:ext cx="540499" cy="250610"/>
                  </a:xfrm>
                  <a:prstGeom prst="straightConnector1">
                    <a:avLst/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97" name="직선 화살표 연결선 96"/>
                  <xdr:cNvCxnSpPr>
                    <a:endCxn id="92" idx="6"/>
                  </xdr:cNvCxnSpPr>
                </xdr:nvCxnSpPr>
                <xdr:spPr>
                  <a:xfrm>
                    <a:off x="1935054" y="5018551"/>
                    <a:ext cx="818085" cy="8165"/>
                  </a:xfrm>
                  <a:prstGeom prst="straightConnector1">
                    <a:avLst/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98" name="TextBox 97"/>
                  <xdr:cNvSpPr txBox="1"/>
                </xdr:nvSpPr>
                <xdr:spPr>
                  <a:xfrm>
                    <a:off x="1771768" y="5236502"/>
                    <a:ext cx="370115" cy="217952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ko-KR" altLang="en-US" sz="600" b="1"/>
                      <a:t>유체</a:t>
                    </a:r>
                  </a:p>
                </xdr:txBody>
              </xdr:sp>
              <xdr:sp macro="" textlink="">
                <xdr:nvSpPr>
                  <xdr:cNvPr id="99" name="TextBox 98"/>
                  <xdr:cNvSpPr txBox="1"/>
                </xdr:nvSpPr>
                <xdr:spPr>
                  <a:xfrm>
                    <a:off x="1782653" y="5432683"/>
                    <a:ext cx="370115" cy="21795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ko-KR" altLang="en-US" sz="600" b="1"/>
                      <a:t>배관</a:t>
                    </a:r>
                  </a:p>
                </xdr:txBody>
              </xdr:sp>
              <xdr:sp macro="" textlink="">
                <xdr:nvSpPr>
                  <xdr:cNvPr id="100" name="TextBox 99"/>
                  <xdr:cNvSpPr txBox="1"/>
                </xdr:nvSpPr>
                <xdr:spPr>
                  <a:xfrm>
                    <a:off x="1739111" y="5623419"/>
                    <a:ext cx="440872" cy="217951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ko-KR" altLang="en-US" sz="600" b="1"/>
                      <a:t>보온재</a:t>
                    </a:r>
                  </a:p>
                </xdr:txBody>
              </xdr:sp>
              <xdr:sp macro="" textlink="">
                <xdr:nvSpPr>
                  <xdr:cNvPr id="101" name="TextBox 100"/>
                  <xdr:cNvSpPr txBox="1"/>
                </xdr:nvSpPr>
                <xdr:spPr>
                  <a:xfrm>
                    <a:off x="2627500" y="4414882"/>
                    <a:ext cx="1079347" cy="343137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US" altLang="ko-KR" sz="700" b="1">
                        <a:solidFill>
                          <a:srgbClr val="FF0000"/>
                        </a:solidFill>
                        <a:latin typeface="Arial Narrow" panose="020B0606020202030204" pitchFamily="34" charset="0"/>
                        <a:cs typeface="Arial" panose="020B0604020202020204" pitchFamily="34" charset="0"/>
                      </a:rPr>
                      <a:t>T_surf</a:t>
                    </a:r>
                  </a:p>
                  <a:p>
                    <a:r>
                      <a:rPr lang="en-US" altLang="ko-KR" sz="700" b="1">
                        <a:solidFill>
                          <a:srgbClr val="0070C0"/>
                        </a:solidFill>
                        <a:latin typeface="Arial Narrow" panose="020B0606020202030204" pitchFamily="34" charset="0"/>
                        <a:cs typeface="Arial" panose="020B0604020202020204" pitchFamily="34" charset="0"/>
                      </a:rPr>
                      <a:t>h_surf</a:t>
                    </a:r>
                    <a:r>
                      <a:rPr lang="en-US" altLang="ko-KR" sz="700" b="1" baseline="0">
                        <a:solidFill>
                          <a:srgbClr val="0070C0"/>
                        </a:solidFill>
                        <a:latin typeface="Arial Narrow" panose="020B0606020202030204" pitchFamily="34" charset="0"/>
                        <a:cs typeface="Arial" panose="020B0604020202020204" pitchFamily="34" charset="0"/>
                      </a:rPr>
                      <a:t> (= h_amb + h_rad)</a:t>
                    </a:r>
                    <a:endParaRPr lang="ko-KR" altLang="en-US" sz="700" b="1">
                      <a:solidFill>
                        <a:srgbClr val="0070C0"/>
                      </a:solidFill>
                      <a:latin typeface="Arial Narrow" panose="020B0606020202030204" pitchFamily="34" charset="0"/>
                      <a:cs typeface="Arial" panose="020B0604020202020204" pitchFamily="34" charset="0"/>
                    </a:endParaRPr>
                  </a:p>
                </xdr:txBody>
              </xdr:sp>
              <xdr:sp macro="" textlink="">
                <xdr:nvSpPr>
                  <xdr:cNvPr id="102" name="TextBox 101"/>
                  <xdr:cNvSpPr txBox="1"/>
                </xdr:nvSpPr>
                <xdr:spPr>
                  <a:xfrm>
                    <a:off x="2442952" y="3871713"/>
                    <a:ext cx="486072" cy="72030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US" altLang="ko-KR" sz="700" b="1">
                        <a:solidFill>
                          <a:srgbClr val="FF0000"/>
                        </a:solidFill>
                        <a:latin typeface="Arial Narrow" panose="020B0606020202030204" pitchFamily="34" charset="0"/>
                        <a:cs typeface="Arial" panose="020B0604020202020204" pitchFamily="34" charset="0"/>
                      </a:rPr>
                      <a:t>P_amb</a:t>
                    </a:r>
                  </a:p>
                  <a:p>
                    <a:r>
                      <a:rPr lang="en-US" altLang="ko-KR" sz="700" b="1">
                        <a:solidFill>
                          <a:srgbClr val="FF0000"/>
                        </a:solidFill>
                        <a:latin typeface="Arial Narrow" panose="020B0606020202030204" pitchFamily="34" charset="0"/>
                        <a:cs typeface="Arial" panose="020B0604020202020204" pitchFamily="34" charset="0"/>
                      </a:rPr>
                      <a:t>T_amb</a:t>
                    </a:r>
                  </a:p>
                  <a:p>
                    <a:r>
                      <a:rPr lang="en-US" altLang="ko-KR" sz="700" b="1">
                        <a:solidFill>
                          <a:srgbClr val="0070C0"/>
                        </a:solidFill>
                        <a:latin typeface="Arial Narrow" panose="020B0606020202030204" pitchFamily="34" charset="0"/>
                        <a:cs typeface="Arial" panose="020B0604020202020204" pitchFamily="34" charset="0"/>
                      </a:rPr>
                      <a:t>h_amb</a:t>
                    </a:r>
                  </a:p>
                  <a:p>
                    <a:r>
                      <a:rPr lang="en-US" altLang="ko-KR" sz="700" b="1">
                        <a:solidFill>
                          <a:srgbClr val="0070C0"/>
                        </a:solidFill>
                        <a:latin typeface="Arial Narrow" panose="020B0606020202030204" pitchFamily="34" charset="0"/>
                        <a:cs typeface="Arial" panose="020B0604020202020204" pitchFamily="34" charset="0"/>
                      </a:rPr>
                      <a:t>k_amb</a:t>
                    </a:r>
                  </a:p>
                  <a:p>
                    <a:r>
                      <a:rPr lang="en-US" altLang="ko-KR" sz="700" b="1">
                        <a:solidFill>
                          <a:srgbClr val="0070C0"/>
                        </a:solidFill>
                        <a:latin typeface="Arial Narrow" panose="020B0606020202030204" pitchFamily="34" charset="0"/>
                        <a:cs typeface="Arial" panose="020B0604020202020204" pitchFamily="34" charset="0"/>
                      </a:rPr>
                      <a:t>V_wind</a:t>
                    </a:r>
                    <a:endParaRPr lang="ko-KR" altLang="en-US" sz="700" b="1">
                      <a:solidFill>
                        <a:srgbClr val="0070C0"/>
                      </a:solidFill>
                      <a:latin typeface="Arial Narrow" panose="020B0606020202030204" pitchFamily="34" charset="0"/>
                      <a:cs typeface="Arial" panose="020B0604020202020204" pitchFamily="34" charset="0"/>
                    </a:endParaRPr>
                  </a:p>
                </xdr:txBody>
              </xdr:sp>
              <xdr:sp macro="" textlink="">
                <xdr:nvSpPr>
                  <xdr:cNvPr id="103" name="TextBox 102"/>
                  <xdr:cNvSpPr txBox="1"/>
                </xdr:nvSpPr>
                <xdr:spPr>
                  <a:xfrm>
                    <a:off x="1519737" y="4855030"/>
                    <a:ext cx="486073" cy="419571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US" altLang="ko-KR" sz="700" b="1">
                        <a:solidFill>
                          <a:srgbClr val="FF0000"/>
                        </a:solidFill>
                        <a:latin typeface="Arial Narrow" panose="020B0606020202030204" pitchFamily="34" charset="0"/>
                        <a:cs typeface="Arial" panose="020B0604020202020204" pitchFamily="34" charset="0"/>
                      </a:rPr>
                      <a:t>P_fluid</a:t>
                    </a:r>
                  </a:p>
                  <a:p>
                    <a:r>
                      <a:rPr lang="en-US" altLang="ko-KR" sz="700" b="1">
                        <a:solidFill>
                          <a:srgbClr val="FF0000"/>
                        </a:solidFill>
                        <a:latin typeface="Arial Narrow" panose="020B0606020202030204" pitchFamily="34" charset="0"/>
                        <a:cs typeface="Arial" panose="020B0604020202020204" pitchFamily="34" charset="0"/>
                      </a:rPr>
                      <a:t>T_fluid</a:t>
                    </a:r>
                  </a:p>
                  <a:p>
                    <a:r>
                      <a:rPr lang="en-US" altLang="ko-KR" sz="700" b="1">
                        <a:solidFill>
                          <a:srgbClr val="0070C0"/>
                        </a:solidFill>
                        <a:latin typeface="Arial Narrow" panose="020B0606020202030204" pitchFamily="34" charset="0"/>
                        <a:cs typeface="Arial" panose="020B0604020202020204" pitchFamily="34" charset="0"/>
                      </a:rPr>
                      <a:t>h_fluid</a:t>
                    </a:r>
                  </a:p>
                  <a:p>
                    <a:r>
                      <a:rPr lang="en-US" altLang="ko-KR" sz="700" b="1">
                        <a:solidFill>
                          <a:srgbClr val="0070C0"/>
                        </a:solidFill>
                        <a:latin typeface="Arial Narrow" panose="020B0606020202030204" pitchFamily="34" charset="0"/>
                        <a:cs typeface="Arial" panose="020B0604020202020204" pitchFamily="34" charset="0"/>
                      </a:rPr>
                      <a:t>k_fluid</a:t>
                    </a:r>
                    <a:endParaRPr lang="ko-KR" altLang="en-US" sz="700" b="1">
                      <a:solidFill>
                        <a:srgbClr val="0070C0"/>
                      </a:solidFill>
                      <a:latin typeface="Arial Narrow" panose="020B0606020202030204" pitchFamily="34" charset="0"/>
                      <a:cs typeface="Arial" panose="020B0604020202020204" pitchFamily="34" charset="0"/>
                    </a:endParaRPr>
                  </a:p>
                </xdr:txBody>
              </xdr:sp>
              <xdr:sp macro="" textlink="">
                <xdr:nvSpPr>
                  <xdr:cNvPr id="104" name="TextBox 103"/>
                  <xdr:cNvSpPr txBox="1"/>
                </xdr:nvSpPr>
                <xdr:spPr>
                  <a:xfrm>
                    <a:off x="1690123" y="4419130"/>
                    <a:ext cx="451761" cy="16352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US" altLang="ko-KR" sz="700" b="1">
                        <a:solidFill>
                          <a:srgbClr val="0070C0"/>
                        </a:solidFill>
                        <a:latin typeface="Arial Narrow" panose="020B0606020202030204" pitchFamily="34" charset="0"/>
                        <a:cs typeface="Arial" panose="020B0604020202020204" pitchFamily="34" charset="0"/>
                      </a:rPr>
                      <a:t>k_pipe</a:t>
                    </a:r>
                    <a:endParaRPr lang="ko-KR" altLang="en-US" sz="700" b="1">
                      <a:solidFill>
                        <a:srgbClr val="0070C0"/>
                      </a:solidFill>
                      <a:latin typeface="Arial Narrow" panose="020B0606020202030204" pitchFamily="34" charset="0"/>
                      <a:cs typeface="Arial" panose="020B0604020202020204" pitchFamily="34" charset="0"/>
                    </a:endParaRPr>
                  </a:p>
                </xdr:txBody>
              </xdr:sp>
              <xdr:sp macro="" textlink="">
                <xdr:nvSpPr>
                  <xdr:cNvPr id="105" name="TextBox 104"/>
                  <xdr:cNvSpPr txBox="1"/>
                </xdr:nvSpPr>
                <xdr:spPr>
                  <a:xfrm>
                    <a:off x="1695566" y="4244721"/>
                    <a:ext cx="451761" cy="163521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US" altLang="ko-KR" sz="700" b="1">
                        <a:solidFill>
                          <a:srgbClr val="0070C0"/>
                        </a:solidFill>
                        <a:latin typeface="Arial Narrow" panose="020B0606020202030204" pitchFamily="34" charset="0"/>
                        <a:cs typeface="Arial" panose="020B0604020202020204" pitchFamily="34" charset="0"/>
                      </a:rPr>
                      <a:t>k_insul</a:t>
                    </a:r>
                    <a:endParaRPr lang="ko-KR" altLang="en-US" sz="700" b="1">
                      <a:solidFill>
                        <a:srgbClr val="0070C0"/>
                      </a:solidFill>
                      <a:latin typeface="Arial Narrow" panose="020B0606020202030204" pitchFamily="34" charset="0"/>
                      <a:cs typeface="Arial" panose="020B0604020202020204" pitchFamily="34" charset="0"/>
                    </a:endParaRPr>
                  </a:p>
                </xdr:txBody>
              </xdr:sp>
            </xdr:grpSp>
          </xdr:grpSp>
          <mc:AlternateContent xmlns:mc="http://schemas.openxmlformats.org/markup-compatibility/2006" xmlns:a14="http://schemas.microsoft.com/office/drawing/2010/main">
            <mc:Choice Requires="a14">
              <xdr:sp macro="" textlink="">
                <xdr:nvSpPr>
                  <xdr:cNvPr id="86" name="TextBox 85"/>
                  <xdr:cNvSpPr txBox="1"/>
                </xdr:nvSpPr>
                <xdr:spPr>
                  <a:xfrm>
                    <a:off x="4022131" y="4136526"/>
                    <a:ext cx="1364669" cy="332463"/>
                  </a:xfrm>
                  <a:prstGeom prst="rect">
                    <a:avLst/>
                  </a:prstGeom>
                  <a:solidFill>
                    <a:sysClr val="window" lastClr="FFFFFF"/>
                  </a:solidFill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lIns="0" tIns="0" rIns="0" bIns="0" rtlCol="0" anchor="t">
                    <a:spAutoFit/>
                  </a:bodyPr>
                  <a:lstStyle/>
                  <a:p>
                    <a:pPr/>
                    <a14:m>
                      <m:oMathPara xmlns:m="http://schemas.openxmlformats.org/officeDocument/2006/math">
                        <m:oMathParaPr>
                          <m:jc m:val="centerGroup"/>
                        </m:oMathParaPr>
                        <m:oMath xmlns:m="http://schemas.openxmlformats.org/officeDocument/2006/math">
                          <m:r>
                            <a:rPr lang="en-US" altLang="ko-KR" sz="1000" b="0" i="1">
                              <a:latin typeface="Cambria Math" panose="02040503050406030204" pitchFamily="18" charset="0"/>
                            </a:rPr>
                            <m:t>𝑅</m:t>
                          </m:r>
                          <m:r>
                            <a:rPr lang="en-US" altLang="ko-KR" sz="1000" b="0" i="1">
                              <a:latin typeface="Cambria Math" panose="02040503050406030204" pitchFamily="18" charset="0"/>
                            </a:rPr>
                            <m:t>1=</m:t>
                          </m:r>
                          <m:f>
                            <m:fPr>
                              <m:ctrlPr>
                                <a:rPr lang="en-US" altLang="ko-KR" sz="1000" b="0" i="1">
                                  <a:latin typeface="Cambria Math" panose="02040503050406030204" pitchFamily="18" charset="0"/>
                                </a:rPr>
                              </m:ctrlPr>
                            </m:fPr>
                            <m:num>
                              <m:r>
                                <a:rPr lang="en-US" altLang="ko-KR" sz="1000" b="0" i="1">
                                  <a:latin typeface="Cambria Math" panose="02040503050406030204" pitchFamily="18" charset="0"/>
                                </a:rPr>
                                <m:t>1</m:t>
                              </m:r>
                            </m:num>
                            <m:den>
                              <m:sSub>
                                <m:sSubPr>
                                  <m:ctrlPr>
                                    <a:rPr lang="en-US" altLang="ko-KR" sz="1000" b="0" i="1">
                                      <a:latin typeface="Cambria Math" panose="02040503050406030204" pitchFamily="18" charset="0"/>
                                    </a:rPr>
                                  </m:ctrlPr>
                                </m:sSubPr>
                                <m:e>
                                  <m:r>
                                    <a:rPr lang="en-US" altLang="ko-KR" sz="1000" b="0" i="1">
                                      <a:latin typeface="Cambria Math" panose="02040503050406030204" pitchFamily="18" charset="0"/>
                                    </a:rPr>
                                    <m:t>h</m:t>
                                  </m:r>
                                </m:e>
                                <m:sub>
                                  <m:r>
                                    <a:rPr lang="en-US" altLang="ko-KR" sz="1000" b="0" i="1">
                                      <a:latin typeface="Cambria Math" panose="02040503050406030204" pitchFamily="18" charset="0"/>
                                    </a:rPr>
                                    <m:t>𝑓𝑙𝑢𝑖𝑑</m:t>
                                  </m:r>
                                </m:sub>
                              </m:sSub>
                              <m:r>
                                <a:rPr lang="en-US" altLang="ko-KR" sz="1000" b="0" i="1">
                                  <a:latin typeface="Cambria Math" panose="02040503050406030204" pitchFamily="18" charset="0"/>
                                </a:rPr>
                                <m:t>(2</m:t>
                              </m:r>
                              <m:r>
                                <a:rPr lang="ko-KR" altLang="en-US" sz="1000" b="0" i="1">
                                  <a:latin typeface="Cambria Math" panose="02040503050406030204" pitchFamily="18" charset="0"/>
                                </a:rPr>
                                <m:t>𝜋</m:t>
                              </m:r>
                              <m:sSub>
                                <m:sSubPr>
                                  <m:ctrlPr>
                                    <a:rPr lang="en-US" altLang="ko-KR" sz="1000" b="0" i="1">
                                      <a:latin typeface="Cambria Math" panose="02040503050406030204" pitchFamily="18" charset="0"/>
                                    </a:rPr>
                                  </m:ctrlPr>
                                </m:sSubPr>
                                <m:e>
                                  <m:r>
                                    <a:rPr lang="en-US" altLang="ko-KR" sz="1000" b="0" i="1">
                                      <a:latin typeface="Cambria Math" panose="02040503050406030204" pitchFamily="18" charset="0"/>
                                    </a:rPr>
                                    <m:t>𝑟</m:t>
                                  </m:r>
                                </m:e>
                                <m:sub>
                                  <m:r>
                                    <a:rPr lang="en-US" altLang="ko-KR" sz="1000" b="0" i="1">
                                      <a:latin typeface="Cambria Math" panose="02040503050406030204" pitchFamily="18" charset="0"/>
                                    </a:rPr>
                                    <m:t>𝑝𝑖</m:t>
                                  </m:r>
                                </m:sub>
                              </m:sSub>
                              <m:r>
                                <a:rPr lang="en-US" altLang="ko-KR" sz="1000" b="0" i="1">
                                  <a:latin typeface="Cambria Math" panose="02040503050406030204" pitchFamily="18" charset="0"/>
                                </a:rPr>
                                <m:t>𝐿</m:t>
                              </m:r>
                              <m:r>
                                <a:rPr lang="en-US" altLang="ko-KR" sz="1000" b="0" i="1">
                                  <a:latin typeface="Cambria Math" panose="02040503050406030204" pitchFamily="18" charset="0"/>
                                </a:rPr>
                                <m:t>)</m:t>
                              </m:r>
                            </m:den>
                          </m:f>
                          <m:d>
                            <m:dPr>
                              <m:begChr m:val="["/>
                              <m:endChr m:val="]"/>
                              <m:ctrlPr>
                                <a:rPr lang="en-US" altLang="ko-KR" sz="1000" b="0" i="1">
                                  <a:latin typeface="Cambria Math" panose="02040503050406030204" pitchFamily="18" charset="0"/>
                                </a:rPr>
                              </m:ctrlPr>
                            </m:dPr>
                            <m:e>
                              <m:f>
                                <m:fPr>
                                  <m:ctrlPr>
                                    <a:rPr lang="en-US" altLang="ko-KR" sz="1000" b="0" i="1">
                                      <a:latin typeface="Cambria Math" panose="02040503050406030204" pitchFamily="18" charset="0"/>
                                    </a:rPr>
                                  </m:ctrlPr>
                                </m:fPr>
                                <m:num>
                                  <m:r>
                                    <a:rPr lang="en-US" altLang="ko-KR" sz="1000" b="0" i="1">
                                      <a:latin typeface="Cambria Math" panose="02040503050406030204" pitchFamily="18" charset="0"/>
                                    </a:rPr>
                                    <m:t>𝐾</m:t>
                                  </m:r>
                                </m:num>
                                <m:den>
                                  <m:r>
                                    <a:rPr lang="en-US" altLang="ko-KR" sz="1000" b="0" i="1">
                                      <a:latin typeface="Cambria Math" panose="02040503050406030204" pitchFamily="18" charset="0"/>
                                    </a:rPr>
                                    <m:t>𝑚</m:t>
                                  </m:r>
                                </m:den>
                              </m:f>
                            </m:e>
                          </m:d>
                        </m:oMath>
                      </m:oMathPara>
                    </a14:m>
                    <a:endParaRPr lang="ko-KR" altLang="en-US" sz="1000">
                      <a:latin typeface="Arial" panose="020B0604020202020204" pitchFamily="34" charset="0"/>
                      <a:cs typeface="Arial" panose="020B0604020202020204" pitchFamily="34" charset="0"/>
                    </a:endParaRPr>
                  </a:p>
                </xdr:txBody>
              </xdr:sp>
            </mc:Choice>
            <mc:Fallback xmlns="">
              <xdr:sp macro="" textlink="">
                <xdr:nvSpPr>
                  <xdr:cNvPr id="86" name="TextBox 85"/>
                  <xdr:cNvSpPr txBox="1"/>
                </xdr:nvSpPr>
                <xdr:spPr>
                  <a:xfrm>
                    <a:off x="4022131" y="4136526"/>
                    <a:ext cx="1364669" cy="332463"/>
                  </a:xfrm>
                  <a:prstGeom prst="rect">
                    <a:avLst/>
                  </a:prstGeom>
                  <a:solidFill>
                    <a:sysClr val="window" lastClr="FFFFFF"/>
                  </a:solidFill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lIns="0" tIns="0" rIns="0" bIns="0" rtlCol="0" anchor="t">
                    <a:spAutoFit/>
                  </a:bodyPr>
                  <a:lstStyle/>
                  <a:p>
                    <a:pPr/>
                    <a:r>
                      <a:rPr lang="en-US" altLang="ko-KR" sz="1000" b="0" i="0">
                        <a:latin typeface="Cambria Math" panose="02040503050406030204" pitchFamily="18" charset="0"/>
                      </a:rPr>
                      <a:t>𝑅1=1/(ℎ_𝑓𝑙𝑢𝑖𝑑 (2</a:t>
                    </a:r>
                    <a:r>
                      <a:rPr lang="ko-KR" altLang="en-US" sz="1000" b="0" i="0">
                        <a:latin typeface="Cambria Math" panose="02040503050406030204" pitchFamily="18" charset="0"/>
                      </a:rPr>
                      <a:t>𝜋</a:t>
                    </a:r>
                    <a:r>
                      <a:rPr lang="en-US" altLang="ko-KR" sz="1000" b="0" i="0">
                        <a:latin typeface="Cambria Math" panose="02040503050406030204" pitchFamily="18" charset="0"/>
                      </a:rPr>
                      <a:t>𝑟_𝑝𝑖 𝐿)) [𝐾/𝑚]</a:t>
                    </a:r>
                    <a:endParaRPr lang="ko-KR" altLang="en-US" sz="1000">
                      <a:latin typeface="Arial" panose="020B0604020202020204" pitchFamily="34" charset="0"/>
                      <a:cs typeface="Arial" panose="020B0604020202020204" pitchFamily="34" charset="0"/>
                    </a:endParaRPr>
                  </a:p>
                </xdr:txBody>
              </xdr:sp>
            </mc:Fallback>
          </mc:AlternateContent>
          <mc:AlternateContent xmlns:mc="http://schemas.openxmlformats.org/markup-compatibility/2006" xmlns:a14="http://schemas.microsoft.com/office/drawing/2010/main">
            <mc:Choice Requires="a14">
              <xdr:sp macro="" textlink="">
                <xdr:nvSpPr>
                  <xdr:cNvPr id="87" name="TextBox 86"/>
                  <xdr:cNvSpPr txBox="1"/>
                </xdr:nvSpPr>
                <xdr:spPr>
                  <a:xfrm>
                    <a:off x="4024329" y="4612043"/>
                    <a:ext cx="1077218" cy="467757"/>
                  </a:xfrm>
                  <a:prstGeom prst="rect">
                    <a:avLst/>
                  </a:prstGeom>
                  <a:solidFill>
                    <a:sysClr val="window" lastClr="FFFFFF"/>
                  </a:solidFill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lIns="0" tIns="0" rIns="0" bIns="0" rtlCol="0" anchor="t">
                    <a:spAutoFit/>
                  </a:bodyPr>
                  <a:lstStyle/>
                  <a:p>
                    <a:pPr/>
                    <a14:m>
                      <m:oMathPara xmlns:m="http://schemas.openxmlformats.org/officeDocument/2006/math">
                        <m:oMathParaPr>
                          <m:jc m:val="centerGroup"/>
                        </m:oMathParaPr>
                        <m:oMath xmlns:m="http://schemas.openxmlformats.org/officeDocument/2006/math">
                          <m:r>
                            <a:rPr lang="en-US" altLang="ko-KR" sz="1000" b="0" i="1">
                              <a:latin typeface="Cambria Math" panose="02040503050406030204" pitchFamily="18" charset="0"/>
                            </a:rPr>
                            <m:t>𝑅</m:t>
                          </m:r>
                          <m:r>
                            <a:rPr lang="en-US" altLang="ko-KR" sz="1000" b="0" i="1">
                              <a:latin typeface="Cambria Math" panose="02040503050406030204" pitchFamily="18" charset="0"/>
                            </a:rPr>
                            <m:t>2=</m:t>
                          </m:r>
                          <m:f>
                            <m:fPr>
                              <m:ctrlPr>
                                <a:rPr lang="en-US" altLang="ko-KR" sz="1000" b="0" i="1">
                                  <a:latin typeface="Cambria Math" panose="02040503050406030204" pitchFamily="18" charset="0"/>
                                </a:rPr>
                              </m:ctrlPr>
                            </m:fPr>
                            <m:num>
                              <m:r>
                                <m:rPr>
                                  <m:sty m:val="p"/>
                                </m:rPr>
                                <a:rPr lang="en-US" altLang="ko-KR" sz="1000" b="0" i="0">
                                  <a:latin typeface="Cambria Math" panose="02040503050406030204" pitchFamily="18" charset="0"/>
                                </a:rPr>
                                <m:t>ln</m:t>
                              </m:r>
                              <m:r>
                                <a:rPr lang="en-US" altLang="ko-KR" sz="1000" b="0" i="1">
                                  <a:latin typeface="Cambria Math" panose="02040503050406030204" pitchFamily="18" charset="0"/>
                                </a:rPr>
                                <m:t>⁡(</m:t>
                              </m:r>
                              <m:f>
                                <m:fPr>
                                  <m:ctrlPr>
                                    <a:rPr lang="en-US" altLang="ko-KR" sz="1000" b="0" i="1">
                                      <a:latin typeface="Cambria Math" panose="02040503050406030204" pitchFamily="18" charset="0"/>
                                    </a:rPr>
                                  </m:ctrlPr>
                                </m:fPr>
                                <m:num>
                                  <m:sSub>
                                    <m:sSubPr>
                                      <m:ctrlPr>
                                        <a:rPr lang="en-US" altLang="ko-KR" sz="1000" b="0" i="1">
                                          <a:latin typeface="Cambria Math" panose="02040503050406030204" pitchFamily="18" charset="0"/>
                                        </a:rPr>
                                      </m:ctrlPr>
                                    </m:sSubPr>
                                    <m:e>
                                      <m:r>
                                        <a:rPr lang="en-US" altLang="ko-KR" sz="1000" b="0" i="1">
                                          <a:latin typeface="Cambria Math" panose="02040503050406030204" pitchFamily="18" charset="0"/>
                                        </a:rPr>
                                        <m:t>𝑟</m:t>
                                      </m:r>
                                    </m:e>
                                    <m:sub>
                                      <m:r>
                                        <a:rPr lang="en-US" altLang="ko-KR" sz="1000" b="0" i="1">
                                          <a:latin typeface="Cambria Math" panose="02040503050406030204" pitchFamily="18" charset="0"/>
                                        </a:rPr>
                                        <m:t>𝑝𝑜</m:t>
                                      </m:r>
                                    </m:sub>
                                  </m:sSub>
                                </m:num>
                                <m:den>
                                  <m:sSub>
                                    <m:sSubPr>
                                      <m:ctrlPr>
                                        <a:rPr lang="en-US" altLang="ko-KR" sz="1000" b="0" i="1">
                                          <a:latin typeface="Cambria Math" panose="02040503050406030204" pitchFamily="18" charset="0"/>
                                        </a:rPr>
                                      </m:ctrlPr>
                                    </m:sSubPr>
                                    <m:e>
                                      <m:r>
                                        <a:rPr lang="en-US" altLang="ko-KR" sz="1000" b="0" i="1">
                                          <a:latin typeface="Cambria Math" panose="02040503050406030204" pitchFamily="18" charset="0"/>
                                        </a:rPr>
                                        <m:t>𝑟</m:t>
                                      </m:r>
                                    </m:e>
                                    <m:sub>
                                      <m:r>
                                        <a:rPr lang="en-US" altLang="ko-KR" sz="1000" b="0" i="1">
                                          <a:latin typeface="Cambria Math" panose="02040503050406030204" pitchFamily="18" charset="0"/>
                                        </a:rPr>
                                        <m:t>𝑝𝑖</m:t>
                                      </m:r>
                                    </m:sub>
                                  </m:sSub>
                                </m:den>
                              </m:f>
                              <m:r>
                                <a:rPr lang="en-US" altLang="ko-KR" sz="1000" b="0" i="1">
                                  <a:latin typeface="Cambria Math" panose="02040503050406030204" pitchFamily="18" charset="0"/>
                                </a:rPr>
                                <m:t>)</m:t>
                              </m:r>
                            </m:num>
                            <m:den>
                              <m:r>
                                <a:rPr lang="en-US" altLang="ko-KR" sz="1000" b="0" i="1">
                                  <a:latin typeface="Cambria Math" panose="02040503050406030204" pitchFamily="18" charset="0"/>
                                </a:rPr>
                                <m:t>2</m:t>
                              </m:r>
                              <m:r>
                                <a:rPr lang="ko-KR" altLang="en-US" sz="1000" b="0" i="1">
                                  <a:latin typeface="Cambria Math" panose="02040503050406030204" pitchFamily="18" charset="0"/>
                                </a:rPr>
                                <m:t>𝜋</m:t>
                              </m:r>
                              <m:sSub>
                                <m:sSubPr>
                                  <m:ctrlPr>
                                    <a:rPr lang="en-US" altLang="ko-KR" sz="1000" b="0" i="1">
                                      <a:latin typeface="Cambria Math" panose="02040503050406030204" pitchFamily="18" charset="0"/>
                                    </a:rPr>
                                  </m:ctrlPr>
                                </m:sSubPr>
                                <m:e>
                                  <m:r>
                                    <a:rPr lang="en-US" altLang="ko-KR" sz="1000" b="0" i="1">
                                      <a:latin typeface="Cambria Math" panose="02040503050406030204" pitchFamily="18" charset="0"/>
                                    </a:rPr>
                                    <m:t>𝑘</m:t>
                                  </m:r>
                                </m:e>
                                <m:sub>
                                  <m:r>
                                    <a:rPr lang="en-US" altLang="ko-KR" sz="1000" b="0" i="1">
                                      <a:latin typeface="Cambria Math" panose="02040503050406030204" pitchFamily="18" charset="0"/>
                                    </a:rPr>
                                    <m:t>𝑝𝑖𝑝𝑒</m:t>
                                  </m:r>
                                </m:sub>
                              </m:sSub>
                              <m:r>
                                <a:rPr lang="en-US" altLang="ko-KR" sz="1000" b="0" i="1">
                                  <a:latin typeface="Cambria Math" panose="02040503050406030204" pitchFamily="18" charset="0"/>
                                </a:rPr>
                                <m:t>𝐿</m:t>
                              </m:r>
                            </m:den>
                          </m:f>
                          <m:d>
                            <m:dPr>
                              <m:begChr m:val="["/>
                              <m:endChr m:val="]"/>
                              <m:ctrlPr>
                                <a:rPr lang="en-US" altLang="ko-KR" sz="1000" b="0" i="1">
                                  <a:latin typeface="Cambria Math" panose="02040503050406030204" pitchFamily="18" charset="0"/>
                                </a:rPr>
                              </m:ctrlPr>
                            </m:dPr>
                            <m:e>
                              <m:f>
                                <m:fPr>
                                  <m:ctrlPr>
                                    <a:rPr lang="en-US" altLang="ko-KR" sz="1000" b="0" i="1">
                                      <a:latin typeface="Cambria Math" panose="02040503050406030204" pitchFamily="18" charset="0"/>
                                    </a:rPr>
                                  </m:ctrlPr>
                                </m:fPr>
                                <m:num>
                                  <m:r>
                                    <a:rPr lang="en-US" altLang="ko-KR" sz="1000" b="0" i="1">
                                      <a:latin typeface="Cambria Math" panose="02040503050406030204" pitchFamily="18" charset="0"/>
                                    </a:rPr>
                                    <m:t>𝐾</m:t>
                                  </m:r>
                                </m:num>
                                <m:den>
                                  <m:r>
                                    <a:rPr lang="en-US" altLang="ko-KR" sz="1000" b="0" i="1">
                                      <a:latin typeface="Cambria Math" panose="02040503050406030204" pitchFamily="18" charset="0"/>
                                    </a:rPr>
                                    <m:t>𝑚</m:t>
                                  </m:r>
                                </m:den>
                              </m:f>
                            </m:e>
                          </m:d>
                        </m:oMath>
                      </m:oMathPara>
                    </a14:m>
                    <a:endParaRPr lang="ko-KR" altLang="en-US" sz="1000">
                      <a:latin typeface="Arial" panose="020B0604020202020204" pitchFamily="34" charset="0"/>
                      <a:cs typeface="Arial" panose="020B0604020202020204" pitchFamily="34" charset="0"/>
                    </a:endParaRPr>
                  </a:p>
                </xdr:txBody>
              </xdr:sp>
            </mc:Choice>
            <mc:Fallback xmlns="">
              <xdr:sp macro="" textlink="">
                <xdr:nvSpPr>
                  <xdr:cNvPr id="87" name="TextBox 86"/>
                  <xdr:cNvSpPr txBox="1"/>
                </xdr:nvSpPr>
                <xdr:spPr>
                  <a:xfrm>
                    <a:off x="4024329" y="4612043"/>
                    <a:ext cx="1077218" cy="467757"/>
                  </a:xfrm>
                  <a:prstGeom prst="rect">
                    <a:avLst/>
                  </a:prstGeom>
                  <a:solidFill>
                    <a:sysClr val="window" lastClr="FFFFFF"/>
                  </a:solidFill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lIns="0" tIns="0" rIns="0" bIns="0" rtlCol="0" anchor="t">
                    <a:spAutoFit/>
                  </a:bodyPr>
                  <a:lstStyle/>
                  <a:p>
                    <a:pPr/>
                    <a:r>
                      <a:rPr lang="en-US" altLang="ko-KR" sz="1000" b="0" i="0">
                        <a:latin typeface="Cambria Math" panose="02040503050406030204" pitchFamily="18" charset="0"/>
                      </a:rPr>
                      <a:t>𝑅2=(ln⁡(𝑟_𝑝𝑜/𝑟_𝑝𝑖 ))/(2</a:t>
                    </a:r>
                    <a:r>
                      <a:rPr lang="ko-KR" altLang="en-US" sz="1000" b="0" i="0">
                        <a:latin typeface="Cambria Math" panose="02040503050406030204" pitchFamily="18" charset="0"/>
                      </a:rPr>
                      <a:t>𝜋</a:t>
                    </a:r>
                    <a:r>
                      <a:rPr lang="en-US" altLang="ko-KR" sz="1000" b="0" i="0">
                        <a:latin typeface="Cambria Math" panose="02040503050406030204" pitchFamily="18" charset="0"/>
                      </a:rPr>
                      <a:t>𝑘_𝑝𝑖𝑝𝑒 𝐿) [𝐾/𝑚]</a:t>
                    </a:r>
                    <a:endParaRPr lang="ko-KR" altLang="en-US" sz="1000">
                      <a:latin typeface="Arial" panose="020B0604020202020204" pitchFamily="34" charset="0"/>
                      <a:cs typeface="Arial" panose="020B0604020202020204" pitchFamily="34" charset="0"/>
                    </a:endParaRPr>
                  </a:p>
                </xdr:txBody>
              </xdr:sp>
            </mc:Fallback>
          </mc:AlternateContent>
          <mc:AlternateContent xmlns:mc="http://schemas.openxmlformats.org/markup-compatibility/2006" xmlns:a14="http://schemas.microsoft.com/office/drawing/2010/main">
            <mc:Choice Requires="a14">
              <xdr:sp macro="" textlink="">
                <xdr:nvSpPr>
                  <xdr:cNvPr id="88" name="TextBox 87"/>
                  <xdr:cNvSpPr txBox="1"/>
                </xdr:nvSpPr>
                <xdr:spPr>
                  <a:xfrm>
                    <a:off x="4019933" y="5258279"/>
                    <a:ext cx="1108829" cy="434030"/>
                  </a:xfrm>
                  <a:prstGeom prst="rect">
                    <a:avLst/>
                  </a:prstGeom>
                  <a:solidFill>
                    <a:sysClr val="window" lastClr="FFFFFF"/>
                  </a:solidFill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lIns="0" tIns="0" rIns="0" bIns="0" rtlCol="0" anchor="t">
                    <a:spAutoFit/>
                  </a:bodyPr>
                  <a:lstStyle/>
                  <a:p>
                    <a:pPr/>
                    <a14:m>
                      <m:oMathPara xmlns:m="http://schemas.openxmlformats.org/officeDocument/2006/math">
                        <m:oMathParaPr>
                          <m:jc m:val="centerGroup"/>
                        </m:oMathParaPr>
                        <m:oMath xmlns:m="http://schemas.openxmlformats.org/officeDocument/2006/math">
                          <m:r>
                            <a:rPr lang="en-US" altLang="ko-KR" sz="1000" b="0" i="1">
                              <a:latin typeface="Cambria Math" panose="02040503050406030204" pitchFamily="18" charset="0"/>
                            </a:rPr>
                            <m:t>𝑅</m:t>
                          </m:r>
                          <m:r>
                            <a:rPr lang="en-US" altLang="ko-KR" sz="1000" b="0" i="1">
                              <a:latin typeface="Cambria Math" panose="02040503050406030204" pitchFamily="18" charset="0"/>
                            </a:rPr>
                            <m:t>3=</m:t>
                          </m:r>
                          <m:f>
                            <m:fPr>
                              <m:ctrlPr>
                                <a:rPr lang="en-US" altLang="ko-KR" sz="1000" b="0" i="1">
                                  <a:latin typeface="Cambria Math" panose="02040503050406030204" pitchFamily="18" charset="0"/>
                                </a:rPr>
                              </m:ctrlPr>
                            </m:fPr>
                            <m:num>
                              <m:r>
                                <m:rPr>
                                  <m:sty m:val="p"/>
                                </m:rPr>
                                <a:rPr lang="en-US" altLang="ko-KR" sz="1000" b="0" i="0">
                                  <a:latin typeface="Cambria Math" panose="02040503050406030204" pitchFamily="18" charset="0"/>
                                </a:rPr>
                                <m:t>ln</m:t>
                              </m:r>
                              <m:r>
                                <a:rPr lang="en-US" altLang="ko-KR" sz="1000" b="0" i="1">
                                  <a:latin typeface="Cambria Math" panose="02040503050406030204" pitchFamily="18" charset="0"/>
                                </a:rPr>
                                <m:t>⁡(</m:t>
                              </m:r>
                              <m:f>
                                <m:fPr>
                                  <m:ctrlPr>
                                    <a:rPr lang="en-US" altLang="ko-KR" sz="1000" b="0" i="1">
                                      <a:latin typeface="Cambria Math" panose="02040503050406030204" pitchFamily="18" charset="0"/>
                                    </a:rPr>
                                  </m:ctrlPr>
                                </m:fPr>
                                <m:num>
                                  <m:sSub>
                                    <m:sSubPr>
                                      <m:ctrlPr>
                                        <a:rPr lang="en-US" altLang="ko-KR" sz="1000" b="0" i="1">
                                          <a:latin typeface="Cambria Math" panose="02040503050406030204" pitchFamily="18" charset="0"/>
                                        </a:rPr>
                                      </m:ctrlPr>
                                    </m:sSubPr>
                                    <m:e>
                                      <m:r>
                                        <a:rPr lang="en-US" altLang="ko-KR" sz="1000" b="0" i="1">
                                          <a:latin typeface="Cambria Math" panose="02040503050406030204" pitchFamily="18" charset="0"/>
                                        </a:rPr>
                                        <m:t>𝑟</m:t>
                                      </m:r>
                                    </m:e>
                                    <m:sub>
                                      <m:r>
                                        <a:rPr lang="en-US" altLang="ko-KR" sz="1000" b="0" i="1">
                                          <a:latin typeface="Cambria Math" panose="02040503050406030204" pitchFamily="18" charset="0"/>
                                        </a:rPr>
                                        <m:t>𝑖𝑜</m:t>
                                      </m:r>
                                    </m:sub>
                                  </m:sSub>
                                </m:num>
                                <m:den>
                                  <m:sSub>
                                    <m:sSubPr>
                                      <m:ctrlPr>
                                        <a:rPr lang="en-US" altLang="ko-KR" sz="1000" b="0" i="1">
                                          <a:latin typeface="Cambria Math" panose="02040503050406030204" pitchFamily="18" charset="0"/>
                                        </a:rPr>
                                      </m:ctrlPr>
                                    </m:sSubPr>
                                    <m:e>
                                      <m:r>
                                        <a:rPr lang="en-US" altLang="ko-KR" sz="1000" b="0" i="1">
                                          <a:latin typeface="Cambria Math" panose="02040503050406030204" pitchFamily="18" charset="0"/>
                                        </a:rPr>
                                        <m:t>𝑟</m:t>
                                      </m:r>
                                    </m:e>
                                    <m:sub>
                                      <m:r>
                                        <a:rPr lang="en-US" altLang="ko-KR" sz="1000" b="0" i="1">
                                          <a:latin typeface="Cambria Math" panose="02040503050406030204" pitchFamily="18" charset="0"/>
                                        </a:rPr>
                                        <m:t>𝑝𝑜</m:t>
                                      </m:r>
                                    </m:sub>
                                  </m:sSub>
                                </m:den>
                              </m:f>
                              <m:r>
                                <a:rPr lang="en-US" altLang="ko-KR" sz="1000" b="0" i="1">
                                  <a:latin typeface="Cambria Math" panose="02040503050406030204" pitchFamily="18" charset="0"/>
                                </a:rPr>
                                <m:t>)</m:t>
                              </m:r>
                            </m:num>
                            <m:den>
                              <m:r>
                                <a:rPr lang="en-US" altLang="ko-KR" sz="1000" b="0" i="1">
                                  <a:latin typeface="Cambria Math" panose="02040503050406030204" pitchFamily="18" charset="0"/>
                                </a:rPr>
                                <m:t>2</m:t>
                              </m:r>
                              <m:r>
                                <a:rPr lang="ko-KR" altLang="en-US" sz="1000" b="0" i="1">
                                  <a:latin typeface="Cambria Math" panose="02040503050406030204" pitchFamily="18" charset="0"/>
                                </a:rPr>
                                <m:t>𝜋</m:t>
                              </m:r>
                              <m:sSub>
                                <m:sSubPr>
                                  <m:ctrlPr>
                                    <a:rPr lang="en-US" altLang="ko-KR" sz="1000" b="0" i="1">
                                      <a:latin typeface="Cambria Math" panose="02040503050406030204" pitchFamily="18" charset="0"/>
                                    </a:rPr>
                                  </m:ctrlPr>
                                </m:sSubPr>
                                <m:e>
                                  <m:r>
                                    <a:rPr lang="en-US" altLang="ko-KR" sz="1000" b="0" i="1">
                                      <a:latin typeface="Cambria Math" panose="02040503050406030204" pitchFamily="18" charset="0"/>
                                    </a:rPr>
                                    <m:t>𝑘</m:t>
                                  </m:r>
                                </m:e>
                                <m:sub>
                                  <m:r>
                                    <a:rPr lang="en-US" altLang="ko-KR" sz="1000" b="0" i="1">
                                      <a:latin typeface="Cambria Math" panose="02040503050406030204" pitchFamily="18" charset="0"/>
                                    </a:rPr>
                                    <m:t>𝑖𝑛𝑠𝑢𝑙</m:t>
                                  </m:r>
                                </m:sub>
                              </m:sSub>
                              <m:r>
                                <a:rPr lang="en-US" altLang="ko-KR" sz="1000" b="0" i="1">
                                  <a:latin typeface="Cambria Math" panose="02040503050406030204" pitchFamily="18" charset="0"/>
                                </a:rPr>
                                <m:t>𝐿</m:t>
                              </m:r>
                            </m:den>
                          </m:f>
                          <m:d>
                            <m:dPr>
                              <m:begChr m:val="["/>
                              <m:endChr m:val="]"/>
                              <m:ctrlPr>
                                <a:rPr lang="en-US" altLang="ko-KR" sz="1000" b="0" i="1">
                                  <a:latin typeface="Cambria Math" panose="02040503050406030204" pitchFamily="18" charset="0"/>
                                </a:rPr>
                              </m:ctrlPr>
                            </m:dPr>
                            <m:e>
                              <m:f>
                                <m:fPr>
                                  <m:ctrlPr>
                                    <a:rPr lang="en-US" altLang="ko-KR" sz="1000" b="0" i="1">
                                      <a:latin typeface="Cambria Math" panose="02040503050406030204" pitchFamily="18" charset="0"/>
                                    </a:rPr>
                                  </m:ctrlPr>
                                </m:fPr>
                                <m:num>
                                  <m:r>
                                    <a:rPr lang="en-US" altLang="ko-KR" sz="1000" b="0" i="1">
                                      <a:latin typeface="Cambria Math" panose="02040503050406030204" pitchFamily="18" charset="0"/>
                                    </a:rPr>
                                    <m:t>𝐾</m:t>
                                  </m:r>
                                </m:num>
                                <m:den>
                                  <m:r>
                                    <a:rPr lang="en-US" altLang="ko-KR" sz="1000" b="0" i="1">
                                      <a:latin typeface="Cambria Math" panose="02040503050406030204" pitchFamily="18" charset="0"/>
                                    </a:rPr>
                                    <m:t>𝑚</m:t>
                                  </m:r>
                                </m:den>
                              </m:f>
                            </m:e>
                          </m:d>
                        </m:oMath>
                      </m:oMathPara>
                    </a14:m>
                    <a:endParaRPr lang="ko-KR" altLang="en-US" sz="1000">
                      <a:latin typeface="Arial" panose="020B0604020202020204" pitchFamily="34" charset="0"/>
                      <a:cs typeface="Arial" panose="020B0604020202020204" pitchFamily="34" charset="0"/>
                    </a:endParaRPr>
                  </a:p>
                </xdr:txBody>
              </xdr:sp>
            </mc:Choice>
            <mc:Fallback xmlns="">
              <xdr:sp macro="" textlink="">
                <xdr:nvSpPr>
                  <xdr:cNvPr id="88" name="TextBox 87"/>
                  <xdr:cNvSpPr txBox="1"/>
                </xdr:nvSpPr>
                <xdr:spPr>
                  <a:xfrm>
                    <a:off x="4019933" y="5258279"/>
                    <a:ext cx="1108829" cy="434030"/>
                  </a:xfrm>
                  <a:prstGeom prst="rect">
                    <a:avLst/>
                  </a:prstGeom>
                  <a:solidFill>
                    <a:sysClr val="window" lastClr="FFFFFF"/>
                  </a:solidFill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lIns="0" tIns="0" rIns="0" bIns="0" rtlCol="0" anchor="t">
                    <a:spAutoFit/>
                  </a:bodyPr>
                  <a:lstStyle/>
                  <a:p>
                    <a:pPr/>
                    <a:r>
                      <a:rPr lang="en-US" altLang="ko-KR" sz="1000" b="0" i="0">
                        <a:latin typeface="Cambria Math" panose="02040503050406030204" pitchFamily="18" charset="0"/>
                      </a:rPr>
                      <a:t>𝑅3=(ln⁡(𝑟_𝑖𝑜/𝑟_𝑝𝑜 ))/(2</a:t>
                    </a:r>
                    <a:r>
                      <a:rPr lang="ko-KR" altLang="en-US" sz="1000" b="0" i="0">
                        <a:latin typeface="Cambria Math" panose="02040503050406030204" pitchFamily="18" charset="0"/>
                      </a:rPr>
                      <a:t>𝜋</a:t>
                    </a:r>
                    <a:r>
                      <a:rPr lang="en-US" altLang="ko-KR" sz="1000" b="0" i="0">
                        <a:latin typeface="Cambria Math" panose="02040503050406030204" pitchFamily="18" charset="0"/>
                      </a:rPr>
                      <a:t>𝑘_𝑖𝑛𝑠𝑢𝑙 𝐿) [𝐾/𝑚]</a:t>
                    </a:r>
                    <a:endParaRPr lang="ko-KR" altLang="en-US" sz="1000">
                      <a:latin typeface="Arial" panose="020B0604020202020204" pitchFamily="34" charset="0"/>
                      <a:cs typeface="Arial" panose="020B0604020202020204" pitchFamily="34" charset="0"/>
                    </a:endParaRPr>
                  </a:p>
                </xdr:txBody>
              </xdr:sp>
            </mc:Fallback>
          </mc:AlternateContent>
          <mc:AlternateContent xmlns:mc="http://schemas.openxmlformats.org/markup-compatibility/2006" xmlns:a14="http://schemas.microsoft.com/office/drawing/2010/main">
            <mc:Choice Requires="a14">
              <xdr:sp macro="" textlink="">
                <xdr:nvSpPr>
                  <xdr:cNvPr id="89" name="TextBox 88"/>
                  <xdr:cNvSpPr txBox="1"/>
                </xdr:nvSpPr>
                <xdr:spPr>
                  <a:xfrm>
                    <a:off x="4009675" y="5871541"/>
                    <a:ext cx="1336200" cy="332463"/>
                  </a:xfrm>
                  <a:prstGeom prst="rect">
                    <a:avLst/>
                  </a:prstGeom>
                  <a:solidFill>
                    <a:sysClr val="window" lastClr="FFFFFF"/>
                  </a:solidFill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lIns="0" tIns="0" rIns="0" bIns="0" rtlCol="0" anchor="t">
                    <a:spAutoFit/>
                  </a:bodyPr>
                  <a:lstStyle/>
                  <a:p>
                    <a:pPr/>
                    <a14:m>
                      <m:oMathPara xmlns:m="http://schemas.openxmlformats.org/officeDocument/2006/math">
                        <m:oMathParaPr>
                          <m:jc m:val="centerGroup"/>
                        </m:oMathParaPr>
                        <m:oMath xmlns:m="http://schemas.openxmlformats.org/officeDocument/2006/math">
                          <m:r>
                            <a:rPr lang="en-US" altLang="ko-KR" sz="1000" b="0" i="1">
                              <a:latin typeface="Cambria Math" panose="02040503050406030204" pitchFamily="18" charset="0"/>
                            </a:rPr>
                            <m:t>𝑅</m:t>
                          </m:r>
                          <m:r>
                            <a:rPr lang="en-US" altLang="ko-KR" sz="1000" b="0" i="1">
                              <a:latin typeface="Cambria Math" panose="02040503050406030204" pitchFamily="18" charset="0"/>
                            </a:rPr>
                            <m:t>4=</m:t>
                          </m:r>
                          <m:f>
                            <m:fPr>
                              <m:ctrlPr>
                                <a:rPr lang="en-US" altLang="ko-KR" sz="1000" b="0" i="1">
                                  <a:latin typeface="Cambria Math" panose="02040503050406030204" pitchFamily="18" charset="0"/>
                                </a:rPr>
                              </m:ctrlPr>
                            </m:fPr>
                            <m:num>
                              <m:r>
                                <a:rPr lang="en-US" altLang="ko-KR" sz="1000" b="0" i="1">
                                  <a:latin typeface="Cambria Math" panose="02040503050406030204" pitchFamily="18" charset="0"/>
                                </a:rPr>
                                <m:t>1</m:t>
                              </m:r>
                            </m:num>
                            <m:den>
                              <m:sSub>
                                <m:sSubPr>
                                  <m:ctrlPr>
                                    <a:rPr lang="en-US" altLang="ko-KR" sz="1000" b="0" i="1">
                                      <a:latin typeface="Cambria Math" panose="02040503050406030204" pitchFamily="18" charset="0"/>
                                    </a:rPr>
                                  </m:ctrlPr>
                                </m:sSubPr>
                                <m:e>
                                  <m:r>
                                    <a:rPr lang="en-US" altLang="ko-KR" sz="1000" b="0" i="1">
                                      <a:latin typeface="Cambria Math" panose="02040503050406030204" pitchFamily="18" charset="0"/>
                                    </a:rPr>
                                    <m:t>h</m:t>
                                  </m:r>
                                </m:e>
                                <m:sub>
                                  <m:r>
                                    <a:rPr lang="en-US" altLang="ko-KR" sz="1000" b="0" i="1">
                                      <a:latin typeface="Cambria Math" panose="02040503050406030204" pitchFamily="18" charset="0"/>
                                    </a:rPr>
                                    <m:t>𝑠𝑢𝑟𝑓</m:t>
                                  </m:r>
                                </m:sub>
                              </m:sSub>
                              <m:r>
                                <a:rPr lang="en-US" altLang="ko-KR" sz="1000" b="0" i="1">
                                  <a:latin typeface="Cambria Math" panose="02040503050406030204" pitchFamily="18" charset="0"/>
                                </a:rPr>
                                <m:t>(2</m:t>
                              </m:r>
                              <m:r>
                                <a:rPr lang="ko-KR" altLang="en-US" sz="1000" b="0" i="1">
                                  <a:latin typeface="Cambria Math" panose="02040503050406030204" pitchFamily="18" charset="0"/>
                                </a:rPr>
                                <m:t>𝜋</m:t>
                              </m:r>
                              <m:sSub>
                                <m:sSubPr>
                                  <m:ctrlPr>
                                    <a:rPr lang="en-US" altLang="ko-KR" sz="1000" b="0" i="1">
                                      <a:latin typeface="Cambria Math" panose="02040503050406030204" pitchFamily="18" charset="0"/>
                                    </a:rPr>
                                  </m:ctrlPr>
                                </m:sSubPr>
                                <m:e>
                                  <m:r>
                                    <a:rPr lang="en-US" altLang="ko-KR" sz="1000" b="0" i="1">
                                      <a:latin typeface="Cambria Math" panose="02040503050406030204" pitchFamily="18" charset="0"/>
                                    </a:rPr>
                                    <m:t>𝑟</m:t>
                                  </m:r>
                                </m:e>
                                <m:sub>
                                  <m:r>
                                    <a:rPr lang="en-US" altLang="ko-KR" sz="1000" b="0" i="1">
                                      <a:latin typeface="Cambria Math" panose="02040503050406030204" pitchFamily="18" charset="0"/>
                                    </a:rPr>
                                    <m:t>𝑖𝑜</m:t>
                                  </m:r>
                                </m:sub>
                              </m:sSub>
                              <m:r>
                                <a:rPr lang="en-US" altLang="ko-KR" sz="1000" b="0" i="1">
                                  <a:latin typeface="Cambria Math" panose="02040503050406030204" pitchFamily="18" charset="0"/>
                                </a:rPr>
                                <m:t>𝐿</m:t>
                              </m:r>
                              <m:r>
                                <a:rPr lang="en-US" altLang="ko-KR" sz="1000" b="0" i="1">
                                  <a:latin typeface="Cambria Math" panose="02040503050406030204" pitchFamily="18" charset="0"/>
                                </a:rPr>
                                <m:t>)</m:t>
                              </m:r>
                            </m:den>
                          </m:f>
                          <m:d>
                            <m:dPr>
                              <m:begChr m:val="["/>
                              <m:endChr m:val="]"/>
                              <m:ctrlPr>
                                <a:rPr lang="en-US" altLang="ko-KR" sz="1000" b="0" i="1">
                                  <a:latin typeface="Cambria Math" panose="02040503050406030204" pitchFamily="18" charset="0"/>
                                </a:rPr>
                              </m:ctrlPr>
                            </m:dPr>
                            <m:e>
                              <m:f>
                                <m:fPr>
                                  <m:ctrlPr>
                                    <a:rPr lang="en-US" altLang="ko-KR" sz="1000" b="0" i="1">
                                      <a:latin typeface="Cambria Math" panose="02040503050406030204" pitchFamily="18" charset="0"/>
                                    </a:rPr>
                                  </m:ctrlPr>
                                </m:fPr>
                                <m:num>
                                  <m:r>
                                    <a:rPr lang="en-US" altLang="ko-KR" sz="1000" b="0" i="1">
                                      <a:latin typeface="Cambria Math" panose="02040503050406030204" pitchFamily="18" charset="0"/>
                                    </a:rPr>
                                    <m:t>𝐾</m:t>
                                  </m:r>
                                </m:num>
                                <m:den>
                                  <m:r>
                                    <a:rPr lang="en-US" altLang="ko-KR" sz="1000" b="0" i="1">
                                      <a:latin typeface="Cambria Math" panose="02040503050406030204" pitchFamily="18" charset="0"/>
                                    </a:rPr>
                                    <m:t>𝑚</m:t>
                                  </m:r>
                                </m:den>
                              </m:f>
                            </m:e>
                          </m:d>
                        </m:oMath>
                      </m:oMathPara>
                    </a14:m>
                    <a:endParaRPr lang="ko-KR" altLang="en-US" sz="1000">
                      <a:latin typeface="Arial" panose="020B0604020202020204" pitchFamily="34" charset="0"/>
                      <a:cs typeface="Arial" panose="020B0604020202020204" pitchFamily="34" charset="0"/>
                    </a:endParaRPr>
                  </a:p>
                </xdr:txBody>
              </xdr:sp>
            </mc:Choice>
            <mc:Fallback xmlns="">
              <xdr:sp macro="" textlink="">
                <xdr:nvSpPr>
                  <xdr:cNvPr id="89" name="TextBox 88"/>
                  <xdr:cNvSpPr txBox="1"/>
                </xdr:nvSpPr>
                <xdr:spPr>
                  <a:xfrm>
                    <a:off x="4009675" y="5871541"/>
                    <a:ext cx="1336200" cy="332463"/>
                  </a:xfrm>
                  <a:prstGeom prst="rect">
                    <a:avLst/>
                  </a:prstGeom>
                  <a:solidFill>
                    <a:sysClr val="window" lastClr="FFFFFF"/>
                  </a:solidFill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lIns="0" tIns="0" rIns="0" bIns="0" rtlCol="0" anchor="t">
                    <a:spAutoFit/>
                  </a:bodyPr>
                  <a:lstStyle/>
                  <a:p>
                    <a:pPr/>
                    <a:r>
                      <a:rPr lang="en-US" altLang="ko-KR" sz="1000" b="0" i="0">
                        <a:latin typeface="Cambria Math" panose="02040503050406030204" pitchFamily="18" charset="0"/>
                      </a:rPr>
                      <a:t>𝑅4=1/(ℎ_𝑠𝑢𝑟𝑓 (2</a:t>
                    </a:r>
                    <a:r>
                      <a:rPr lang="ko-KR" altLang="en-US" sz="1000" b="0" i="0">
                        <a:latin typeface="Cambria Math" panose="02040503050406030204" pitchFamily="18" charset="0"/>
                      </a:rPr>
                      <a:t>𝜋</a:t>
                    </a:r>
                    <a:r>
                      <a:rPr lang="en-US" altLang="ko-KR" sz="1000" b="0" i="0">
                        <a:latin typeface="Cambria Math" panose="02040503050406030204" pitchFamily="18" charset="0"/>
                      </a:rPr>
                      <a:t>𝑟_𝑖𝑜 𝐿)) [𝐾/𝑚]</a:t>
                    </a:r>
                    <a:endParaRPr lang="ko-KR" altLang="en-US" sz="1000">
                      <a:latin typeface="Arial" panose="020B0604020202020204" pitchFamily="34" charset="0"/>
                      <a:cs typeface="Arial" panose="020B0604020202020204" pitchFamily="34" charset="0"/>
                    </a:endParaRPr>
                  </a:p>
                </xdr:txBody>
              </xdr:sp>
            </mc:Fallback>
          </mc:AlternateContent>
        </xdr:grpSp>
        <xdr:sp macro="" textlink="">
          <xdr:nvSpPr>
            <xdr:cNvPr id="82" name="TextBox 81"/>
            <xdr:cNvSpPr txBox="1"/>
          </xdr:nvSpPr>
          <xdr:spPr>
            <a:xfrm>
              <a:off x="1652063" y="4958735"/>
              <a:ext cx="452027" cy="16757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altLang="ko-KR" sz="700" b="1">
                  <a:solidFill>
                    <a:sysClr val="windowText" lastClr="000000"/>
                  </a:solidFill>
                  <a:latin typeface="Arial Narrow" panose="020B0606020202030204" pitchFamily="34" charset="0"/>
                  <a:cs typeface="Arial" panose="020B0604020202020204" pitchFamily="34" charset="0"/>
                </a:rPr>
                <a:t>r_pi</a:t>
              </a:r>
              <a:endParaRPr lang="ko-KR" altLang="en-US" sz="700" b="1">
                <a:solidFill>
                  <a:sysClr val="windowText" lastClr="000000"/>
                </a:solidFill>
                <a:latin typeface="Arial Narrow" panose="020B0606020202030204" pitchFamily="34" charset="0"/>
                <a:cs typeface="Arial" panose="020B0604020202020204" pitchFamily="34" charset="0"/>
              </a:endParaRPr>
            </a:p>
          </xdr:txBody>
        </xdr:sp>
        <xdr:sp macro="" textlink="">
          <xdr:nvSpPr>
            <xdr:cNvPr id="83" name="TextBox 82"/>
            <xdr:cNvSpPr txBox="1"/>
          </xdr:nvSpPr>
          <xdr:spPr>
            <a:xfrm>
              <a:off x="1936347" y="5001232"/>
              <a:ext cx="452027" cy="16757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altLang="ko-KR" sz="700" b="1">
                  <a:solidFill>
                    <a:sysClr val="windowText" lastClr="000000"/>
                  </a:solidFill>
                  <a:latin typeface="Arial Narrow" panose="020B0606020202030204" pitchFamily="34" charset="0"/>
                  <a:cs typeface="Arial" panose="020B0604020202020204" pitchFamily="34" charset="0"/>
                </a:rPr>
                <a:t>r_po</a:t>
              </a:r>
              <a:endParaRPr lang="ko-KR" altLang="en-US" sz="700" b="1">
                <a:solidFill>
                  <a:sysClr val="windowText" lastClr="000000"/>
                </a:solidFill>
                <a:latin typeface="Arial Narrow" panose="020B0606020202030204" pitchFamily="34" charset="0"/>
                <a:cs typeface="Arial" panose="020B0604020202020204" pitchFamily="34" charset="0"/>
              </a:endParaRPr>
            </a:p>
          </xdr:txBody>
        </xdr:sp>
        <xdr:sp macro="" textlink="">
          <xdr:nvSpPr>
            <xdr:cNvPr id="84" name="TextBox 83"/>
            <xdr:cNvSpPr txBox="1"/>
          </xdr:nvSpPr>
          <xdr:spPr>
            <a:xfrm>
              <a:off x="2037459" y="5168286"/>
              <a:ext cx="452027" cy="16757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altLang="ko-KR" sz="700" b="1">
                  <a:solidFill>
                    <a:sysClr val="windowText" lastClr="000000"/>
                  </a:solidFill>
                  <a:latin typeface="Arial Narrow" panose="020B0606020202030204" pitchFamily="34" charset="0"/>
                  <a:cs typeface="Arial" panose="020B0604020202020204" pitchFamily="34" charset="0"/>
                </a:rPr>
                <a:t>r_io</a:t>
              </a:r>
              <a:endParaRPr lang="ko-KR" altLang="en-US" sz="700" b="1">
                <a:solidFill>
                  <a:sysClr val="windowText" lastClr="000000"/>
                </a:solidFill>
                <a:latin typeface="Arial Narrow" panose="020B060602020203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80" name="TextBox 79"/>
          <xdr:cNvSpPr txBox="1"/>
        </xdr:nvSpPr>
        <xdr:spPr>
          <a:xfrm>
            <a:off x="2592459" y="4886739"/>
            <a:ext cx="496956" cy="231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altLang="ko-KR" sz="700" b="1">
                <a:solidFill>
                  <a:srgbClr val="0070C0"/>
                </a:solidFill>
                <a:latin typeface="Arial Narrow" panose="020B0606020202030204" pitchFamily="34" charset="0"/>
                <a:cs typeface="Arial" panose="020B0604020202020204" pitchFamily="34" charset="0"/>
              </a:rPr>
              <a:t>h_rad</a:t>
            </a:r>
            <a:endParaRPr lang="ko-KR" altLang="en-US" sz="700" b="1">
              <a:solidFill>
                <a:srgbClr val="0070C0"/>
              </a:solidFill>
              <a:latin typeface="Arial Narrow" panose="020B060602020203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0</xdr:colOff>
      <xdr:row>65</xdr:row>
      <xdr:rowOff>0</xdr:rowOff>
    </xdr:from>
    <xdr:ext cx="75623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/>
            <xdr:cNvSpPr txBox="1"/>
          </xdr:nvSpPr>
          <xdr:spPr>
            <a:xfrm>
              <a:off x="3581400" y="18859500"/>
              <a:ext cx="75623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𝑃𝑟</m:t>
                    </m:r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ko-KR" altLang="en-US" sz="1100" b="0" i="1">
                        <a:latin typeface="Cambria Math" panose="02040503050406030204" pitchFamily="18" charset="0"/>
                      </a:rPr>
                      <m:t>𝜇</m:t>
                    </m:r>
                    <m:sSub>
                      <m:sSubPr>
                        <m:ctrlPr>
                          <a:rPr lang="en-US" altLang="ko-KR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b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sub>
                    </m:sSub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/</m:t>
                    </m:r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𝑘</m:t>
                    </m:r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3581400" y="18859500"/>
              <a:ext cx="75623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altLang="ko-KR" sz="1100" b="0" i="0">
                  <a:latin typeface="Cambria Math" panose="02040503050406030204" pitchFamily="18" charset="0"/>
                </a:rPr>
                <a:t>𝑃𝑟=</a:t>
              </a:r>
              <a:r>
                <a:rPr lang="ko-KR" altLang="en-US" sz="1100" b="0" i="0">
                  <a:latin typeface="Cambria Math" panose="02040503050406030204" pitchFamily="18" charset="0"/>
                </a:rPr>
                <a:t>𝜇</a:t>
              </a:r>
              <a:r>
                <a:rPr lang="en-US" altLang="ko-KR" sz="1100" b="0" i="0">
                  <a:latin typeface="Cambria Math" panose="02040503050406030204" pitchFamily="18" charset="0"/>
                </a:rPr>
                <a:t>𝐶_𝑃/𝑘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11</xdr:col>
      <xdr:colOff>41412</xdr:colOff>
      <xdr:row>65</xdr:row>
      <xdr:rowOff>0</xdr:rowOff>
    </xdr:from>
    <xdr:ext cx="1159548" cy="30623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/>
            <xdr:cNvSpPr txBox="1"/>
          </xdr:nvSpPr>
          <xdr:spPr>
            <a:xfrm>
              <a:off x="7223262" y="20039771"/>
              <a:ext cx="1159548" cy="3062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altLang="ko-KR" sz="10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𝑎𝑚𝑏</m:t>
                        </m:r>
                      </m:sub>
                    </m:sSub>
                    <m:r>
                      <a:rPr lang="en-US" altLang="ko-KR" sz="10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altLang="ko-KR" sz="1000" b="0" i="1">
                        <a:latin typeface="Cambria Math" panose="02040503050406030204" pitchFamily="18" charset="0"/>
                      </a:rPr>
                      <m:t>𝑁</m:t>
                    </m:r>
                    <m:sSub>
                      <m:sSubPr>
                        <m:ctrlPr>
                          <a:rPr lang="en-US" altLang="ko-KR" sz="10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𝑢</m:t>
                        </m:r>
                      </m:e>
                      <m:sub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𝑎𝑚𝑏</m:t>
                        </m:r>
                      </m:sub>
                    </m:sSub>
                    <m:f>
                      <m:fPr>
                        <m:ctrlPr>
                          <a:rPr lang="en-US" altLang="ko-KR" sz="1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  <m:t>𝑘</m:t>
                            </m:r>
                          </m:e>
                          <m:sub>
                            <m: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  <m:t>𝑎𝑚𝑏</m:t>
                            </m:r>
                          </m:sub>
                        </m:sSub>
                      </m:num>
                      <m:den>
                        <m:r>
                          <a:rPr lang="en-US" altLang="ko-KR" sz="1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𝐷</m:t>
                        </m:r>
                        <m:r>
                          <a:rPr lang="en-US" altLang="ko-KR" sz="1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_</m:t>
                        </m:r>
                        <m:r>
                          <a:rPr lang="en-US" altLang="ko-KR" sz="1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𝑖𝑜</m:t>
                        </m:r>
                      </m:den>
                    </m:f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/>
            <xdr:cNvSpPr txBox="1"/>
          </xdr:nvSpPr>
          <xdr:spPr>
            <a:xfrm>
              <a:off x="7223262" y="20039771"/>
              <a:ext cx="1159548" cy="3062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altLang="ko-KR" sz="1000" b="0" i="0">
                  <a:latin typeface="Cambria Math" panose="02040503050406030204" pitchFamily="18" charset="0"/>
                </a:rPr>
                <a:t>ℎ_𝑎𝑚𝑏=𝑁𝑢_𝑎𝑚𝑏  𝑘_𝑎𝑚𝑏/(</a:t>
              </a:r>
              <a:r>
                <a:rPr lang="en-US" altLang="ko-KR" sz="1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𝐷_𝑖𝑜)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115957</xdr:colOff>
      <xdr:row>72</xdr:row>
      <xdr:rowOff>24848</xdr:rowOff>
    </xdr:from>
    <xdr:ext cx="687624" cy="15651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/>
            <xdr:cNvSpPr txBox="1"/>
          </xdr:nvSpPr>
          <xdr:spPr>
            <a:xfrm>
              <a:off x="7297807" y="21608498"/>
              <a:ext cx="687624" cy="15651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000" b="0" i="1">
                        <a:latin typeface="Cambria Math" panose="02040503050406030204" pitchFamily="18" charset="0"/>
                      </a:rPr>
                      <m:t>𝑃𝑟</m:t>
                    </m:r>
                    <m:r>
                      <a:rPr lang="en-US" altLang="ko-KR" sz="10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ko-KR" altLang="en-US" sz="1000" b="0" i="1">
                        <a:latin typeface="Cambria Math" panose="02040503050406030204" pitchFamily="18" charset="0"/>
                      </a:rPr>
                      <m:t>𝜇</m:t>
                    </m:r>
                    <m:sSub>
                      <m:sSubPr>
                        <m:ctrlPr>
                          <a:rPr lang="en-US" altLang="ko-KR" sz="10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b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𝑃</m:t>
                        </m:r>
                      </m:sub>
                    </m:sSub>
                    <m:r>
                      <a:rPr lang="en-US" altLang="ko-KR" sz="1000" b="0" i="1">
                        <a:latin typeface="Cambria Math" panose="02040503050406030204" pitchFamily="18" charset="0"/>
                      </a:rPr>
                      <m:t>/</m:t>
                    </m:r>
                    <m:r>
                      <a:rPr lang="en-US" altLang="ko-KR" sz="1000" b="0" i="1">
                        <a:latin typeface="Cambria Math" panose="02040503050406030204" pitchFamily="18" charset="0"/>
                      </a:rPr>
                      <m:t>𝑘</m:t>
                    </m:r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6" name="TextBox 5"/>
            <xdr:cNvSpPr txBox="1"/>
          </xdr:nvSpPr>
          <xdr:spPr>
            <a:xfrm>
              <a:off x="7297807" y="21608498"/>
              <a:ext cx="687624" cy="15651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altLang="ko-KR" sz="1000" b="0" i="0">
                  <a:latin typeface="Cambria Math" panose="02040503050406030204" pitchFamily="18" charset="0"/>
                </a:rPr>
                <a:t>𝑃𝑟=</a:t>
              </a:r>
              <a:r>
                <a:rPr lang="ko-KR" altLang="en-US" sz="1000" b="0" i="0">
                  <a:latin typeface="Cambria Math" panose="02040503050406030204" pitchFamily="18" charset="0"/>
                </a:rPr>
                <a:t>𝜇</a:t>
              </a:r>
              <a:r>
                <a:rPr lang="en-US" altLang="ko-KR" sz="1000" b="0" i="0">
                  <a:latin typeface="Cambria Math" panose="02040503050406030204" pitchFamily="18" charset="0"/>
                </a:rPr>
                <a:t>𝐶_𝑃/𝑘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646044</xdr:colOff>
      <xdr:row>70</xdr:row>
      <xdr:rowOff>82825</xdr:rowOff>
    </xdr:from>
    <xdr:ext cx="2365391" cy="5347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/>
            <xdr:cNvSpPr txBox="1"/>
          </xdr:nvSpPr>
          <xdr:spPr>
            <a:xfrm>
              <a:off x="7827894" y="21247375"/>
              <a:ext cx="2365391" cy="5347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000" b="0" i="1">
                        <a:latin typeface="Cambria Math" panose="02040503050406030204" pitchFamily="18" charset="0"/>
                      </a:rPr>
                      <m:t>𝑁</m:t>
                    </m:r>
                    <m:sSub>
                      <m:sSubPr>
                        <m:ctrlPr>
                          <a:rPr lang="en-US" altLang="ko-KR" sz="10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𝑢</m:t>
                        </m:r>
                      </m:e>
                      <m:sub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𝑎𝑚𝑏</m:t>
                        </m:r>
                      </m:sub>
                    </m:sSub>
                    <m:r>
                      <a:rPr lang="en-US" altLang="ko-KR" sz="1000" b="0" i="1">
                        <a:latin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n-US" altLang="ko-KR" sz="10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  <m:t>0.60+</m:t>
                            </m:r>
                            <m:f>
                              <m:fPr>
                                <m:ctrlPr>
                                  <a:rPr lang="en-US" altLang="ko-KR" sz="10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n-US" altLang="ko-KR" sz="1000" b="0" i="1">
                                    <a:latin typeface="Cambria Math" panose="02040503050406030204" pitchFamily="18" charset="0"/>
                                  </a:rPr>
                                  <m:t>0.387</m:t>
                                </m:r>
                                <m:sSup>
                                  <m:sSupPr>
                                    <m:ctrlPr>
                                      <a:rPr lang="en-US" altLang="ko-KR" sz="10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pPr>
                                  <m:e>
                                    <m:r>
                                      <a:rPr lang="en-US" altLang="ko-KR" sz="1000" b="0" i="1">
                                        <a:latin typeface="Cambria Math" panose="02040503050406030204" pitchFamily="18" charset="0"/>
                                      </a:rPr>
                                      <m:t>𝑅𝑎</m:t>
                                    </m:r>
                                  </m:e>
                                  <m:sup>
                                    <m:r>
                                      <a:rPr lang="en-US" altLang="ko-KR" sz="1000" b="0" i="1">
                                        <a:latin typeface="Cambria Math" panose="02040503050406030204" pitchFamily="18" charset="0"/>
                                      </a:rPr>
                                      <m:t>1/6</m:t>
                                    </m:r>
                                  </m:sup>
                                </m:sSup>
                              </m:num>
                              <m:den>
                                <m:sSup>
                                  <m:sSupPr>
                                    <m:ctrlPr>
                                      <a:rPr lang="en-US" altLang="ko-KR" sz="10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pPr>
                                  <m:e>
                                    <m:d>
                                      <m:dPr>
                                        <m:begChr m:val="["/>
                                        <m:endChr m:val="]"/>
                                        <m:ctrlPr>
                                          <a:rPr lang="en-US" altLang="ko-KR" sz="10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dPr>
                                      <m:e>
                                        <m:r>
                                          <a:rPr lang="en-US" altLang="ko-KR" sz="10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1+</m:t>
                                        </m:r>
                                        <m:sSup>
                                          <m:sSupPr>
                                            <m:ctrlPr>
                                              <a:rPr lang="en-US" altLang="ko-KR" sz="10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</m:ctrlPr>
                                          </m:sSupPr>
                                          <m:e>
                                            <m:r>
                                              <a:rPr lang="en-US" altLang="ko-KR" sz="10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  <m:t>(</m:t>
                                            </m:r>
                                            <m:f>
                                              <m:fPr>
                                                <m:ctrlPr>
                                                  <a:rPr lang="en-US" altLang="ko-KR" sz="10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+mn-ea"/>
                                                    <a:cs typeface="+mn-cs"/>
                                                  </a:rPr>
                                                </m:ctrlPr>
                                              </m:fPr>
                                              <m:num>
                                                <m:r>
                                                  <a:rPr lang="en-US" altLang="ko-KR" sz="10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+mn-ea"/>
                                                    <a:cs typeface="+mn-cs"/>
                                                  </a:rPr>
                                                  <m:t>0.559</m:t>
                                                </m:r>
                                              </m:num>
                                              <m:den>
                                                <m:r>
                                                  <a:rPr lang="en-US" altLang="ko-KR" sz="10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+mn-ea"/>
                                                    <a:cs typeface="+mn-cs"/>
                                                  </a:rPr>
                                                  <m:t>𝑃𝑟</m:t>
                                                </m:r>
                                              </m:den>
                                            </m:f>
                                            <m:r>
                                              <a:rPr lang="en-US" altLang="ko-KR" sz="10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  <m:t>)</m:t>
                                            </m:r>
                                          </m:e>
                                          <m:sup>
                                            <m:r>
                                              <a:rPr lang="en-US" altLang="ko-KR" sz="10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  <m:t>9/16</m:t>
                                            </m:r>
                                          </m:sup>
                                        </m:sSup>
                                      </m:e>
                                    </m:d>
                                  </m:e>
                                  <m:sup>
                                    <m:r>
                                      <a:rPr lang="en-US" altLang="ko-KR" sz="1000" b="0" i="1">
                                        <a:latin typeface="Cambria Math" panose="02040503050406030204" pitchFamily="18" charset="0"/>
                                      </a:rPr>
                                      <m:t>8/27</m:t>
                                    </m:r>
                                  </m:sup>
                                </m:sSup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7" name="TextBox 6"/>
            <xdr:cNvSpPr txBox="1"/>
          </xdr:nvSpPr>
          <xdr:spPr>
            <a:xfrm>
              <a:off x="7827894" y="21247375"/>
              <a:ext cx="2365391" cy="5347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altLang="ko-KR" sz="1000" b="0" i="0">
                  <a:latin typeface="Cambria Math" panose="02040503050406030204" pitchFamily="18" charset="0"/>
                </a:rPr>
                <a:t>𝑁𝑢_𝑎𝑚𝑏=(0.60+(0.387〖𝑅𝑎〗^(1/6))/</a:t>
              </a:r>
              <a:r>
                <a:rPr lang="en-US" altLang="ko-KR" sz="10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[1+〖(0.559/𝑃𝑟)〗^(9/16) ]^(</a:t>
              </a:r>
              <a:r>
                <a:rPr lang="en-US" altLang="ko-KR" sz="1000" b="0" i="0">
                  <a:latin typeface="Cambria Math" panose="02040503050406030204" pitchFamily="18" charset="0"/>
                </a:rPr>
                <a:t>8/27) )^2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74544</xdr:colOff>
      <xdr:row>76</xdr:row>
      <xdr:rowOff>0</xdr:rowOff>
    </xdr:from>
    <xdr:ext cx="637418" cy="15651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/>
            <xdr:cNvSpPr txBox="1"/>
          </xdr:nvSpPr>
          <xdr:spPr>
            <a:xfrm>
              <a:off x="7256394" y="22421850"/>
              <a:ext cx="637418" cy="15651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000" b="0" i="1">
                        <a:latin typeface="Cambria Math" panose="02040503050406030204" pitchFamily="18" charset="0"/>
                      </a:rPr>
                      <m:t>𝑅𝑎</m:t>
                    </m:r>
                    <m:r>
                      <a:rPr lang="en-US" altLang="ko-KR" sz="10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altLang="ko-KR" sz="1000" b="0" i="1">
                        <a:latin typeface="Cambria Math" panose="02040503050406030204" pitchFamily="18" charset="0"/>
                      </a:rPr>
                      <m:t>𝐺𝑟𝑃𝑟</m:t>
                    </m:r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8" name="TextBox 7"/>
            <xdr:cNvSpPr txBox="1"/>
          </xdr:nvSpPr>
          <xdr:spPr>
            <a:xfrm>
              <a:off x="7256394" y="22421850"/>
              <a:ext cx="637418" cy="15651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altLang="ko-KR" sz="1000" b="0" i="0">
                  <a:latin typeface="Cambria Math" panose="02040503050406030204" pitchFamily="18" charset="0"/>
                </a:rPr>
                <a:t>𝑅𝑎=𝐺𝑟𝑃𝑟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12</xdr:col>
      <xdr:colOff>0</xdr:colOff>
      <xdr:row>77</xdr:row>
      <xdr:rowOff>0</xdr:rowOff>
    </xdr:from>
    <xdr:ext cx="1970090" cy="35798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8"/>
            <xdr:cNvSpPr txBox="1"/>
          </xdr:nvSpPr>
          <xdr:spPr>
            <a:xfrm>
              <a:off x="7867650" y="22631400"/>
              <a:ext cx="1970090" cy="3579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000" b="0" i="1">
                        <a:latin typeface="Cambria Math" panose="02040503050406030204" pitchFamily="18" charset="0"/>
                      </a:rPr>
                      <m:t>𝐺</m:t>
                    </m:r>
                    <m:sSub>
                      <m:sSubPr>
                        <m:ctrlPr>
                          <a:rPr lang="en-US" altLang="ko-KR" sz="10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𝑎𝑚𝑏</m:t>
                        </m:r>
                      </m:sub>
                    </m:sSub>
                    <m:r>
                      <a:rPr lang="en-US" altLang="ko-KR" sz="10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altLang="ko-KR" sz="1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Sup>
                          <m:sSubSupPr>
                            <m:ctrlP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  <m:t>𝐷</m:t>
                            </m:r>
                          </m:e>
                          <m:sub>
                            <m: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  <m:t>𝑖𝑜</m:t>
                            </m:r>
                          </m:sub>
                          <m:sup>
                            <m: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  <m:t>3</m:t>
                            </m:r>
                          </m:sup>
                        </m:sSubSup>
                        <m:sSubSup>
                          <m:sSubSupPr>
                            <m:ctrlP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ko-KR" altLang="en-US" sz="1000" b="0" i="1">
                                <a:latin typeface="Cambria Math" panose="02040503050406030204" pitchFamily="18" charset="0"/>
                              </a:rPr>
                              <m:t>𝜌</m:t>
                            </m:r>
                          </m:e>
                          <m:sub>
                            <m: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  <m:t>𝑎𝑚𝑏</m:t>
                            </m:r>
                          </m:sub>
                          <m:sup>
                            <m: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bSup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𝑔</m:t>
                        </m:r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(</m:t>
                        </m:r>
                        <m:sSub>
                          <m:sSubPr>
                            <m:ctrlP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</m:e>
                          <m:sub>
                            <m: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  <m:t>𝑠𝑢𝑟𝑓</m:t>
                            </m:r>
                          </m:sub>
                        </m:sSub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−</m:t>
                        </m:r>
                        <m:sSub>
                          <m:sSubPr>
                            <m:ctrlP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</m:e>
                          <m:sub>
                            <m: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  <m:t>𝑎𝑚𝑏</m:t>
                            </m:r>
                          </m:sub>
                        </m:sSub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)</m:t>
                        </m:r>
                        <m:r>
                          <a:rPr lang="ko-KR" altLang="en-US" sz="1000" b="0" i="1">
                            <a:latin typeface="Cambria Math" panose="02040503050406030204" pitchFamily="18" charset="0"/>
                          </a:rPr>
                          <m:t>𝛽</m:t>
                        </m:r>
                      </m:num>
                      <m:den>
                        <m:sSubSup>
                          <m:sSubSupPr>
                            <m:ctrlP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ko-KR" altLang="en-US" sz="1000" b="0" i="1">
                                <a:latin typeface="Cambria Math" panose="02040503050406030204" pitchFamily="18" charset="0"/>
                              </a:rPr>
                              <m:t>𝜇</m:t>
                            </m:r>
                          </m:e>
                          <m:sub>
                            <m: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  <m:t>𝑎𝑚𝑏</m:t>
                            </m:r>
                          </m:sub>
                          <m:sup>
                            <m: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bSup>
                      </m:den>
                    </m:f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9" name="TextBox 8"/>
            <xdr:cNvSpPr txBox="1"/>
          </xdr:nvSpPr>
          <xdr:spPr>
            <a:xfrm>
              <a:off x="7867650" y="22631400"/>
              <a:ext cx="1970090" cy="3579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altLang="ko-KR" sz="1000" b="0" i="0">
                  <a:latin typeface="Cambria Math" panose="02040503050406030204" pitchFamily="18" charset="0"/>
                </a:rPr>
                <a:t>𝐺𝑟_𝑎𝑚𝑏=(𝐷_𝑖𝑜^3 </a:t>
              </a:r>
              <a:r>
                <a:rPr lang="ko-KR" altLang="en-US" sz="1000" b="0" i="0">
                  <a:latin typeface="Cambria Math" panose="02040503050406030204" pitchFamily="18" charset="0"/>
                </a:rPr>
                <a:t>𝜌</a:t>
              </a:r>
              <a:r>
                <a:rPr lang="en-US" altLang="ko-KR" sz="1000" b="0" i="0">
                  <a:latin typeface="Cambria Math" panose="02040503050406030204" pitchFamily="18" charset="0"/>
                </a:rPr>
                <a:t>_𝑎𝑚𝑏^2 𝑔(𝑇_𝑠𝑢𝑟𝑓−𝑇_𝑎𝑚𝑏)</a:t>
              </a:r>
              <a:r>
                <a:rPr lang="ko-KR" altLang="en-US" sz="1000" b="0" i="0">
                  <a:latin typeface="Cambria Math" panose="02040503050406030204" pitchFamily="18" charset="0"/>
                </a:rPr>
                <a:t>𝛽</a:t>
              </a:r>
              <a:r>
                <a:rPr lang="en-US" altLang="ko-KR" sz="1000" b="0" i="0">
                  <a:latin typeface="Cambria Math" panose="02040503050406030204" pitchFamily="18" charset="0"/>
                </a:rPr>
                <a:t>)/(</a:t>
              </a:r>
              <a:r>
                <a:rPr lang="ko-KR" altLang="en-US" sz="1000" b="0" i="0">
                  <a:latin typeface="Cambria Math" panose="02040503050406030204" pitchFamily="18" charset="0"/>
                </a:rPr>
                <a:t>𝜇</a:t>
              </a:r>
              <a:r>
                <a:rPr lang="en-US" altLang="ko-KR" sz="1000" b="0" i="0">
                  <a:latin typeface="Cambria Math" panose="02040503050406030204" pitchFamily="18" charset="0"/>
                </a:rPr>
                <a:t>_𝑎𝑚𝑏^2 )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72885</xdr:colOff>
      <xdr:row>87</xdr:row>
      <xdr:rowOff>159854</xdr:rowOff>
    </xdr:from>
    <xdr:ext cx="3317831" cy="56605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/>
            <xdr:cNvSpPr txBox="1"/>
          </xdr:nvSpPr>
          <xdr:spPr>
            <a:xfrm>
              <a:off x="7254735" y="24886754"/>
              <a:ext cx="3317831" cy="56605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000" b="0" i="1">
                        <a:latin typeface="Cambria Math" panose="02040503050406030204" pitchFamily="18" charset="0"/>
                      </a:rPr>
                      <m:t>𝑁</m:t>
                    </m:r>
                    <m:sSub>
                      <m:sSubPr>
                        <m:ctrlPr>
                          <a:rPr lang="en-US" altLang="ko-KR" sz="10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𝑢</m:t>
                        </m:r>
                      </m:e>
                      <m:sub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𝑓𝑜𝑟𝑐𝑒𝑑</m:t>
                        </m:r>
                      </m:sub>
                    </m:sSub>
                    <m:r>
                      <a:rPr lang="en-US" altLang="ko-KR" sz="1000" b="0" i="1">
                        <a:latin typeface="Cambria Math" panose="02040503050406030204" pitchFamily="18" charset="0"/>
                      </a:rPr>
                      <m:t>=0.3+</m:t>
                    </m:r>
                    <m:f>
                      <m:fPr>
                        <m:ctrlPr>
                          <a:rPr lang="en-US" altLang="ko-KR" sz="1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0.62</m:t>
                        </m:r>
                        <m:sSubSup>
                          <m:sSubSupPr>
                            <m:ctrlP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  <m:t>𝑅𝑒</m:t>
                            </m:r>
                          </m:e>
                          <m:sub>
                            <m: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  <m:t>𝑎𝑚𝑏</m:t>
                            </m:r>
                          </m:sub>
                          <m:sup>
                            <m: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  <m:t>1/2</m:t>
                            </m:r>
                          </m:sup>
                        </m:sSubSup>
                        <m:sSup>
                          <m:sSupPr>
                            <m:ctrlP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limLow>
                              <m:limLowPr>
                                <m:ctrlPr>
                                  <a:rPr lang="en-US" altLang="ko-KR" sz="1000" b="0" i="1">
                                    <a:latin typeface="Cambria Math" panose="02040503050406030204" pitchFamily="18" charset="0"/>
                                  </a:rPr>
                                </m:ctrlPr>
                              </m:limLowPr>
                              <m:e>
                                <m:r>
                                  <m:rPr>
                                    <m:sty m:val="p"/>
                                  </m:rPr>
                                  <a:rPr lang="en-US" altLang="ko-KR" sz="1000" b="0" i="0">
                                    <a:latin typeface="Cambria Math" panose="02040503050406030204" pitchFamily="18" charset="0"/>
                                  </a:rPr>
                                  <m:t>Pr</m:t>
                                </m:r>
                              </m:e>
                              <m:lim>
                                <m:r>
                                  <m:rPr>
                                    <m:sty m:val="p"/>
                                  </m:rPr>
                                  <a:rPr lang="en-US" altLang="ko-KR" sz="1000" b="0" i="0">
                                    <a:latin typeface="Cambria Math" panose="02040503050406030204" pitchFamily="18" charset="0"/>
                                  </a:rPr>
                                  <m:t>amb</m:t>
                                </m:r>
                              </m:lim>
                            </m:limLow>
                            <m: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  <m:t>⁡</m:t>
                            </m:r>
                          </m:e>
                          <m:sup>
                            <m: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  <m:t>1/3</m:t>
                            </m:r>
                          </m:sup>
                        </m:sSup>
                      </m:num>
                      <m:den>
                        <m:sSup>
                          <m:sSupPr>
                            <m:ctrlP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d>
                              <m:dPr>
                                <m:begChr m:val="["/>
                                <m:endChr m:val="]"/>
                                <m:ctrlPr>
                                  <a:rPr lang="en-US" altLang="ko-KR" sz="10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r>
                                  <a:rPr lang="en-US" altLang="ko-KR" sz="10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1+(</m:t>
                                </m:r>
                                <m:sSup>
                                  <m:sSupPr>
                                    <m:ctrlPr>
                                      <a:rPr lang="en-US" altLang="ko-KR" sz="10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pPr>
                                  <m:e>
                                    <m:r>
                                      <a:rPr lang="en-US" altLang="ko-KR" sz="10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0.4/</m:t>
                                    </m:r>
                                    <m:limLow>
                                      <m:limLowPr>
                                        <m:ctrlPr>
                                          <a:rPr lang="en-US" altLang="ko-KR" sz="10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limLowPr>
                                      <m:e>
                                        <m:r>
                                          <m:rPr>
                                            <m:sty m:val="p"/>
                                          </m:rPr>
                                          <a:rPr lang="en-US" altLang="ko-KR" sz="1000" b="0" i="0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Pr</m:t>
                                        </m:r>
                                      </m:e>
                                      <m:lim>
                                        <m:r>
                                          <m:rPr>
                                            <m:sty m:val="p"/>
                                          </m:rPr>
                                          <a:rPr lang="en-US" altLang="ko-KR" sz="1000" b="0" i="0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amb</m:t>
                                        </m:r>
                                      </m:lim>
                                    </m:limLow>
                                    <m:r>
                                      <a:rPr lang="en-US" altLang="ko-KR" sz="10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⁡)</m:t>
                                    </m:r>
                                  </m:e>
                                  <m:sup>
                                    <m:r>
                                      <a:rPr lang="en-US" altLang="ko-KR" sz="10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2/3</m:t>
                                    </m:r>
                                  </m:sup>
                                </m:sSup>
                              </m:e>
                            </m:d>
                          </m:e>
                          <m:sup>
                            <m: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  <m:t>1/4</m:t>
                            </m:r>
                          </m:sup>
                        </m:sSup>
                      </m:den>
                    </m:f>
                    <m:sSup>
                      <m:sSupPr>
                        <m:ctrlPr>
                          <a:rPr lang="en-US" altLang="ko-KR" sz="10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begChr m:val="["/>
                            <m:endChr m:val="]"/>
                            <m:ctrlP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  <m:t>1+</m:t>
                            </m:r>
                            <m:sSup>
                              <m:sSupPr>
                                <m:ctrlPr>
                                  <a:rPr lang="en-US" altLang="ko-KR" sz="10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d>
                                  <m:dPr>
                                    <m:ctrlPr>
                                      <a:rPr lang="en-US" altLang="ko-KR" sz="10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dPr>
                                  <m:e>
                                    <m:f>
                                      <m:fPr>
                                        <m:ctrlPr>
                                          <a:rPr lang="en-US" altLang="ko-KR" sz="1000" b="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fPr>
                                      <m:num>
                                        <m:r>
                                          <a:rPr lang="en-US" altLang="ko-KR" sz="1000" b="0" i="1">
                                            <a:latin typeface="Cambria Math" panose="02040503050406030204" pitchFamily="18" charset="0"/>
                                          </a:rPr>
                                          <m:t>𝑅</m:t>
                                        </m:r>
                                        <m:sSub>
                                          <m:sSubPr>
                                            <m:ctrlPr>
                                              <a:rPr lang="en-US" altLang="ko-KR" sz="1000" b="0" i="1">
                                                <a:latin typeface="Cambria Math" panose="02040503050406030204" pitchFamily="18" charset="0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n-US" altLang="ko-KR" sz="1000" b="0" i="1">
                                                <a:latin typeface="Cambria Math" panose="02040503050406030204" pitchFamily="18" charset="0"/>
                                              </a:rPr>
                                              <m:t>𝑒</m:t>
                                            </m:r>
                                          </m:e>
                                          <m:sub>
                                            <m:r>
                                              <a:rPr lang="en-US" altLang="ko-KR" sz="1000" b="0" i="1">
                                                <a:latin typeface="Cambria Math" panose="02040503050406030204" pitchFamily="18" charset="0"/>
                                              </a:rPr>
                                              <m:t>𝑎𝑚𝑏</m:t>
                                            </m:r>
                                          </m:sub>
                                        </m:sSub>
                                      </m:num>
                                      <m:den>
                                        <m:r>
                                          <a:rPr lang="en-US" altLang="ko-KR" sz="1000" b="0" i="1">
                                            <a:latin typeface="Cambria Math" panose="02040503050406030204" pitchFamily="18" charset="0"/>
                                          </a:rPr>
                                          <m:t>282000</m:t>
                                        </m:r>
                                      </m:den>
                                    </m:f>
                                  </m:e>
                                </m:d>
                              </m:e>
                              <m:sup>
                                <m:f>
                                  <m:fPr>
                                    <m:ctrlPr>
                                      <a:rPr lang="en-US" altLang="ko-KR" sz="10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fPr>
                                  <m:num>
                                    <m:r>
                                      <a:rPr lang="en-US" altLang="ko-KR" sz="1000" b="0" i="1">
                                        <a:latin typeface="Cambria Math" panose="02040503050406030204" pitchFamily="18" charset="0"/>
                                      </a:rPr>
                                      <m:t>5</m:t>
                                    </m:r>
                                  </m:num>
                                  <m:den>
                                    <m:r>
                                      <a:rPr lang="en-US" altLang="ko-KR" sz="1000" b="0" i="1">
                                        <a:latin typeface="Cambria Math" panose="02040503050406030204" pitchFamily="18" charset="0"/>
                                      </a:rPr>
                                      <m:t>8</m:t>
                                    </m:r>
                                  </m:den>
                                </m:f>
                              </m:sup>
                            </m:sSup>
                          </m:e>
                        </m:d>
                      </m:e>
                      <m:sup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4/5</m:t>
                        </m:r>
                      </m:sup>
                    </m:sSup>
                    <m:r>
                      <a:rPr lang="en-US" altLang="ko-KR" sz="1000" b="0" i="1">
                        <a:latin typeface="Cambria Math" panose="02040503050406030204" pitchFamily="18" charset="0"/>
                      </a:rPr>
                      <m:t> </m:t>
                    </m:r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10" name="TextBox 9"/>
            <xdr:cNvSpPr txBox="1"/>
          </xdr:nvSpPr>
          <xdr:spPr>
            <a:xfrm>
              <a:off x="7254735" y="24886754"/>
              <a:ext cx="3317831" cy="56605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altLang="ko-KR" sz="1000" b="0" i="0">
                  <a:latin typeface="Cambria Math" panose="02040503050406030204" pitchFamily="18" charset="0"/>
                </a:rPr>
                <a:t>𝑁𝑢_𝑓𝑜𝑟𝑐𝑒𝑑=0.3+(0.62〖𝑅𝑒〗_𝑎𝑚𝑏^(1/2) 〖Pr┬amb⁡〗^(1/3))/</a:t>
              </a:r>
              <a:r>
                <a:rPr lang="en-US" altLang="ko-KR" sz="10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[1+(〖0.4/Pr┬amb⁡)〗^(2/3) ]^(</a:t>
              </a:r>
              <a:r>
                <a:rPr lang="en-US" altLang="ko-KR" sz="1000" b="0" i="0">
                  <a:latin typeface="Cambria Math" panose="02040503050406030204" pitchFamily="18" charset="0"/>
                </a:rPr>
                <a:t>1/4)  [1+((𝑅𝑒_𝑎𝑚𝑏)/282000)^(5/8) ]^(4/5)  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89451</xdr:colOff>
      <xdr:row>86</xdr:row>
      <xdr:rowOff>68746</xdr:rowOff>
    </xdr:from>
    <xdr:ext cx="3236720" cy="26783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/>
            <xdr:cNvSpPr txBox="1"/>
          </xdr:nvSpPr>
          <xdr:spPr>
            <a:xfrm>
              <a:off x="7271301" y="24586096"/>
              <a:ext cx="3236720" cy="2678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000" b="0" i="1">
                        <a:latin typeface="Cambria Math" panose="02040503050406030204" pitchFamily="18" charset="0"/>
                      </a:rPr>
                      <m:t>𝑁</m:t>
                    </m:r>
                    <m:sSub>
                      <m:sSubPr>
                        <m:ctrlPr>
                          <a:rPr lang="en-US" altLang="ko-KR" sz="10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𝑢</m:t>
                        </m:r>
                      </m:e>
                      <m:sub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𝑎𝑚𝑏𝑤</m:t>
                        </m:r>
                      </m:sub>
                    </m:sSub>
                    <m:r>
                      <a:rPr lang="en-US" altLang="ko-KR" sz="1000" b="0" i="1">
                        <a:latin typeface="Cambria Math" panose="02040503050406030204" pitchFamily="18" charset="0"/>
                      </a:rPr>
                      <m:t>=0.3+</m:t>
                    </m:r>
                    <m:sSup>
                      <m:sSupPr>
                        <m:ctrlPr>
                          <a:rPr lang="en-US" altLang="ko-KR" sz="10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begChr m:val="["/>
                            <m:endChr m:val="]"/>
                            <m:ctrlP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p>
                              <m:sSupPr>
                                <m:ctrlPr>
                                  <a:rPr lang="en-US" altLang="ko-KR" sz="10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d>
                                  <m:dPr>
                                    <m:ctrlPr>
                                      <a:rPr lang="en-US" altLang="ko-KR" sz="10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dPr>
                                  <m:e>
                                    <m:r>
                                      <a:rPr lang="en-US" altLang="ko-KR" sz="1000" b="0" i="1">
                                        <a:latin typeface="Cambria Math" panose="02040503050406030204" pitchFamily="18" charset="0"/>
                                      </a:rPr>
                                      <m:t>𝑁</m:t>
                                    </m:r>
                                    <m:sSub>
                                      <m:sSubPr>
                                        <m:ctrlPr>
                                          <a:rPr lang="en-US" altLang="ko-KR" sz="1000" b="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altLang="ko-KR" sz="1000" b="0" i="1">
                                            <a:latin typeface="Cambria Math" panose="02040503050406030204" pitchFamily="18" charset="0"/>
                                          </a:rPr>
                                          <m:t>𝑢</m:t>
                                        </m:r>
                                      </m:e>
                                      <m:sub>
                                        <m:r>
                                          <a:rPr lang="en-US" altLang="ko-KR" sz="1000" b="0" i="1">
                                            <a:latin typeface="Cambria Math" panose="02040503050406030204" pitchFamily="18" charset="0"/>
                                          </a:rPr>
                                          <m:t>𝑓𝑜𝑟𝑐𝑒𝑑</m:t>
                                        </m:r>
                                      </m:sub>
                                    </m:sSub>
                                    <m:r>
                                      <a:rPr lang="en-US" altLang="ko-KR" sz="1000" b="0" i="1">
                                        <a:latin typeface="Cambria Math" panose="02040503050406030204" pitchFamily="18" charset="0"/>
                                      </a:rPr>
                                      <m:t>−0.3</m:t>
                                    </m:r>
                                  </m:e>
                                </m:d>
                              </m:e>
                              <m:sup>
                                <m:r>
                                  <a:rPr lang="en-US" altLang="ko-KR" sz="10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</m:sup>
                            </m:sSup>
                            <m: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  <m:t>+</m:t>
                            </m:r>
                            <m:sSup>
                              <m:sSupPr>
                                <m:ctrlPr>
                                  <a:rPr lang="en-US" altLang="ko-KR" sz="10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d>
                                  <m:dPr>
                                    <m:ctrlPr>
                                      <a:rPr lang="en-US" altLang="ko-KR" sz="10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dPr>
                                  <m:e>
                                    <m:r>
                                      <a:rPr lang="en-US" altLang="ko-KR" sz="1000" b="0" i="1">
                                        <a:latin typeface="Cambria Math" panose="02040503050406030204" pitchFamily="18" charset="0"/>
                                      </a:rPr>
                                      <m:t>𝑁</m:t>
                                    </m:r>
                                    <m:sSub>
                                      <m:sSubPr>
                                        <m:ctrlPr>
                                          <a:rPr lang="en-US" altLang="ko-KR" sz="1000" b="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altLang="ko-KR" sz="1000" b="0" i="1">
                                            <a:latin typeface="Cambria Math" panose="02040503050406030204" pitchFamily="18" charset="0"/>
                                          </a:rPr>
                                          <m:t>𝑢</m:t>
                                        </m:r>
                                      </m:e>
                                      <m:sub>
                                        <m:r>
                                          <a:rPr lang="en-US" altLang="ko-KR" sz="1000" b="0" i="1">
                                            <a:latin typeface="Cambria Math" panose="02040503050406030204" pitchFamily="18" charset="0"/>
                                          </a:rPr>
                                          <m:t>𝑓𝑟𝑒𝑒</m:t>
                                        </m:r>
                                      </m:sub>
                                    </m:sSub>
                                    <m:r>
                                      <a:rPr lang="en-US" altLang="ko-KR" sz="1000" b="0" i="1">
                                        <a:latin typeface="Cambria Math" panose="02040503050406030204" pitchFamily="18" charset="0"/>
                                      </a:rPr>
                                      <m:t>−0.3</m:t>
                                    </m:r>
                                  </m:e>
                                </m:d>
                              </m:e>
                              <m:sup>
                                <m:r>
                                  <a:rPr lang="en-US" altLang="ko-KR" sz="10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</m:sup>
                            </m:sSup>
                          </m:e>
                        </m:d>
                      </m:e>
                      <m:sup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1/4</m:t>
                        </m:r>
                      </m:sup>
                    </m:sSup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11" name="TextBox 10"/>
            <xdr:cNvSpPr txBox="1"/>
          </xdr:nvSpPr>
          <xdr:spPr>
            <a:xfrm>
              <a:off x="7271301" y="24586096"/>
              <a:ext cx="3236720" cy="2678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altLang="ko-KR" sz="1000" b="0" i="0">
                  <a:latin typeface="Cambria Math" panose="02040503050406030204" pitchFamily="18" charset="0"/>
                </a:rPr>
                <a:t>𝑁𝑢_𝑎𝑚𝑏𝑤=0.3+[(𝑁𝑢_𝑓𝑜𝑟𝑐𝑒𝑑−0.3)^4+(𝑁𝑢_𝑓𝑟𝑒𝑒−0.3)^4 ]^(1/4)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74544</xdr:colOff>
      <xdr:row>95</xdr:row>
      <xdr:rowOff>124239</xdr:rowOff>
    </xdr:from>
    <xdr:ext cx="1393523" cy="36535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Box 11"/>
            <xdr:cNvSpPr txBox="1"/>
          </xdr:nvSpPr>
          <xdr:spPr>
            <a:xfrm>
              <a:off x="7256394" y="26527539"/>
              <a:ext cx="1393523" cy="36535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altLang="ko-KR" sz="10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𝑟𝑎𝑑</m:t>
                        </m:r>
                      </m:sub>
                    </m:sSub>
                    <m:r>
                      <a:rPr lang="en-US" altLang="ko-KR" sz="10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altLang="ko-KR" sz="1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000" b="0" i="1">
                            <a:latin typeface="Cambria Math" panose="02040503050406030204" pitchFamily="18" charset="0"/>
                          </a:rPr>
                          <m:t>𝜀𝜎</m:t>
                        </m:r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(</m:t>
                        </m:r>
                        <m:sSubSup>
                          <m:sSubSupPr>
                            <m:ctrlP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</m:e>
                          <m:sub>
                            <m: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  <m:t>𝑠𝑢𝑟𝑓</m:t>
                            </m:r>
                          </m:sub>
                          <m:sup>
                            <m: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  <m:t>4</m:t>
                            </m:r>
                          </m:sup>
                        </m:sSubSup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−</m:t>
                        </m:r>
                        <m:sSubSup>
                          <m:sSubSupPr>
                            <m:ctrlP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</m:e>
                          <m:sub>
                            <m: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  <m:t>𝑎𝑚𝑏</m:t>
                            </m:r>
                          </m:sub>
                          <m:sup>
                            <m: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  <m:t>4</m:t>
                            </m:r>
                          </m:sup>
                        </m:sSubSup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)</m:t>
                        </m:r>
                      </m:num>
                      <m:den>
                        <m:sSub>
                          <m:sSubPr>
                            <m:ctrlP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</m:e>
                          <m:sub>
                            <m: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  <m:t>𝑠𝑢𝑟𝑓</m:t>
                            </m:r>
                          </m:sub>
                        </m:sSub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−</m:t>
                        </m:r>
                        <m:sSub>
                          <m:sSubPr>
                            <m:ctrlP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</m:e>
                          <m:sub>
                            <m: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  <m:t>𝑎𝑚𝑏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12" name="TextBox 11"/>
            <xdr:cNvSpPr txBox="1"/>
          </xdr:nvSpPr>
          <xdr:spPr>
            <a:xfrm>
              <a:off x="7256394" y="26527539"/>
              <a:ext cx="1393523" cy="36535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altLang="ko-KR" sz="1000" b="0" i="0">
                  <a:latin typeface="Cambria Math" panose="02040503050406030204" pitchFamily="18" charset="0"/>
                </a:rPr>
                <a:t>ℎ_𝑟𝑎𝑑=(</a:t>
              </a:r>
              <a:r>
                <a:rPr lang="ko-KR" altLang="en-US" sz="1000" b="0" i="0">
                  <a:latin typeface="Cambria Math" panose="02040503050406030204" pitchFamily="18" charset="0"/>
                </a:rPr>
                <a:t>𝜀𝜎</a:t>
              </a:r>
              <a:r>
                <a:rPr lang="en-US" altLang="ko-KR" sz="1000" b="0" i="0">
                  <a:latin typeface="Cambria Math" panose="02040503050406030204" pitchFamily="18" charset="0"/>
                </a:rPr>
                <a:t>(𝑇_𝑠𝑢𝑟𝑓^4−𝑇_𝑎𝑚𝑏^4))/(𝑇_𝑠𝑢𝑟𝑓−𝑇_𝑎𝑚𝑏 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14</xdr:col>
      <xdr:colOff>339587</xdr:colOff>
      <xdr:row>109</xdr:row>
      <xdr:rowOff>38100</xdr:rowOff>
    </xdr:from>
    <xdr:ext cx="1834028" cy="32444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Box 15"/>
            <xdr:cNvSpPr txBox="1"/>
          </xdr:nvSpPr>
          <xdr:spPr>
            <a:xfrm>
              <a:off x="9578837" y="22612350"/>
              <a:ext cx="1834028" cy="32444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US" altLang="ko-KR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</m:e>
                          <m:sub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𝑓𝑙𝑢𝑖𝑑</m:t>
                            </m:r>
                          </m:sub>
                        </m:sSub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sSub>
                          <m:sSubPr>
                            <m:ctrlP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</m:e>
                          <m:sub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𝑆𝑢𝑟𝑓</m:t>
                            </m:r>
                          </m:sub>
                        </m:sSub>
                      </m:num>
                      <m:den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𝑅</m:t>
                        </m:r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1+</m:t>
                        </m:r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𝑅</m:t>
                        </m:r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2+</m:t>
                        </m:r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𝑅</m:t>
                        </m:r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3</m:t>
                        </m:r>
                      </m:den>
                    </m:f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altLang="ko-KR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</m:e>
                          <m:sub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𝑠𝑢𝑟𝑓</m:t>
                            </m:r>
                          </m:sub>
                        </m:sSub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sSub>
                          <m:sSubPr>
                            <m:ctrlP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</m:e>
                          <m:sub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𝑎𝑚𝑏</m:t>
                            </m:r>
                          </m:sub>
                        </m:sSub>
                      </m:num>
                      <m:den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𝑅</m:t>
                        </m:r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4</m:t>
                        </m:r>
                      </m:den>
                    </m:f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16" name="TextBox 15"/>
            <xdr:cNvSpPr txBox="1"/>
          </xdr:nvSpPr>
          <xdr:spPr>
            <a:xfrm>
              <a:off x="9578837" y="22612350"/>
              <a:ext cx="1834028" cy="32444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altLang="ko-KR" sz="1100" i="0">
                  <a:latin typeface="Cambria Math" panose="02040503050406030204" pitchFamily="18" charset="0"/>
                </a:rPr>
                <a:t>(</a:t>
              </a:r>
              <a:r>
                <a:rPr lang="en-US" altLang="ko-KR" sz="1100" b="0" i="0">
                  <a:latin typeface="Cambria Math" panose="02040503050406030204" pitchFamily="18" charset="0"/>
                </a:rPr>
                <a:t>𝑇_𝑓𝑙𝑢𝑖𝑑−𝑇_𝑆𝑢𝑟𝑓)/(𝑅1+𝑅2+𝑅3)=(𝑇_𝑠𝑢𝑟𝑓−𝑇_𝑎𝑚𝑏)/𝑅4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12</xdr:col>
      <xdr:colOff>231913</xdr:colOff>
      <xdr:row>109</xdr:row>
      <xdr:rowOff>0</xdr:rowOff>
    </xdr:from>
    <xdr:ext cx="1170257" cy="43403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9" name="TextBox 18"/>
            <xdr:cNvSpPr txBox="1"/>
          </xdr:nvSpPr>
          <xdr:spPr>
            <a:xfrm>
              <a:off x="8099563" y="30208330"/>
              <a:ext cx="1170257" cy="4340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000" b="0" i="1"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000" b="0" i="1">
                        <a:latin typeface="Cambria Math" panose="02040503050406030204" pitchFamily="18" charset="0"/>
                      </a:rPr>
                      <m:t>3=</m:t>
                    </m:r>
                    <m:f>
                      <m:fPr>
                        <m:ctrlPr>
                          <a:rPr lang="en-US" altLang="ko-KR" sz="1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m:rPr>
                            <m:sty m:val="p"/>
                          </m:rPr>
                          <a:rPr lang="en-US" altLang="ko-KR" sz="1000" b="0" i="0">
                            <a:latin typeface="Cambria Math" panose="02040503050406030204" pitchFamily="18" charset="0"/>
                          </a:rPr>
                          <m:t>ln</m:t>
                        </m:r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⁡(</m:t>
                        </m:r>
                        <m:f>
                          <m:fPr>
                            <m:ctrlP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altLang="ko-KR" sz="10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altLang="ko-KR" sz="1000" b="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en-US" altLang="ko-KR" sz="1000" b="0" i="1">
                                    <a:latin typeface="Cambria Math" panose="02040503050406030204" pitchFamily="18" charset="0"/>
                                  </a:rPr>
                                  <m:t>𝑖𝑜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n-US" altLang="ko-KR" sz="10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altLang="ko-KR" sz="1000" b="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en-US" altLang="ko-KR" sz="1000" b="0" i="1">
                                    <a:latin typeface="Cambria Math" panose="02040503050406030204" pitchFamily="18" charset="0"/>
                                  </a:rPr>
                                  <m:t>𝑝𝑜</m:t>
                                </m:r>
                              </m:sub>
                            </m:sSub>
                          </m:den>
                        </m:f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)</m:t>
                        </m:r>
                      </m:num>
                      <m:den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000" b="0" i="1">
                            <a:latin typeface="Cambria Math" panose="02040503050406030204" pitchFamily="18" charset="0"/>
                          </a:rPr>
                          <m:t>𝜋</m:t>
                        </m:r>
                        <m:sSub>
                          <m:sSubPr>
                            <m:ctrlP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  <m:t>𝑘</m:t>
                            </m:r>
                          </m:e>
                          <m:sub>
                            <m: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  <m:t>𝑖𝑛𝑠𝑢𝑙</m:t>
                            </m:r>
                          </m:sub>
                        </m:sSub>
                      </m:den>
                    </m:f>
                    <m:r>
                      <a:rPr lang="en-US" altLang="ko-KR" sz="1000" b="0" i="1">
                        <a:latin typeface="Cambria Math" panose="02040503050406030204" pitchFamily="18" charset="0"/>
                      </a:rPr>
                      <m:t>,[</m:t>
                    </m:r>
                    <m:f>
                      <m:fPr>
                        <m:ctrlPr>
                          <a:rPr lang="en-US" altLang="ko-KR" sz="1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𝑚𝐾</m:t>
                        </m:r>
                      </m:num>
                      <m:den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𝑊</m:t>
                        </m:r>
                      </m:den>
                    </m:f>
                    <m:r>
                      <a:rPr lang="en-US" altLang="ko-KR" sz="10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19" name="TextBox 18"/>
            <xdr:cNvSpPr txBox="1"/>
          </xdr:nvSpPr>
          <xdr:spPr>
            <a:xfrm>
              <a:off x="8099563" y="30208330"/>
              <a:ext cx="1170257" cy="4340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altLang="ko-KR" sz="1000" b="0" i="0">
                  <a:latin typeface="Cambria Math" panose="02040503050406030204" pitchFamily="18" charset="0"/>
                </a:rPr>
                <a:t>𝑅3=(ln⁡(𝑟_𝑖𝑜/𝑟_𝑝𝑜 ))/(2</a:t>
              </a:r>
              <a:r>
                <a:rPr lang="ko-KR" altLang="en-US" sz="10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000" b="0" i="0">
                  <a:latin typeface="Cambria Math" panose="02040503050406030204" pitchFamily="18" charset="0"/>
                </a:rPr>
                <a:t>𝑘_𝑖𝑛𝑠𝑢𝑙 ),[𝑚𝐾/𝑊]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124239</xdr:colOff>
      <xdr:row>116</xdr:row>
      <xdr:rowOff>165652</xdr:rowOff>
    </xdr:from>
    <xdr:ext cx="1397626" cy="3324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/>
            <xdr:cNvSpPr txBox="1"/>
          </xdr:nvSpPr>
          <xdr:spPr>
            <a:xfrm>
              <a:off x="7306089" y="32017252"/>
              <a:ext cx="1397626" cy="3324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000" b="0" i="1"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000" b="0" i="1">
                        <a:latin typeface="Cambria Math" panose="02040503050406030204" pitchFamily="18" charset="0"/>
                      </a:rPr>
                      <m:t>4=</m:t>
                    </m:r>
                    <m:f>
                      <m:fPr>
                        <m:ctrlPr>
                          <a:rPr lang="en-US" altLang="ko-KR" sz="1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sSub>
                          <m:sSubPr>
                            <m:ctrlP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  <m:t>h</m:t>
                            </m:r>
                          </m:e>
                          <m:sub>
                            <m: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  <m:t>𝑠𝑢𝑟𝑓</m:t>
                            </m:r>
                          </m:sub>
                        </m:sSub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(2</m:t>
                        </m:r>
                        <m:r>
                          <a:rPr lang="ko-KR" altLang="en-US" sz="1000" b="0" i="1">
                            <a:latin typeface="Cambria Math" panose="02040503050406030204" pitchFamily="18" charset="0"/>
                          </a:rPr>
                          <m:t>𝜋</m:t>
                        </m:r>
                        <m:sSub>
                          <m:sSubPr>
                            <m:ctrlP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  <m:t>𝑟</m:t>
                            </m:r>
                          </m:e>
                          <m:sub>
                            <m:r>
                              <a:rPr lang="en-US" altLang="ko-KR" sz="1000" b="0" i="1">
                                <a:latin typeface="Cambria Math" panose="02040503050406030204" pitchFamily="18" charset="0"/>
                              </a:rPr>
                              <m:t>𝑖𝑜</m:t>
                            </m:r>
                          </m:sub>
                        </m:sSub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)</m:t>
                        </m:r>
                      </m:den>
                    </m:f>
                    <m:r>
                      <a:rPr lang="en-US" altLang="ko-KR" sz="1000" b="0" i="1">
                        <a:latin typeface="Cambria Math" panose="02040503050406030204" pitchFamily="18" charset="0"/>
                      </a:rPr>
                      <m:t>, [</m:t>
                    </m:r>
                    <m:f>
                      <m:fPr>
                        <m:ctrlPr>
                          <a:rPr lang="en-US" altLang="ko-KR" sz="1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𝑚𝐾</m:t>
                        </m:r>
                      </m:num>
                      <m:den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𝑊</m:t>
                        </m:r>
                      </m:den>
                    </m:f>
                    <m:r>
                      <a:rPr lang="en-US" altLang="ko-KR" sz="10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20" name="TextBox 19"/>
            <xdr:cNvSpPr txBox="1"/>
          </xdr:nvSpPr>
          <xdr:spPr>
            <a:xfrm>
              <a:off x="7306089" y="32017252"/>
              <a:ext cx="1397626" cy="3324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altLang="ko-KR" sz="1000" b="0" i="0">
                  <a:latin typeface="Cambria Math" panose="02040503050406030204" pitchFamily="18" charset="0"/>
                </a:rPr>
                <a:t>𝑅4=1/(ℎ_𝑠𝑢𝑟𝑓 (2</a:t>
              </a:r>
              <a:r>
                <a:rPr lang="ko-KR" altLang="en-US" sz="10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000" b="0" i="0">
                  <a:latin typeface="Cambria Math" panose="02040503050406030204" pitchFamily="18" charset="0"/>
                </a:rPr>
                <a:t>𝑟_𝑖𝑜)), [𝑚𝐾/𝑊]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16565</xdr:colOff>
      <xdr:row>111</xdr:row>
      <xdr:rowOff>124239</xdr:rowOff>
    </xdr:from>
    <xdr:ext cx="4798878" cy="15651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1" name="TextBox 20"/>
            <xdr:cNvSpPr txBox="1"/>
          </xdr:nvSpPr>
          <xdr:spPr>
            <a:xfrm>
              <a:off x="7198415" y="30928089"/>
              <a:ext cx="4798878" cy="15651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000" b="0" i="1">
                        <a:latin typeface="Cambria Math" panose="02040503050406030204" pitchFamily="18" charset="0"/>
                      </a:rPr>
                      <m:t>𝑞</m:t>
                    </m:r>
                    <m:d>
                      <m:dPr>
                        <m:ctrlPr>
                          <a:rPr lang="en-US" altLang="ko-KR" sz="10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𝑓𝑟𝑜𝑚</m:t>
                        </m:r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𝐹𝑙𝑢𝑖𝑑</m:t>
                        </m:r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𝑡𝑜</m:t>
                        </m:r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𝐼𝑛𝑠𝑢𝑙𝑎𝑡𝑖𝑜𝑛</m:t>
                        </m:r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n-US" altLang="ko-KR" sz="1000" b="0" i="1">
                            <a:latin typeface="Cambria Math" panose="02040503050406030204" pitchFamily="18" charset="0"/>
                          </a:rPr>
                          <m:t>𝑆𝑢𝑟𝑓𝑎𝑐𝑒</m:t>
                        </m:r>
                      </m:e>
                    </m:d>
                    <m:r>
                      <a:rPr lang="en-US" altLang="ko-KR" sz="10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altLang="ko-KR" sz="1000" b="0" i="1">
                        <a:latin typeface="Cambria Math" panose="02040503050406030204" pitchFamily="18" charset="0"/>
                      </a:rPr>
                      <m:t>𝑞</m:t>
                    </m:r>
                    <m:r>
                      <a:rPr lang="en-US" altLang="ko-KR" sz="1000" b="0" i="1">
                        <a:latin typeface="Cambria Math" panose="02040503050406030204" pitchFamily="18" charset="0"/>
                      </a:rPr>
                      <m:t>(</m:t>
                    </m:r>
                    <m:r>
                      <a:rPr lang="en-US" altLang="ko-KR" sz="1000" b="0" i="1">
                        <a:latin typeface="Cambria Math" panose="02040503050406030204" pitchFamily="18" charset="0"/>
                      </a:rPr>
                      <m:t>𝑓𝑟𝑜𝑚</m:t>
                    </m:r>
                    <m:r>
                      <a:rPr lang="en-US" altLang="ko-KR" sz="10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altLang="ko-KR" sz="1000" b="0" i="1">
                        <a:latin typeface="Cambria Math" panose="02040503050406030204" pitchFamily="18" charset="0"/>
                      </a:rPr>
                      <m:t>𝐼𝑛𝑠𝑢𝑙𝑎𝑡𝑖𝑜𝑛</m:t>
                    </m:r>
                    <m:r>
                      <a:rPr lang="en-US" altLang="ko-KR" sz="10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altLang="ko-KR" sz="1000" b="0" i="1">
                        <a:latin typeface="Cambria Math" panose="02040503050406030204" pitchFamily="18" charset="0"/>
                      </a:rPr>
                      <m:t>𝑆𝑢𝑟𝑓𝑎𝑐𝑒</m:t>
                    </m:r>
                    <m:r>
                      <a:rPr lang="en-US" altLang="ko-KR" sz="10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altLang="ko-KR" sz="1000" b="0" i="1">
                        <a:latin typeface="Cambria Math" panose="02040503050406030204" pitchFamily="18" charset="0"/>
                      </a:rPr>
                      <m:t>𝑡𝑜</m:t>
                    </m:r>
                    <m:r>
                      <a:rPr lang="en-US" altLang="ko-KR" sz="10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altLang="ko-KR" sz="1000" b="0" i="1">
                        <a:latin typeface="Cambria Math" panose="02040503050406030204" pitchFamily="18" charset="0"/>
                      </a:rPr>
                      <m:t>𝐴𝑡𝑚𝑜𝑠𝑝h𝑒𝑟𝑒</m:t>
                    </m:r>
                    <m:r>
                      <a:rPr lang="en-US" altLang="ko-KR" sz="10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21" name="TextBox 20"/>
            <xdr:cNvSpPr txBox="1"/>
          </xdr:nvSpPr>
          <xdr:spPr>
            <a:xfrm>
              <a:off x="7198415" y="30928089"/>
              <a:ext cx="4798878" cy="15651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altLang="ko-KR" sz="1000" b="0" i="0">
                  <a:latin typeface="Cambria Math" panose="02040503050406030204" pitchFamily="18" charset="0"/>
                </a:rPr>
                <a:t>𝑞(𝑓𝑟𝑜𝑚 𝐹𝑙𝑢𝑖𝑑 𝑡𝑜 𝐼𝑛𝑠𝑢𝑙𝑎𝑡𝑖𝑜𝑛 𝑆𝑢𝑟𝑓𝑎𝑐𝑒)=𝑞(𝑓𝑟𝑜𝑚 𝐼𝑛𝑠𝑢𝑙𝑎𝑡𝑖𝑜𝑛 𝑆𝑢𝑟𝑓𝑎𝑐𝑒 𝑡𝑜 𝐴𝑡𝑚𝑜𝑠𝑝ℎ𝑒𝑟𝑒)</a:t>
              </a:r>
              <a:endParaRPr lang="ko-KR" altLang="en-US" sz="1000"/>
            </a:p>
          </xdr:txBody>
        </xdr:sp>
      </mc:Fallback>
    </mc:AlternateContent>
    <xdr:clientData/>
  </xdr:oneCellAnchor>
  <xdr:twoCellAnchor>
    <xdr:from>
      <xdr:col>2</xdr:col>
      <xdr:colOff>0</xdr:colOff>
      <xdr:row>18</xdr:row>
      <xdr:rowOff>200025</xdr:rowOff>
    </xdr:from>
    <xdr:to>
      <xdr:col>9</xdr:col>
      <xdr:colOff>48039</xdr:colOff>
      <xdr:row>29</xdr:row>
      <xdr:rowOff>106431</xdr:rowOff>
    </xdr:to>
    <xdr:grpSp>
      <xdr:nvGrpSpPr>
        <xdr:cNvPr id="22" name="그룹 21"/>
        <xdr:cNvGrpSpPr/>
      </xdr:nvGrpSpPr>
      <xdr:grpSpPr>
        <a:xfrm>
          <a:off x="838200" y="3857625"/>
          <a:ext cx="4848639" cy="2211456"/>
          <a:chOff x="770283" y="3983935"/>
          <a:chExt cx="4861891" cy="2186608"/>
        </a:xfrm>
      </xdr:grpSpPr>
      <xdr:grpSp>
        <xdr:nvGrpSpPr>
          <xdr:cNvPr id="23" name="그룹 22"/>
          <xdr:cNvGrpSpPr/>
        </xdr:nvGrpSpPr>
        <xdr:grpSpPr>
          <a:xfrm>
            <a:off x="770283" y="3983935"/>
            <a:ext cx="4861891" cy="2186608"/>
            <a:chOff x="765505" y="4086831"/>
            <a:chExt cx="4864758" cy="2240763"/>
          </a:xfrm>
        </xdr:grpSpPr>
        <xdr:grpSp>
          <xdr:nvGrpSpPr>
            <xdr:cNvPr id="25" name="그룹 24"/>
            <xdr:cNvGrpSpPr/>
          </xdr:nvGrpSpPr>
          <xdr:grpSpPr>
            <a:xfrm>
              <a:off x="765505" y="4086831"/>
              <a:ext cx="4864758" cy="2240763"/>
              <a:chOff x="765505" y="4086831"/>
              <a:chExt cx="4864758" cy="2240763"/>
            </a:xfrm>
          </xdr:grpSpPr>
          <xdr:grpSp>
            <xdr:nvGrpSpPr>
              <xdr:cNvPr id="29" name="그룹 28"/>
              <xdr:cNvGrpSpPr/>
            </xdr:nvGrpSpPr>
            <xdr:grpSpPr>
              <a:xfrm>
                <a:off x="765505" y="4086831"/>
                <a:ext cx="4864758" cy="2240763"/>
                <a:chOff x="869674" y="3818283"/>
                <a:chExt cx="4861891" cy="2186608"/>
              </a:xfrm>
            </xdr:grpSpPr>
            <xdr:sp macro="" textlink="">
              <xdr:nvSpPr>
                <xdr:cNvPr id="34" name="직사각형 33"/>
                <xdr:cNvSpPr/>
              </xdr:nvSpPr>
              <xdr:spPr>
                <a:xfrm>
                  <a:off x="869674" y="3818283"/>
                  <a:ext cx="4861891" cy="2186608"/>
                </a:xfrm>
                <a:prstGeom prst="rect">
                  <a:avLst/>
                </a:prstGeom>
                <a:solidFill>
                  <a:schemeClr val="bg1"/>
                </a:solidFill>
                <a:ln w="6350">
                  <a:solidFill>
                    <a:schemeClr val="tx1">
                      <a:lumMod val="50000"/>
                      <a:lumOff val="50000"/>
                    </a:schemeClr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ko-KR" altLang="en-US" sz="1100"/>
                </a:p>
              </xdr:txBody>
            </xdr:sp>
            <xdr:grpSp>
              <xdr:nvGrpSpPr>
                <xdr:cNvPr id="35" name="그룹 34"/>
                <xdr:cNvGrpSpPr/>
              </xdr:nvGrpSpPr>
              <xdr:grpSpPr>
                <a:xfrm>
                  <a:off x="1111526" y="3871713"/>
                  <a:ext cx="2595321" cy="1969657"/>
                  <a:chOff x="1111526" y="3871713"/>
                  <a:chExt cx="2595321" cy="1969657"/>
                </a:xfrm>
              </xdr:grpSpPr>
              <xdr:sp macro="" textlink="">
                <xdr:nvSpPr>
                  <xdr:cNvPr id="36" name="타원 35"/>
                  <xdr:cNvSpPr/>
                </xdr:nvSpPr>
                <xdr:spPr>
                  <a:xfrm>
                    <a:off x="1111526" y="4217504"/>
                    <a:ext cx="1641613" cy="1618422"/>
                  </a:xfrm>
                  <a:prstGeom prst="ellipse">
                    <a:avLst/>
                  </a:prstGeom>
                  <a:solidFill>
                    <a:schemeClr val="accent4">
                      <a:lumMod val="40000"/>
                      <a:lumOff val="60000"/>
                    </a:schemeClr>
                  </a:solidFill>
                  <a:ln>
                    <a:solidFill>
                      <a:schemeClr val="tx1">
                        <a:lumMod val="50000"/>
                        <a:lumOff val="50000"/>
                      </a:schemeClr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ko-KR" altLang="en-US" sz="1100"/>
                  </a:p>
                </xdr:txBody>
              </xdr:sp>
              <xdr:sp macro="" textlink="">
                <xdr:nvSpPr>
                  <xdr:cNvPr id="37" name="타원 36"/>
                  <xdr:cNvSpPr/>
                </xdr:nvSpPr>
                <xdr:spPr>
                  <a:xfrm>
                    <a:off x="1344067" y="4437496"/>
                    <a:ext cx="1190982" cy="1173162"/>
                  </a:xfrm>
                  <a:prstGeom prst="ellipse">
                    <a:avLst/>
                  </a:prstGeom>
                  <a:solidFill>
                    <a:schemeClr val="bg1">
                      <a:lumMod val="75000"/>
                    </a:schemeClr>
                  </a:solidFill>
                  <a:ln>
                    <a:solidFill>
                      <a:schemeClr val="tx1">
                        <a:lumMod val="50000"/>
                        <a:lumOff val="50000"/>
                      </a:schemeClr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ko-KR" altLang="en-US" sz="1100"/>
                  </a:p>
                </xdr:txBody>
              </xdr:sp>
              <xdr:sp macro="" textlink="">
                <xdr:nvSpPr>
                  <xdr:cNvPr id="38" name="타원 37"/>
                  <xdr:cNvSpPr/>
                </xdr:nvSpPr>
                <xdr:spPr>
                  <a:xfrm>
                    <a:off x="1488585" y="4581711"/>
                    <a:ext cx="901948" cy="880813"/>
                  </a:xfrm>
                  <a:prstGeom prst="ellipse">
                    <a:avLst/>
                  </a:prstGeom>
                  <a:solidFill>
                    <a:schemeClr val="accent2">
                      <a:lumMod val="60000"/>
                      <a:lumOff val="40000"/>
                    </a:schemeClr>
                  </a:solidFill>
                  <a:ln>
                    <a:solidFill>
                      <a:schemeClr val="tx1">
                        <a:lumMod val="50000"/>
                        <a:lumOff val="50000"/>
                      </a:schemeClr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ko-KR" altLang="en-US" sz="1100"/>
                  </a:p>
                </xdr:txBody>
              </xdr:sp>
              <xdr:cxnSp macro="">
                <xdr:nvCxnSpPr>
                  <xdr:cNvPr id="39" name="직선 화살표 연결선 38"/>
                  <xdr:cNvCxnSpPr/>
                </xdr:nvCxnSpPr>
                <xdr:spPr>
                  <a:xfrm flipV="1">
                    <a:off x="1929612" y="4615307"/>
                    <a:ext cx="157842" cy="403244"/>
                  </a:xfrm>
                  <a:prstGeom prst="straightConnector1">
                    <a:avLst/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0" name="직선 화살표 연결선 39"/>
                  <xdr:cNvCxnSpPr/>
                </xdr:nvCxnSpPr>
                <xdr:spPr>
                  <a:xfrm flipV="1">
                    <a:off x="1935054" y="4762500"/>
                    <a:ext cx="540499" cy="250610"/>
                  </a:xfrm>
                  <a:prstGeom prst="straightConnector1">
                    <a:avLst/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1" name="직선 화살표 연결선 40"/>
                  <xdr:cNvCxnSpPr>
                    <a:endCxn id="36" idx="6"/>
                  </xdr:cNvCxnSpPr>
                </xdr:nvCxnSpPr>
                <xdr:spPr>
                  <a:xfrm>
                    <a:off x="1935054" y="5018551"/>
                    <a:ext cx="818085" cy="8165"/>
                  </a:xfrm>
                  <a:prstGeom prst="straightConnector1">
                    <a:avLst/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2" name="TextBox 41"/>
                  <xdr:cNvSpPr txBox="1"/>
                </xdr:nvSpPr>
                <xdr:spPr>
                  <a:xfrm>
                    <a:off x="1771768" y="5236502"/>
                    <a:ext cx="370115" cy="217952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ko-KR" altLang="en-US" sz="600" b="1"/>
                      <a:t>유체</a:t>
                    </a:r>
                  </a:p>
                </xdr:txBody>
              </xdr:sp>
              <xdr:sp macro="" textlink="">
                <xdr:nvSpPr>
                  <xdr:cNvPr id="43" name="TextBox 42"/>
                  <xdr:cNvSpPr txBox="1"/>
                </xdr:nvSpPr>
                <xdr:spPr>
                  <a:xfrm>
                    <a:off x="1782653" y="5432683"/>
                    <a:ext cx="370115" cy="21795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ko-KR" altLang="en-US" sz="600" b="1"/>
                      <a:t>배관</a:t>
                    </a:r>
                  </a:p>
                </xdr:txBody>
              </xdr:sp>
              <xdr:sp macro="" textlink="">
                <xdr:nvSpPr>
                  <xdr:cNvPr id="44" name="TextBox 43"/>
                  <xdr:cNvSpPr txBox="1"/>
                </xdr:nvSpPr>
                <xdr:spPr>
                  <a:xfrm>
                    <a:off x="1739111" y="5623419"/>
                    <a:ext cx="440872" cy="217951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ko-KR" altLang="en-US" sz="600" b="1"/>
                      <a:t>보온재</a:t>
                    </a:r>
                  </a:p>
                </xdr:txBody>
              </xdr:sp>
              <xdr:sp macro="" textlink="">
                <xdr:nvSpPr>
                  <xdr:cNvPr id="45" name="TextBox 44"/>
                  <xdr:cNvSpPr txBox="1"/>
                </xdr:nvSpPr>
                <xdr:spPr>
                  <a:xfrm>
                    <a:off x="2627500" y="4414882"/>
                    <a:ext cx="1079347" cy="343137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US" altLang="ko-KR" sz="700" b="1">
                        <a:solidFill>
                          <a:srgbClr val="FF0000"/>
                        </a:solidFill>
                        <a:latin typeface="Arial Narrow" panose="020B0606020202030204" pitchFamily="34" charset="0"/>
                        <a:cs typeface="Arial" panose="020B0604020202020204" pitchFamily="34" charset="0"/>
                      </a:rPr>
                      <a:t>T_surf</a:t>
                    </a:r>
                  </a:p>
                  <a:p>
                    <a:r>
                      <a:rPr lang="en-US" altLang="ko-KR" sz="700" b="1">
                        <a:solidFill>
                          <a:srgbClr val="0070C0"/>
                        </a:solidFill>
                        <a:latin typeface="Arial Narrow" panose="020B0606020202030204" pitchFamily="34" charset="0"/>
                        <a:cs typeface="Arial" panose="020B0604020202020204" pitchFamily="34" charset="0"/>
                      </a:rPr>
                      <a:t>h_surf</a:t>
                    </a:r>
                    <a:r>
                      <a:rPr lang="en-US" altLang="ko-KR" sz="700" b="1" baseline="0">
                        <a:solidFill>
                          <a:srgbClr val="0070C0"/>
                        </a:solidFill>
                        <a:latin typeface="Arial Narrow" panose="020B0606020202030204" pitchFamily="34" charset="0"/>
                        <a:cs typeface="Arial" panose="020B0604020202020204" pitchFamily="34" charset="0"/>
                      </a:rPr>
                      <a:t> (= h_amb + h_rad)</a:t>
                    </a:r>
                    <a:endParaRPr lang="ko-KR" altLang="en-US" sz="700" b="1">
                      <a:solidFill>
                        <a:srgbClr val="0070C0"/>
                      </a:solidFill>
                      <a:latin typeface="Arial Narrow" panose="020B0606020202030204" pitchFamily="34" charset="0"/>
                      <a:cs typeface="Arial" panose="020B0604020202020204" pitchFamily="34" charset="0"/>
                    </a:endParaRPr>
                  </a:p>
                </xdr:txBody>
              </xdr:sp>
              <xdr:sp macro="" textlink="">
                <xdr:nvSpPr>
                  <xdr:cNvPr id="46" name="TextBox 45"/>
                  <xdr:cNvSpPr txBox="1"/>
                </xdr:nvSpPr>
                <xdr:spPr>
                  <a:xfrm>
                    <a:off x="2442952" y="3871713"/>
                    <a:ext cx="486072" cy="72030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US" altLang="ko-KR" sz="700" b="1">
                        <a:solidFill>
                          <a:srgbClr val="FF0000"/>
                        </a:solidFill>
                        <a:latin typeface="Arial Narrow" panose="020B0606020202030204" pitchFamily="34" charset="0"/>
                        <a:cs typeface="Arial" panose="020B0604020202020204" pitchFamily="34" charset="0"/>
                      </a:rPr>
                      <a:t>P_amb</a:t>
                    </a:r>
                  </a:p>
                  <a:p>
                    <a:r>
                      <a:rPr lang="en-US" altLang="ko-KR" sz="700" b="1">
                        <a:solidFill>
                          <a:srgbClr val="FF0000"/>
                        </a:solidFill>
                        <a:latin typeface="Arial Narrow" panose="020B0606020202030204" pitchFamily="34" charset="0"/>
                        <a:cs typeface="Arial" panose="020B0604020202020204" pitchFamily="34" charset="0"/>
                      </a:rPr>
                      <a:t>T_amb</a:t>
                    </a:r>
                  </a:p>
                  <a:p>
                    <a:r>
                      <a:rPr lang="en-US" altLang="ko-KR" sz="700" b="1">
                        <a:solidFill>
                          <a:srgbClr val="0070C0"/>
                        </a:solidFill>
                        <a:latin typeface="Arial Narrow" panose="020B0606020202030204" pitchFamily="34" charset="0"/>
                        <a:cs typeface="Arial" panose="020B0604020202020204" pitchFamily="34" charset="0"/>
                      </a:rPr>
                      <a:t>h_amb</a:t>
                    </a:r>
                  </a:p>
                  <a:p>
                    <a:r>
                      <a:rPr lang="en-US" altLang="ko-KR" sz="700" b="1">
                        <a:solidFill>
                          <a:srgbClr val="0070C0"/>
                        </a:solidFill>
                        <a:latin typeface="Arial Narrow" panose="020B0606020202030204" pitchFamily="34" charset="0"/>
                        <a:cs typeface="Arial" panose="020B0604020202020204" pitchFamily="34" charset="0"/>
                      </a:rPr>
                      <a:t>k_amb</a:t>
                    </a:r>
                  </a:p>
                  <a:p>
                    <a:r>
                      <a:rPr lang="en-US" altLang="ko-KR" sz="700" b="1">
                        <a:solidFill>
                          <a:srgbClr val="0070C0"/>
                        </a:solidFill>
                        <a:latin typeface="Arial Narrow" panose="020B0606020202030204" pitchFamily="34" charset="0"/>
                        <a:cs typeface="Arial" panose="020B0604020202020204" pitchFamily="34" charset="0"/>
                      </a:rPr>
                      <a:t>V_wind</a:t>
                    </a:r>
                    <a:endParaRPr lang="ko-KR" altLang="en-US" sz="700" b="1">
                      <a:solidFill>
                        <a:srgbClr val="0070C0"/>
                      </a:solidFill>
                      <a:latin typeface="Arial Narrow" panose="020B0606020202030204" pitchFamily="34" charset="0"/>
                      <a:cs typeface="Arial" panose="020B0604020202020204" pitchFamily="34" charset="0"/>
                    </a:endParaRPr>
                  </a:p>
                </xdr:txBody>
              </xdr:sp>
              <xdr:sp macro="" textlink="">
                <xdr:nvSpPr>
                  <xdr:cNvPr id="47" name="TextBox 46"/>
                  <xdr:cNvSpPr txBox="1"/>
                </xdr:nvSpPr>
                <xdr:spPr>
                  <a:xfrm>
                    <a:off x="1519737" y="4855030"/>
                    <a:ext cx="486073" cy="419571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US" altLang="ko-KR" sz="700" b="1">
                        <a:solidFill>
                          <a:srgbClr val="FF0000"/>
                        </a:solidFill>
                        <a:latin typeface="Arial Narrow" panose="020B0606020202030204" pitchFamily="34" charset="0"/>
                        <a:cs typeface="Arial" panose="020B0604020202020204" pitchFamily="34" charset="0"/>
                      </a:rPr>
                      <a:t>P_fluid</a:t>
                    </a:r>
                  </a:p>
                  <a:p>
                    <a:r>
                      <a:rPr lang="en-US" altLang="ko-KR" sz="700" b="1">
                        <a:solidFill>
                          <a:srgbClr val="FF0000"/>
                        </a:solidFill>
                        <a:latin typeface="Arial Narrow" panose="020B0606020202030204" pitchFamily="34" charset="0"/>
                        <a:cs typeface="Arial" panose="020B0604020202020204" pitchFamily="34" charset="0"/>
                      </a:rPr>
                      <a:t>T_fluid</a:t>
                    </a:r>
                  </a:p>
                  <a:p>
                    <a:r>
                      <a:rPr lang="en-US" altLang="ko-KR" sz="700" b="1">
                        <a:solidFill>
                          <a:srgbClr val="0070C0"/>
                        </a:solidFill>
                        <a:latin typeface="Arial Narrow" panose="020B0606020202030204" pitchFamily="34" charset="0"/>
                        <a:cs typeface="Arial" panose="020B0604020202020204" pitchFamily="34" charset="0"/>
                      </a:rPr>
                      <a:t>h_fluid</a:t>
                    </a:r>
                  </a:p>
                  <a:p>
                    <a:r>
                      <a:rPr lang="en-US" altLang="ko-KR" sz="700" b="1">
                        <a:solidFill>
                          <a:srgbClr val="0070C0"/>
                        </a:solidFill>
                        <a:latin typeface="Arial Narrow" panose="020B0606020202030204" pitchFamily="34" charset="0"/>
                        <a:cs typeface="Arial" panose="020B0604020202020204" pitchFamily="34" charset="0"/>
                      </a:rPr>
                      <a:t>k_fluid</a:t>
                    </a:r>
                    <a:endParaRPr lang="ko-KR" altLang="en-US" sz="700" b="1">
                      <a:solidFill>
                        <a:srgbClr val="0070C0"/>
                      </a:solidFill>
                      <a:latin typeface="Arial Narrow" panose="020B0606020202030204" pitchFamily="34" charset="0"/>
                      <a:cs typeface="Arial" panose="020B0604020202020204" pitchFamily="34" charset="0"/>
                    </a:endParaRPr>
                  </a:p>
                </xdr:txBody>
              </xdr:sp>
              <xdr:sp macro="" textlink="">
                <xdr:nvSpPr>
                  <xdr:cNvPr id="48" name="TextBox 47"/>
                  <xdr:cNvSpPr txBox="1"/>
                </xdr:nvSpPr>
                <xdr:spPr>
                  <a:xfrm>
                    <a:off x="1690123" y="4419130"/>
                    <a:ext cx="451761" cy="16352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US" altLang="ko-KR" sz="700" b="1">
                        <a:solidFill>
                          <a:srgbClr val="0070C0"/>
                        </a:solidFill>
                        <a:latin typeface="Arial Narrow" panose="020B0606020202030204" pitchFamily="34" charset="0"/>
                        <a:cs typeface="Arial" panose="020B0604020202020204" pitchFamily="34" charset="0"/>
                      </a:rPr>
                      <a:t>k_pipe</a:t>
                    </a:r>
                    <a:endParaRPr lang="ko-KR" altLang="en-US" sz="700" b="1">
                      <a:solidFill>
                        <a:srgbClr val="0070C0"/>
                      </a:solidFill>
                      <a:latin typeface="Arial Narrow" panose="020B0606020202030204" pitchFamily="34" charset="0"/>
                      <a:cs typeface="Arial" panose="020B0604020202020204" pitchFamily="34" charset="0"/>
                    </a:endParaRPr>
                  </a:p>
                </xdr:txBody>
              </xdr:sp>
              <xdr:sp macro="" textlink="">
                <xdr:nvSpPr>
                  <xdr:cNvPr id="49" name="TextBox 48"/>
                  <xdr:cNvSpPr txBox="1"/>
                </xdr:nvSpPr>
                <xdr:spPr>
                  <a:xfrm>
                    <a:off x="1695566" y="4244721"/>
                    <a:ext cx="451761" cy="163521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US" altLang="ko-KR" sz="700" b="1">
                        <a:solidFill>
                          <a:srgbClr val="0070C0"/>
                        </a:solidFill>
                        <a:latin typeface="Arial Narrow" panose="020B0606020202030204" pitchFamily="34" charset="0"/>
                        <a:cs typeface="Arial" panose="020B0604020202020204" pitchFamily="34" charset="0"/>
                      </a:rPr>
                      <a:t>k_insul</a:t>
                    </a:r>
                    <a:endParaRPr lang="ko-KR" altLang="en-US" sz="700" b="1">
                      <a:solidFill>
                        <a:srgbClr val="0070C0"/>
                      </a:solidFill>
                      <a:latin typeface="Arial Narrow" panose="020B0606020202030204" pitchFamily="34" charset="0"/>
                      <a:cs typeface="Arial" panose="020B0604020202020204" pitchFamily="34" charset="0"/>
                    </a:endParaRPr>
                  </a:p>
                </xdr:txBody>
              </xdr:sp>
            </xdr:grpSp>
          </xdr:grpSp>
          <mc:AlternateContent xmlns:mc="http://schemas.openxmlformats.org/markup-compatibility/2006" xmlns:a14="http://schemas.microsoft.com/office/drawing/2010/main">
            <mc:Choice Requires="a14">
              <xdr:sp macro="" textlink="">
                <xdr:nvSpPr>
                  <xdr:cNvPr id="30" name="TextBox 29"/>
                  <xdr:cNvSpPr txBox="1"/>
                </xdr:nvSpPr>
                <xdr:spPr>
                  <a:xfrm>
                    <a:off x="4022131" y="4136526"/>
                    <a:ext cx="1364669" cy="332463"/>
                  </a:xfrm>
                  <a:prstGeom prst="rect">
                    <a:avLst/>
                  </a:prstGeom>
                  <a:solidFill>
                    <a:sysClr val="window" lastClr="FFFFFF"/>
                  </a:solidFill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lIns="0" tIns="0" rIns="0" bIns="0" rtlCol="0" anchor="t">
                    <a:spAutoFit/>
                  </a:bodyPr>
                  <a:lstStyle/>
                  <a:p>
                    <a:pPr/>
                    <a14:m>
                      <m:oMathPara xmlns:m="http://schemas.openxmlformats.org/officeDocument/2006/math">
                        <m:oMathParaPr>
                          <m:jc m:val="centerGroup"/>
                        </m:oMathParaPr>
                        <m:oMath xmlns:m="http://schemas.openxmlformats.org/officeDocument/2006/math">
                          <m:r>
                            <a:rPr lang="en-US" altLang="ko-KR" sz="1000" b="0" i="1">
                              <a:latin typeface="Cambria Math" panose="02040503050406030204" pitchFamily="18" charset="0"/>
                            </a:rPr>
                            <m:t>𝑅</m:t>
                          </m:r>
                          <m:r>
                            <a:rPr lang="en-US" altLang="ko-KR" sz="1000" b="0" i="1">
                              <a:latin typeface="Cambria Math" panose="02040503050406030204" pitchFamily="18" charset="0"/>
                            </a:rPr>
                            <m:t>1=</m:t>
                          </m:r>
                          <m:f>
                            <m:fPr>
                              <m:ctrlPr>
                                <a:rPr lang="en-US" altLang="ko-KR" sz="1000" b="0" i="1">
                                  <a:latin typeface="Cambria Math" panose="02040503050406030204" pitchFamily="18" charset="0"/>
                                </a:rPr>
                              </m:ctrlPr>
                            </m:fPr>
                            <m:num>
                              <m:r>
                                <a:rPr lang="en-US" altLang="ko-KR" sz="1000" b="0" i="1">
                                  <a:latin typeface="Cambria Math" panose="02040503050406030204" pitchFamily="18" charset="0"/>
                                </a:rPr>
                                <m:t>1</m:t>
                              </m:r>
                            </m:num>
                            <m:den>
                              <m:sSub>
                                <m:sSubPr>
                                  <m:ctrlPr>
                                    <a:rPr lang="en-US" altLang="ko-KR" sz="1000" b="0" i="1">
                                      <a:latin typeface="Cambria Math" panose="02040503050406030204" pitchFamily="18" charset="0"/>
                                    </a:rPr>
                                  </m:ctrlPr>
                                </m:sSubPr>
                                <m:e>
                                  <m:r>
                                    <a:rPr lang="en-US" altLang="ko-KR" sz="1000" b="0" i="1">
                                      <a:latin typeface="Cambria Math" panose="02040503050406030204" pitchFamily="18" charset="0"/>
                                    </a:rPr>
                                    <m:t>h</m:t>
                                  </m:r>
                                </m:e>
                                <m:sub>
                                  <m:r>
                                    <a:rPr lang="en-US" altLang="ko-KR" sz="1000" b="0" i="1">
                                      <a:latin typeface="Cambria Math" panose="02040503050406030204" pitchFamily="18" charset="0"/>
                                    </a:rPr>
                                    <m:t>𝑓𝑙𝑢𝑖𝑑</m:t>
                                  </m:r>
                                </m:sub>
                              </m:sSub>
                              <m:r>
                                <a:rPr lang="en-US" altLang="ko-KR" sz="1000" b="0" i="1">
                                  <a:latin typeface="Cambria Math" panose="02040503050406030204" pitchFamily="18" charset="0"/>
                                </a:rPr>
                                <m:t>(2</m:t>
                              </m:r>
                              <m:r>
                                <a:rPr lang="ko-KR" altLang="en-US" sz="1000" b="0" i="1">
                                  <a:latin typeface="Cambria Math" panose="02040503050406030204" pitchFamily="18" charset="0"/>
                                </a:rPr>
                                <m:t>𝜋</m:t>
                              </m:r>
                              <m:sSub>
                                <m:sSubPr>
                                  <m:ctrlPr>
                                    <a:rPr lang="en-US" altLang="ko-KR" sz="1000" b="0" i="1">
                                      <a:latin typeface="Cambria Math" panose="02040503050406030204" pitchFamily="18" charset="0"/>
                                    </a:rPr>
                                  </m:ctrlPr>
                                </m:sSubPr>
                                <m:e>
                                  <m:r>
                                    <a:rPr lang="en-US" altLang="ko-KR" sz="1000" b="0" i="1">
                                      <a:latin typeface="Cambria Math" panose="02040503050406030204" pitchFamily="18" charset="0"/>
                                    </a:rPr>
                                    <m:t>𝑟</m:t>
                                  </m:r>
                                </m:e>
                                <m:sub>
                                  <m:r>
                                    <a:rPr lang="en-US" altLang="ko-KR" sz="1000" b="0" i="1">
                                      <a:latin typeface="Cambria Math" panose="02040503050406030204" pitchFamily="18" charset="0"/>
                                    </a:rPr>
                                    <m:t>𝑝𝑖</m:t>
                                  </m:r>
                                </m:sub>
                              </m:sSub>
                              <m:r>
                                <a:rPr lang="en-US" altLang="ko-KR" sz="1000" b="0" i="1">
                                  <a:latin typeface="Cambria Math" panose="02040503050406030204" pitchFamily="18" charset="0"/>
                                </a:rPr>
                                <m:t>𝐿</m:t>
                              </m:r>
                              <m:r>
                                <a:rPr lang="en-US" altLang="ko-KR" sz="1000" b="0" i="1">
                                  <a:latin typeface="Cambria Math" panose="02040503050406030204" pitchFamily="18" charset="0"/>
                                </a:rPr>
                                <m:t>)</m:t>
                              </m:r>
                            </m:den>
                          </m:f>
                          <m:d>
                            <m:dPr>
                              <m:begChr m:val="["/>
                              <m:endChr m:val="]"/>
                              <m:ctrlPr>
                                <a:rPr lang="en-US" altLang="ko-KR" sz="1000" b="0" i="1">
                                  <a:latin typeface="Cambria Math" panose="02040503050406030204" pitchFamily="18" charset="0"/>
                                </a:rPr>
                              </m:ctrlPr>
                            </m:dPr>
                            <m:e>
                              <m:f>
                                <m:fPr>
                                  <m:ctrlPr>
                                    <a:rPr lang="en-US" altLang="ko-KR" sz="1000" b="0" i="1">
                                      <a:latin typeface="Cambria Math" panose="02040503050406030204" pitchFamily="18" charset="0"/>
                                    </a:rPr>
                                  </m:ctrlPr>
                                </m:fPr>
                                <m:num>
                                  <m:r>
                                    <a:rPr lang="en-US" altLang="ko-KR" sz="1000" b="0" i="1">
                                      <a:latin typeface="Cambria Math" panose="02040503050406030204" pitchFamily="18" charset="0"/>
                                    </a:rPr>
                                    <m:t>𝐾</m:t>
                                  </m:r>
                                </m:num>
                                <m:den>
                                  <m:r>
                                    <a:rPr lang="en-US" altLang="ko-KR" sz="1000" b="0" i="1">
                                      <a:latin typeface="Cambria Math" panose="02040503050406030204" pitchFamily="18" charset="0"/>
                                    </a:rPr>
                                    <m:t>𝑚</m:t>
                                  </m:r>
                                </m:den>
                              </m:f>
                            </m:e>
                          </m:d>
                        </m:oMath>
                      </m:oMathPara>
                    </a14:m>
                    <a:endParaRPr lang="ko-KR" altLang="en-US" sz="1000">
                      <a:latin typeface="Arial" panose="020B0604020202020204" pitchFamily="34" charset="0"/>
                      <a:cs typeface="Arial" panose="020B0604020202020204" pitchFamily="34" charset="0"/>
                    </a:endParaRPr>
                  </a:p>
                </xdr:txBody>
              </xdr:sp>
            </mc:Choice>
            <mc:Fallback xmlns="">
              <xdr:sp macro="" textlink="">
                <xdr:nvSpPr>
                  <xdr:cNvPr id="30" name="TextBox 29"/>
                  <xdr:cNvSpPr txBox="1"/>
                </xdr:nvSpPr>
                <xdr:spPr>
                  <a:xfrm>
                    <a:off x="4022131" y="4136526"/>
                    <a:ext cx="1364669" cy="332463"/>
                  </a:xfrm>
                  <a:prstGeom prst="rect">
                    <a:avLst/>
                  </a:prstGeom>
                  <a:solidFill>
                    <a:sysClr val="window" lastClr="FFFFFF"/>
                  </a:solidFill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lIns="0" tIns="0" rIns="0" bIns="0" rtlCol="0" anchor="t">
                    <a:spAutoFit/>
                  </a:bodyPr>
                  <a:lstStyle/>
                  <a:p>
                    <a:pPr/>
                    <a:r>
                      <a:rPr lang="en-US" altLang="ko-KR" sz="1000" b="0" i="0">
                        <a:latin typeface="Cambria Math" panose="02040503050406030204" pitchFamily="18" charset="0"/>
                      </a:rPr>
                      <a:t>𝑅1=1/(ℎ_𝑓𝑙𝑢𝑖𝑑 (2</a:t>
                    </a:r>
                    <a:r>
                      <a:rPr lang="ko-KR" altLang="en-US" sz="1000" b="0" i="0">
                        <a:latin typeface="Cambria Math" panose="02040503050406030204" pitchFamily="18" charset="0"/>
                      </a:rPr>
                      <a:t>𝜋</a:t>
                    </a:r>
                    <a:r>
                      <a:rPr lang="en-US" altLang="ko-KR" sz="1000" b="0" i="0">
                        <a:latin typeface="Cambria Math" panose="02040503050406030204" pitchFamily="18" charset="0"/>
                      </a:rPr>
                      <a:t>𝑟_𝑝𝑖 𝐿)) [𝐾/𝑚]</a:t>
                    </a:r>
                    <a:endParaRPr lang="ko-KR" altLang="en-US" sz="1000">
                      <a:latin typeface="Arial" panose="020B0604020202020204" pitchFamily="34" charset="0"/>
                      <a:cs typeface="Arial" panose="020B0604020202020204" pitchFamily="34" charset="0"/>
                    </a:endParaRPr>
                  </a:p>
                </xdr:txBody>
              </xdr:sp>
            </mc:Fallback>
          </mc:AlternateContent>
          <mc:AlternateContent xmlns:mc="http://schemas.openxmlformats.org/markup-compatibility/2006" xmlns:a14="http://schemas.microsoft.com/office/drawing/2010/main">
            <mc:Choice Requires="a14">
              <xdr:sp macro="" textlink="">
                <xdr:nvSpPr>
                  <xdr:cNvPr id="31" name="TextBox 30"/>
                  <xdr:cNvSpPr txBox="1"/>
                </xdr:nvSpPr>
                <xdr:spPr>
                  <a:xfrm>
                    <a:off x="4024329" y="4612043"/>
                    <a:ext cx="1077218" cy="467757"/>
                  </a:xfrm>
                  <a:prstGeom prst="rect">
                    <a:avLst/>
                  </a:prstGeom>
                  <a:solidFill>
                    <a:sysClr val="window" lastClr="FFFFFF"/>
                  </a:solidFill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lIns="0" tIns="0" rIns="0" bIns="0" rtlCol="0" anchor="t">
                    <a:spAutoFit/>
                  </a:bodyPr>
                  <a:lstStyle/>
                  <a:p>
                    <a:pPr/>
                    <a14:m>
                      <m:oMathPara xmlns:m="http://schemas.openxmlformats.org/officeDocument/2006/math">
                        <m:oMathParaPr>
                          <m:jc m:val="centerGroup"/>
                        </m:oMathParaPr>
                        <m:oMath xmlns:m="http://schemas.openxmlformats.org/officeDocument/2006/math">
                          <m:r>
                            <a:rPr lang="en-US" altLang="ko-KR" sz="1000" b="0" i="1">
                              <a:latin typeface="Cambria Math" panose="02040503050406030204" pitchFamily="18" charset="0"/>
                            </a:rPr>
                            <m:t>𝑅</m:t>
                          </m:r>
                          <m:r>
                            <a:rPr lang="en-US" altLang="ko-KR" sz="1000" b="0" i="1">
                              <a:latin typeface="Cambria Math" panose="02040503050406030204" pitchFamily="18" charset="0"/>
                            </a:rPr>
                            <m:t>2=</m:t>
                          </m:r>
                          <m:f>
                            <m:fPr>
                              <m:ctrlPr>
                                <a:rPr lang="en-US" altLang="ko-KR" sz="1000" b="0" i="1">
                                  <a:latin typeface="Cambria Math" panose="02040503050406030204" pitchFamily="18" charset="0"/>
                                </a:rPr>
                              </m:ctrlPr>
                            </m:fPr>
                            <m:num>
                              <m:r>
                                <m:rPr>
                                  <m:sty m:val="p"/>
                                </m:rPr>
                                <a:rPr lang="en-US" altLang="ko-KR" sz="1000" b="0" i="0">
                                  <a:latin typeface="Cambria Math" panose="02040503050406030204" pitchFamily="18" charset="0"/>
                                </a:rPr>
                                <m:t>ln</m:t>
                              </m:r>
                              <m:r>
                                <a:rPr lang="en-US" altLang="ko-KR" sz="1000" b="0" i="1">
                                  <a:latin typeface="Cambria Math" panose="02040503050406030204" pitchFamily="18" charset="0"/>
                                </a:rPr>
                                <m:t>⁡(</m:t>
                              </m:r>
                              <m:f>
                                <m:fPr>
                                  <m:ctrlPr>
                                    <a:rPr lang="en-US" altLang="ko-KR" sz="1000" b="0" i="1">
                                      <a:latin typeface="Cambria Math" panose="02040503050406030204" pitchFamily="18" charset="0"/>
                                    </a:rPr>
                                  </m:ctrlPr>
                                </m:fPr>
                                <m:num>
                                  <m:sSub>
                                    <m:sSubPr>
                                      <m:ctrlPr>
                                        <a:rPr lang="en-US" altLang="ko-KR" sz="1000" b="0" i="1">
                                          <a:latin typeface="Cambria Math" panose="02040503050406030204" pitchFamily="18" charset="0"/>
                                        </a:rPr>
                                      </m:ctrlPr>
                                    </m:sSubPr>
                                    <m:e>
                                      <m:r>
                                        <a:rPr lang="en-US" altLang="ko-KR" sz="1000" b="0" i="1">
                                          <a:latin typeface="Cambria Math" panose="02040503050406030204" pitchFamily="18" charset="0"/>
                                        </a:rPr>
                                        <m:t>𝑟</m:t>
                                      </m:r>
                                    </m:e>
                                    <m:sub>
                                      <m:r>
                                        <a:rPr lang="en-US" altLang="ko-KR" sz="1000" b="0" i="1">
                                          <a:latin typeface="Cambria Math" panose="02040503050406030204" pitchFamily="18" charset="0"/>
                                        </a:rPr>
                                        <m:t>𝑝𝑜</m:t>
                                      </m:r>
                                    </m:sub>
                                  </m:sSub>
                                </m:num>
                                <m:den>
                                  <m:sSub>
                                    <m:sSubPr>
                                      <m:ctrlPr>
                                        <a:rPr lang="en-US" altLang="ko-KR" sz="1000" b="0" i="1">
                                          <a:latin typeface="Cambria Math" panose="02040503050406030204" pitchFamily="18" charset="0"/>
                                        </a:rPr>
                                      </m:ctrlPr>
                                    </m:sSubPr>
                                    <m:e>
                                      <m:r>
                                        <a:rPr lang="en-US" altLang="ko-KR" sz="1000" b="0" i="1">
                                          <a:latin typeface="Cambria Math" panose="02040503050406030204" pitchFamily="18" charset="0"/>
                                        </a:rPr>
                                        <m:t>𝑟</m:t>
                                      </m:r>
                                    </m:e>
                                    <m:sub>
                                      <m:r>
                                        <a:rPr lang="en-US" altLang="ko-KR" sz="1000" b="0" i="1">
                                          <a:latin typeface="Cambria Math" panose="02040503050406030204" pitchFamily="18" charset="0"/>
                                        </a:rPr>
                                        <m:t>𝑝𝑖</m:t>
                                      </m:r>
                                    </m:sub>
                                  </m:sSub>
                                </m:den>
                              </m:f>
                              <m:r>
                                <a:rPr lang="en-US" altLang="ko-KR" sz="1000" b="0" i="1">
                                  <a:latin typeface="Cambria Math" panose="02040503050406030204" pitchFamily="18" charset="0"/>
                                </a:rPr>
                                <m:t>)</m:t>
                              </m:r>
                            </m:num>
                            <m:den>
                              <m:r>
                                <a:rPr lang="en-US" altLang="ko-KR" sz="1000" b="0" i="1">
                                  <a:latin typeface="Cambria Math" panose="02040503050406030204" pitchFamily="18" charset="0"/>
                                </a:rPr>
                                <m:t>2</m:t>
                              </m:r>
                              <m:r>
                                <a:rPr lang="ko-KR" altLang="en-US" sz="1000" b="0" i="1">
                                  <a:latin typeface="Cambria Math" panose="02040503050406030204" pitchFamily="18" charset="0"/>
                                </a:rPr>
                                <m:t>𝜋</m:t>
                              </m:r>
                              <m:sSub>
                                <m:sSubPr>
                                  <m:ctrlPr>
                                    <a:rPr lang="en-US" altLang="ko-KR" sz="1000" b="0" i="1">
                                      <a:latin typeface="Cambria Math" panose="02040503050406030204" pitchFamily="18" charset="0"/>
                                    </a:rPr>
                                  </m:ctrlPr>
                                </m:sSubPr>
                                <m:e>
                                  <m:r>
                                    <a:rPr lang="en-US" altLang="ko-KR" sz="1000" b="0" i="1">
                                      <a:latin typeface="Cambria Math" panose="02040503050406030204" pitchFamily="18" charset="0"/>
                                    </a:rPr>
                                    <m:t>𝑘</m:t>
                                  </m:r>
                                </m:e>
                                <m:sub>
                                  <m:r>
                                    <a:rPr lang="en-US" altLang="ko-KR" sz="1000" b="0" i="1">
                                      <a:latin typeface="Cambria Math" panose="02040503050406030204" pitchFamily="18" charset="0"/>
                                    </a:rPr>
                                    <m:t>𝑝𝑖𝑝𝑒</m:t>
                                  </m:r>
                                </m:sub>
                              </m:sSub>
                              <m:r>
                                <a:rPr lang="en-US" altLang="ko-KR" sz="1000" b="0" i="1">
                                  <a:latin typeface="Cambria Math" panose="02040503050406030204" pitchFamily="18" charset="0"/>
                                </a:rPr>
                                <m:t>𝐿</m:t>
                              </m:r>
                            </m:den>
                          </m:f>
                          <m:d>
                            <m:dPr>
                              <m:begChr m:val="["/>
                              <m:endChr m:val="]"/>
                              <m:ctrlPr>
                                <a:rPr lang="en-US" altLang="ko-KR" sz="1000" b="0" i="1">
                                  <a:latin typeface="Cambria Math" panose="02040503050406030204" pitchFamily="18" charset="0"/>
                                </a:rPr>
                              </m:ctrlPr>
                            </m:dPr>
                            <m:e>
                              <m:f>
                                <m:fPr>
                                  <m:ctrlPr>
                                    <a:rPr lang="en-US" altLang="ko-KR" sz="1000" b="0" i="1">
                                      <a:latin typeface="Cambria Math" panose="02040503050406030204" pitchFamily="18" charset="0"/>
                                    </a:rPr>
                                  </m:ctrlPr>
                                </m:fPr>
                                <m:num>
                                  <m:r>
                                    <a:rPr lang="en-US" altLang="ko-KR" sz="1000" b="0" i="1">
                                      <a:latin typeface="Cambria Math" panose="02040503050406030204" pitchFamily="18" charset="0"/>
                                    </a:rPr>
                                    <m:t>𝐾</m:t>
                                  </m:r>
                                </m:num>
                                <m:den>
                                  <m:r>
                                    <a:rPr lang="en-US" altLang="ko-KR" sz="1000" b="0" i="1">
                                      <a:latin typeface="Cambria Math" panose="02040503050406030204" pitchFamily="18" charset="0"/>
                                    </a:rPr>
                                    <m:t>𝑚</m:t>
                                  </m:r>
                                </m:den>
                              </m:f>
                            </m:e>
                          </m:d>
                        </m:oMath>
                      </m:oMathPara>
                    </a14:m>
                    <a:endParaRPr lang="ko-KR" altLang="en-US" sz="1000">
                      <a:latin typeface="Arial" panose="020B0604020202020204" pitchFamily="34" charset="0"/>
                      <a:cs typeface="Arial" panose="020B0604020202020204" pitchFamily="34" charset="0"/>
                    </a:endParaRPr>
                  </a:p>
                </xdr:txBody>
              </xdr:sp>
            </mc:Choice>
            <mc:Fallback xmlns="">
              <xdr:sp macro="" textlink="">
                <xdr:nvSpPr>
                  <xdr:cNvPr id="31" name="TextBox 30"/>
                  <xdr:cNvSpPr txBox="1"/>
                </xdr:nvSpPr>
                <xdr:spPr>
                  <a:xfrm>
                    <a:off x="4024329" y="4612043"/>
                    <a:ext cx="1077218" cy="467757"/>
                  </a:xfrm>
                  <a:prstGeom prst="rect">
                    <a:avLst/>
                  </a:prstGeom>
                  <a:solidFill>
                    <a:sysClr val="window" lastClr="FFFFFF"/>
                  </a:solidFill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lIns="0" tIns="0" rIns="0" bIns="0" rtlCol="0" anchor="t">
                    <a:spAutoFit/>
                  </a:bodyPr>
                  <a:lstStyle/>
                  <a:p>
                    <a:pPr/>
                    <a:r>
                      <a:rPr lang="en-US" altLang="ko-KR" sz="1000" b="0" i="0">
                        <a:latin typeface="Cambria Math" panose="02040503050406030204" pitchFamily="18" charset="0"/>
                      </a:rPr>
                      <a:t>𝑅2=(ln⁡(𝑟_𝑝𝑜/𝑟_𝑝𝑖 ))/(2</a:t>
                    </a:r>
                    <a:r>
                      <a:rPr lang="ko-KR" altLang="en-US" sz="1000" b="0" i="0">
                        <a:latin typeface="Cambria Math" panose="02040503050406030204" pitchFamily="18" charset="0"/>
                      </a:rPr>
                      <a:t>𝜋</a:t>
                    </a:r>
                    <a:r>
                      <a:rPr lang="en-US" altLang="ko-KR" sz="1000" b="0" i="0">
                        <a:latin typeface="Cambria Math" panose="02040503050406030204" pitchFamily="18" charset="0"/>
                      </a:rPr>
                      <a:t>𝑘_𝑝𝑖𝑝𝑒 𝐿) [𝐾/𝑚]</a:t>
                    </a:r>
                    <a:endParaRPr lang="ko-KR" altLang="en-US" sz="1000">
                      <a:latin typeface="Arial" panose="020B0604020202020204" pitchFamily="34" charset="0"/>
                      <a:cs typeface="Arial" panose="020B0604020202020204" pitchFamily="34" charset="0"/>
                    </a:endParaRPr>
                  </a:p>
                </xdr:txBody>
              </xdr:sp>
            </mc:Fallback>
          </mc:AlternateContent>
          <mc:AlternateContent xmlns:mc="http://schemas.openxmlformats.org/markup-compatibility/2006" xmlns:a14="http://schemas.microsoft.com/office/drawing/2010/main">
            <mc:Choice Requires="a14">
              <xdr:sp macro="" textlink="">
                <xdr:nvSpPr>
                  <xdr:cNvPr id="32" name="TextBox 31"/>
                  <xdr:cNvSpPr txBox="1"/>
                </xdr:nvSpPr>
                <xdr:spPr>
                  <a:xfrm>
                    <a:off x="4019933" y="5258279"/>
                    <a:ext cx="1108829" cy="434030"/>
                  </a:xfrm>
                  <a:prstGeom prst="rect">
                    <a:avLst/>
                  </a:prstGeom>
                  <a:solidFill>
                    <a:sysClr val="window" lastClr="FFFFFF"/>
                  </a:solidFill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lIns="0" tIns="0" rIns="0" bIns="0" rtlCol="0" anchor="t">
                    <a:spAutoFit/>
                  </a:bodyPr>
                  <a:lstStyle/>
                  <a:p>
                    <a:pPr/>
                    <a14:m>
                      <m:oMathPara xmlns:m="http://schemas.openxmlformats.org/officeDocument/2006/math">
                        <m:oMathParaPr>
                          <m:jc m:val="centerGroup"/>
                        </m:oMathParaPr>
                        <m:oMath xmlns:m="http://schemas.openxmlformats.org/officeDocument/2006/math">
                          <m:r>
                            <a:rPr lang="en-US" altLang="ko-KR" sz="1000" b="0" i="1">
                              <a:latin typeface="Cambria Math" panose="02040503050406030204" pitchFamily="18" charset="0"/>
                            </a:rPr>
                            <m:t>𝑅</m:t>
                          </m:r>
                          <m:r>
                            <a:rPr lang="en-US" altLang="ko-KR" sz="1000" b="0" i="1">
                              <a:latin typeface="Cambria Math" panose="02040503050406030204" pitchFamily="18" charset="0"/>
                            </a:rPr>
                            <m:t>3=</m:t>
                          </m:r>
                          <m:f>
                            <m:fPr>
                              <m:ctrlPr>
                                <a:rPr lang="en-US" altLang="ko-KR" sz="1000" b="0" i="1">
                                  <a:latin typeface="Cambria Math" panose="02040503050406030204" pitchFamily="18" charset="0"/>
                                </a:rPr>
                              </m:ctrlPr>
                            </m:fPr>
                            <m:num>
                              <m:r>
                                <m:rPr>
                                  <m:sty m:val="p"/>
                                </m:rPr>
                                <a:rPr lang="en-US" altLang="ko-KR" sz="1000" b="0" i="0">
                                  <a:latin typeface="Cambria Math" panose="02040503050406030204" pitchFamily="18" charset="0"/>
                                </a:rPr>
                                <m:t>ln</m:t>
                              </m:r>
                              <m:r>
                                <a:rPr lang="en-US" altLang="ko-KR" sz="1000" b="0" i="1">
                                  <a:latin typeface="Cambria Math" panose="02040503050406030204" pitchFamily="18" charset="0"/>
                                </a:rPr>
                                <m:t>⁡(</m:t>
                              </m:r>
                              <m:f>
                                <m:fPr>
                                  <m:ctrlPr>
                                    <a:rPr lang="en-US" altLang="ko-KR" sz="1000" b="0" i="1">
                                      <a:latin typeface="Cambria Math" panose="02040503050406030204" pitchFamily="18" charset="0"/>
                                    </a:rPr>
                                  </m:ctrlPr>
                                </m:fPr>
                                <m:num>
                                  <m:sSub>
                                    <m:sSubPr>
                                      <m:ctrlPr>
                                        <a:rPr lang="en-US" altLang="ko-KR" sz="1000" b="0" i="1">
                                          <a:latin typeface="Cambria Math" panose="02040503050406030204" pitchFamily="18" charset="0"/>
                                        </a:rPr>
                                      </m:ctrlPr>
                                    </m:sSubPr>
                                    <m:e>
                                      <m:r>
                                        <a:rPr lang="en-US" altLang="ko-KR" sz="1000" b="0" i="1">
                                          <a:latin typeface="Cambria Math" panose="02040503050406030204" pitchFamily="18" charset="0"/>
                                        </a:rPr>
                                        <m:t>𝑟</m:t>
                                      </m:r>
                                    </m:e>
                                    <m:sub>
                                      <m:r>
                                        <a:rPr lang="en-US" altLang="ko-KR" sz="1000" b="0" i="1">
                                          <a:latin typeface="Cambria Math" panose="02040503050406030204" pitchFamily="18" charset="0"/>
                                        </a:rPr>
                                        <m:t>𝑖𝑜</m:t>
                                      </m:r>
                                    </m:sub>
                                  </m:sSub>
                                </m:num>
                                <m:den>
                                  <m:sSub>
                                    <m:sSubPr>
                                      <m:ctrlPr>
                                        <a:rPr lang="en-US" altLang="ko-KR" sz="1000" b="0" i="1">
                                          <a:latin typeface="Cambria Math" panose="02040503050406030204" pitchFamily="18" charset="0"/>
                                        </a:rPr>
                                      </m:ctrlPr>
                                    </m:sSubPr>
                                    <m:e>
                                      <m:r>
                                        <a:rPr lang="en-US" altLang="ko-KR" sz="1000" b="0" i="1">
                                          <a:latin typeface="Cambria Math" panose="02040503050406030204" pitchFamily="18" charset="0"/>
                                        </a:rPr>
                                        <m:t>𝑟</m:t>
                                      </m:r>
                                    </m:e>
                                    <m:sub>
                                      <m:r>
                                        <a:rPr lang="en-US" altLang="ko-KR" sz="1000" b="0" i="1">
                                          <a:latin typeface="Cambria Math" panose="02040503050406030204" pitchFamily="18" charset="0"/>
                                        </a:rPr>
                                        <m:t>𝑝𝑜</m:t>
                                      </m:r>
                                    </m:sub>
                                  </m:sSub>
                                </m:den>
                              </m:f>
                              <m:r>
                                <a:rPr lang="en-US" altLang="ko-KR" sz="1000" b="0" i="1">
                                  <a:latin typeface="Cambria Math" panose="02040503050406030204" pitchFamily="18" charset="0"/>
                                </a:rPr>
                                <m:t>)</m:t>
                              </m:r>
                            </m:num>
                            <m:den>
                              <m:r>
                                <a:rPr lang="en-US" altLang="ko-KR" sz="1000" b="0" i="1">
                                  <a:latin typeface="Cambria Math" panose="02040503050406030204" pitchFamily="18" charset="0"/>
                                </a:rPr>
                                <m:t>2</m:t>
                              </m:r>
                              <m:r>
                                <a:rPr lang="ko-KR" altLang="en-US" sz="1000" b="0" i="1">
                                  <a:latin typeface="Cambria Math" panose="02040503050406030204" pitchFamily="18" charset="0"/>
                                </a:rPr>
                                <m:t>𝜋</m:t>
                              </m:r>
                              <m:sSub>
                                <m:sSubPr>
                                  <m:ctrlPr>
                                    <a:rPr lang="en-US" altLang="ko-KR" sz="1000" b="0" i="1">
                                      <a:latin typeface="Cambria Math" panose="02040503050406030204" pitchFamily="18" charset="0"/>
                                    </a:rPr>
                                  </m:ctrlPr>
                                </m:sSubPr>
                                <m:e>
                                  <m:r>
                                    <a:rPr lang="en-US" altLang="ko-KR" sz="1000" b="0" i="1">
                                      <a:latin typeface="Cambria Math" panose="02040503050406030204" pitchFamily="18" charset="0"/>
                                    </a:rPr>
                                    <m:t>𝑘</m:t>
                                  </m:r>
                                </m:e>
                                <m:sub>
                                  <m:r>
                                    <a:rPr lang="en-US" altLang="ko-KR" sz="1000" b="0" i="1">
                                      <a:latin typeface="Cambria Math" panose="02040503050406030204" pitchFamily="18" charset="0"/>
                                    </a:rPr>
                                    <m:t>𝑖𝑛𝑠𝑢𝑙</m:t>
                                  </m:r>
                                </m:sub>
                              </m:sSub>
                              <m:r>
                                <a:rPr lang="en-US" altLang="ko-KR" sz="1000" b="0" i="1">
                                  <a:latin typeface="Cambria Math" panose="02040503050406030204" pitchFamily="18" charset="0"/>
                                </a:rPr>
                                <m:t>𝐿</m:t>
                              </m:r>
                            </m:den>
                          </m:f>
                          <m:d>
                            <m:dPr>
                              <m:begChr m:val="["/>
                              <m:endChr m:val="]"/>
                              <m:ctrlPr>
                                <a:rPr lang="en-US" altLang="ko-KR" sz="1000" b="0" i="1">
                                  <a:latin typeface="Cambria Math" panose="02040503050406030204" pitchFamily="18" charset="0"/>
                                </a:rPr>
                              </m:ctrlPr>
                            </m:dPr>
                            <m:e>
                              <m:f>
                                <m:fPr>
                                  <m:ctrlPr>
                                    <a:rPr lang="en-US" altLang="ko-KR" sz="1000" b="0" i="1">
                                      <a:latin typeface="Cambria Math" panose="02040503050406030204" pitchFamily="18" charset="0"/>
                                    </a:rPr>
                                  </m:ctrlPr>
                                </m:fPr>
                                <m:num>
                                  <m:r>
                                    <a:rPr lang="en-US" altLang="ko-KR" sz="1000" b="0" i="1">
                                      <a:latin typeface="Cambria Math" panose="02040503050406030204" pitchFamily="18" charset="0"/>
                                    </a:rPr>
                                    <m:t>𝐾</m:t>
                                  </m:r>
                                </m:num>
                                <m:den>
                                  <m:r>
                                    <a:rPr lang="en-US" altLang="ko-KR" sz="1000" b="0" i="1">
                                      <a:latin typeface="Cambria Math" panose="02040503050406030204" pitchFamily="18" charset="0"/>
                                    </a:rPr>
                                    <m:t>𝑚</m:t>
                                  </m:r>
                                </m:den>
                              </m:f>
                            </m:e>
                          </m:d>
                        </m:oMath>
                      </m:oMathPara>
                    </a14:m>
                    <a:endParaRPr lang="ko-KR" altLang="en-US" sz="1000">
                      <a:latin typeface="Arial" panose="020B0604020202020204" pitchFamily="34" charset="0"/>
                      <a:cs typeface="Arial" panose="020B0604020202020204" pitchFamily="34" charset="0"/>
                    </a:endParaRPr>
                  </a:p>
                </xdr:txBody>
              </xdr:sp>
            </mc:Choice>
            <mc:Fallback xmlns="">
              <xdr:sp macro="" textlink="">
                <xdr:nvSpPr>
                  <xdr:cNvPr id="32" name="TextBox 31"/>
                  <xdr:cNvSpPr txBox="1"/>
                </xdr:nvSpPr>
                <xdr:spPr>
                  <a:xfrm>
                    <a:off x="4019933" y="5258279"/>
                    <a:ext cx="1108829" cy="434030"/>
                  </a:xfrm>
                  <a:prstGeom prst="rect">
                    <a:avLst/>
                  </a:prstGeom>
                  <a:solidFill>
                    <a:sysClr val="window" lastClr="FFFFFF"/>
                  </a:solidFill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lIns="0" tIns="0" rIns="0" bIns="0" rtlCol="0" anchor="t">
                    <a:spAutoFit/>
                  </a:bodyPr>
                  <a:lstStyle/>
                  <a:p>
                    <a:pPr/>
                    <a:r>
                      <a:rPr lang="en-US" altLang="ko-KR" sz="1000" b="0" i="0">
                        <a:latin typeface="Cambria Math" panose="02040503050406030204" pitchFamily="18" charset="0"/>
                      </a:rPr>
                      <a:t>𝑅3=(ln⁡(𝑟_𝑖𝑜/𝑟_𝑝𝑜 ))/(2</a:t>
                    </a:r>
                    <a:r>
                      <a:rPr lang="ko-KR" altLang="en-US" sz="1000" b="0" i="0">
                        <a:latin typeface="Cambria Math" panose="02040503050406030204" pitchFamily="18" charset="0"/>
                      </a:rPr>
                      <a:t>𝜋</a:t>
                    </a:r>
                    <a:r>
                      <a:rPr lang="en-US" altLang="ko-KR" sz="1000" b="0" i="0">
                        <a:latin typeface="Cambria Math" panose="02040503050406030204" pitchFamily="18" charset="0"/>
                      </a:rPr>
                      <a:t>𝑘_𝑖𝑛𝑠𝑢𝑙 𝐿) [𝐾/𝑚]</a:t>
                    </a:r>
                    <a:endParaRPr lang="ko-KR" altLang="en-US" sz="1000">
                      <a:latin typeface="Arial" panose="020B0604020202020204" pitchFamily="34" charset="0"/>
                      <a:cs typeface="Arial" panose="020B0604020202020204" pitchFamily="34" charset="0"/>
                    </a:endParaRPr>
                  </a:p>
                </xdr:txBody>
              </xdr:sp>
            </mc:Fallback>
          </mc:AlternateContent>
          <mc:AlternateContent xmlns:mc="http://schemas.openxmlformats.org/markup-compatibility/2006" xmlns:a14="http://schemas.microsoft.com/office/drawing/2010/main">
            <mc:Choice Requires="a14">
              <xdr:sp macro="" textlink="">
                <xdr:nvSpPr>
                  <xdr:cNvPr id="33" name="TextBox 32"/>
                  <xdr:cNvSpPr txBox="1"/>
                </xdr:nvSpPr>
                <xdr:spPr>
                  <a:xfrm>
                    <a:off x="4009675" y="5871541"/>
                    <a:ext cx="1336200" cy="332463"/>
                  </a:xfrm>
                  <a:prstGeom prst="rect">
                    <a:avLst/>
                  </a:prstGeom>
                  <a:solidFill>
                    <a:sysClr val="window" lastClr="FFFFFF"/>
                  </a:solidFill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lIns="0" tIns="0" rIns="0" bIns="0" rtlCol="0" anchor="t">
                    <a:spAutoFit/>
                  </a:bodyPr>
                  <a:lstStyle/>
                  <a:p>
                    <a:pPr/>
                    <a14:m>
                      <m:oMathPara xmlns:m="http://schemas.openxmlformats.org/officeDocument/2006/math">
                        <m:oMathParaPr>
                          <m:jc m:val="centerGroup"/>
                        </m:oMathParaPr>
                        <m:oMath xmlns:m="http://schemas.openxmlformats.org/officeDocument/2006/math">
                          <m:r>
                            <a:rPr lang="en-US" altLang="ko-KR" sz="1000" b="0" i="1">
                              <a:latin typeface="Cambria Math" panose="02040503050406030204" pitchFamily="18" charset="0"/>
                            </a:rPr>
                            <m:t>𝑅</m:t>
                          </m:r>
                          <m:r>
                            <a:rPr lang="en-US" altLang="ko-KR" sz="1000" b="0" i="1">
                              <a:latin typeface="Cambria Math" panose="02040503050406030204" pitchFamily="18" charset="0"/>
                            </a:rPr>
                            <m:t>4=</m:t>
                          </m:r>
                          <m:f>
                            <m:fPr>
                              <m:ctrlPr>
                                <a:rPr lang="en-US" altLang="ko-KR" sz="1000" b="0" i="1">
                                  <a:latin typeface="Cambria Math" panose="02040503050406030204" pitchFamily="18" charset="0"/>
                                </a:rPr>
                              </m:ctrlPr>
                            </m:fPr>
                            <m:num>
                              <m:r>
                                <a:rPr lang="en-US" altLang="ko-KR" sz="1000" b="0" i="1">
                                  <a:latin typeface="Cambria Math" panose="02040503050406030204" pitchFamily="18" charset="0"/>
                                </a:rPr>
                                <m:t>1</m:t>
                              </m:r>
                            </m:num>
                            <m:den>
                              <m:sSub>
                                <m:sSubPr>
                                  <m:ctrlPr>
                                    <a:rPr lang="en-US" altLang="ko-KR" sz="1000" b="0" i="1">
                                      <a:latin typeface="Cambria Math" panose="02040503050406030204" pitchFamily="18" charset="0"/>
                                    </a:rPr>
                                  </m:ctrlPr>
                                </m:sSubPr>
                                <m:e>
                                  <m:r>
                                    <a:rPr lang="en-US" altLang="ko-KR" sz="1000" b="0" i="1">
                                      <a:latin typeface="Cambria Math" panose="02040503050406030204" pitchFamily="18" charset="0"/>
                                    </a:rPr>
                                    <m:t>h</m:t>
                                  </m:r>
                                </m:e>
                                <m:sub>
                                  <m:r>
                                    <a:rPr lang="en-US" altLang="ko-KR" sz="1000" b="0" i="1">
                                      <a:latin typeface="Cambria Math" panose="02040503050406030204" pitchFamily="18" charset="0"/>
                                    </a:rPr>
                                    <m:t>𝑠𝑢𝑟𝑓</m:t>
                                  </m:r>
                                </m:sub>
                              </m:sSub>
                              <m:r>
                                <a:rPr lang="en-US" altLang="ko-KR" sz="1000" b="0" i="1">
                                  <a:latin typeface="Cambria Math" panose="02040503050406030204" pitchFamily="18" charset="0"/>
                                </a:rPr>
                                <m:t>(2</m:t>
                              </m:r>
                              <m:r>
                                <a:rPr lang="ko-KR" altLang="en-US" sz="1000" b="0" i="1">
                                  <a:latin typeface="Cambria Math" panose="02040503050406030204" pitchFamily="18" charset="0"/>
                                </a:rPr>
                                <m:t>𝜋</m:t>
                              </m:r>
                              <m:sSub>
                                <m:sSubPr>
                                  <m:ctrlPr>
                                    <a:rPr lang="en-US" altLang="ko-KR" sz="1000" b="0" i="1">
                                      <a:latin typeface="Cambria Math" panose="02040503050406030204" pitchFamily="18" charset="0"/>
                                    </a:rPr>
                                  </m:ctrlPr>
                                </m:sSubPr>
                                <m:e>
                                  <m:r>
                                    <a:rPr lang="en-US" altLang="ko-KR" sz="1000" b="0" i="1">
                                      <a:latin typeface="Cambria Math" panose="02040503050406030204" pitchFamily="18" charset="0"/>
                                    </a:rPr>
                                    <m:t>𝑟</m:t>
                                  </m:r>
                                </m:e>
                                <m:sub>
                                  <m:r>
                                    <a:rPr lang="en-US" altLang="ko-KR" sz="1000" b="0" i="1">
                                      <a:latin typeface="Cambria Math" panose="02040503050406030204" pitchFamily="18" charset="0"/>
                                    </a:rPr>
                                    <m:t>𝑖𝑜</m:t>
                                  </m:r>
                                </m:sub>
                              </m:sSub>
                              <m:r>
                                <a:rPr lang="en-US" altLang="ko-KR" sz="1000" b="0" i="1">
                                  <a:latin typeface="Cambria Math" panose="02040503050406030204" pitchFamily="18" charset="0"/>
                                </a:rPr>
                                <m:t>𝐿</m:t>
                              </m:r>
                              <m:r>
                                <a:rPr lang="en-US" altLang="ko-KR" sz="1000" b="0" i="1">
                                  <a:latin typeface="Cambria Math" panose="02040503050406030204" pitchFamily="18" charset="0"/>
                                </a:rPr>
                                <m:t>)</m:t>
                              </m:r>
                            </m:den>
                          </m:f>
                          <m:d>
                            <m:dPr>
                              <m:begChr m:val="["/>
                              <m:endChr m:val="]"/>
                              <m:ctrlPr>
                                <a:rPr lang="en-US" altLang="ko-KR" sz="1000" b="0" i="1">
                                  <a:latin typeface="Cambria Math" panose="02040503050406030204" pitchFamily="18" charset="0"/>
                                </a:rPr>
                              </m:ctrlPr>
                            </m:dPr>
                            <m:e>
                              <m:f>
                                <m:fPr>
                                  <m:ctrlPr>
                                    <a:rPr lang="en-US" altLang="ko-KR" sz="1000" b="0" i="1">
                                      <a:latin typeface="Cambria Math" panose="02040503050406030204" pitchFamily="18" charset="0"/>
                                    </a:rPr>
                                  </m:ctrlPr>
                                </m:fPr>
                                <m:num>
                                  <m:r>
                                    <a:rPr lang="en-US" altLang="ko-KR" sz="1000" b="0" i="1">
                                      <a:latin typeface="Cambria Math" panose="02040503050406030204" pitchFamily="18" charset="0"/>
                                    </a:rPr>
                                    <m:t>𝐾</m:t>
                                  </m:r>
                                </m:num>
                                <m:den>
                                  <m:r>
                                    <a:rPr lang="en-US" altLang="ko-KR" sz="1000" b="0" i="1">
                                      <a:latin typeface="Cambria Math" panose="02040503050406030204" pitchFamily="18" charset="0"/>
                                    </a:rPr>
                                    <m:t>𝑚</m:t>
                                  </m:r>
                                </m:den>
                              </m:f>
                            </m:e>
                          </m:d>
                        </m:oMath>
                      </m:oMathPara>
                    </a14:m>
                    <a:endParaRPr lang="ko-KR" altLang="en-US" sz="1000">
                      <a:latin typeface="Arial" panose="020B0604020202020204" pitchFamily="34" charset="0"/>
                      <a:cs typeface="Arial" panose="020B0604020202020204" pitchFamily="34" charset="0"/>
                    </a:endParaRPr>
                  </a:p>
                </xdr:txBody>
              </xdr:sp>
            </mc:Choice>
            <mc:Fallback xmlns="">
              <xdr:sp macro="" textlink="">
                <xdr:nvSpPr>
                  <xdr:cNvPr id="33" name="TextBox 32"/>
                  <xdr:cNvSpPr txBox="1"/>
                </xdr:nvSpPr>
                <xdr:spPr>
                  <a:xfrm>
                    <a:off x="4009675" y="5871541"/>
                    <a:ext cx="1336200" cy="332463"/>
                  </a:xfrm>
                  <a:prstGeom prst="rect">
                    <a:avLst/>
                  </a:prstGeom>
                  <a:solidFill>
                    <a:sysClr val="window" lastClr="FFFFFF"/>
                  </a:solidFill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lIns="0" tIns="0" rIns="0" bIns="0" rtlCol="0" anchor="t">
                    <a:spAutoFit/>
                  </a:bodyPr>
                  <a:lstStyle/>
                  <a:p>
                    <a:pPr/>
                    <a:r>
                      <a:rPr lang="en-US" altLang="ko-KR" sz="1000" b="0" i="0">
                        <a:latin typeface="Cambria Math" panose="02040503050406030204" pitchFamily="18" charset="0"/>
                      </a:rPr>
                      <a:t>𝑅4=1/(ℎ_𝑠𝑢𝑟𝑓 (2</a:t>
                    </a:r>
                    <a:r>
                      <a:rPr lang="ko-KR" altLang="en-US" sz="1000" b="0" i="0">
                        <a:latin typeface="Cambria Math" panose="02040503050406030204" pitchFamily="18" charset="0"/>
                      </a:rPr>
                      <a:t>𝜋</a:t>
                    </a:r>
                    <a:r>
                      <a:rPr lang="en-US" altLang="ko-KR" sz="1000" b="0" i="0">
                        <a:latin typeface="Cambria Math" panose="02040503050406030204" pitchFamily="18" charset="0"/>
                      </a:rPr>
                      <a:t>𝑟_𝑖𝑜 𝐿)) [𝐾/𝑚]</a:t>
                    </a:r>
                    <a:endParaRPr lang="ko-KR" altLang="en-US" sz="1000">
                      <a:latin typeface="Arial" panose="020B0604020202020204" pitchFamily="34" charset="0"/>
                      <a:cs typeface="Arial" panose="020B0604020202020204" pitchFamily="34" charset="0"/>
                    </a:endParaRPr>
                  </a:p>
                </xdr:txBody>
              </xdr:sp>
            </mc:Fallback>
          </mc:AlternateContent>
        </xdr:grpSp>
        <xdr:sp macro="" textlink="">
          <xdr:nvSpPr>
            <xdr:cNvPr id="26" name="TextBox 25"/>
            <xdr:cNvSpPr txBox="1"/>
          </xdr:nvSpPr>
          <xdr:spPr>
            <a:xfrm>
              <a:off x="1652063" y="4958735"/>
              <a:ext cx="452027" cy="16757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altLang="ko-KR" sz="700" b="1">
                  <a:solidFill>
                    <a:sysClr val="windowText" lastClr="000000"/>
                  </a:solidFill>
                  <a:latin typeface="Arial Narrow" panose="020B0606020202030204" pitchFamily="34" charset="0"/>
                  <a:cs typeface="Arial" panose="020B0604020202020204" pitchFamily="34" charset="0"/>
                </a:rPr>
                <a:t>r_pi</a:t>
              </a:r>
              <a:endParaRPr lang="ko-KR" altLang="en-US" sz="700" b="1">
                <a:solidFill>
                  <a:sysClr val="windowText" lastClr="000000"/>
                </a:solidFill>
                <a:latin typeface="Arial Narrow" panose="020B0606020202030204" pitchFamily="34" charset="0"/>
                <a:cs typeface="Arial" panose="020B0604020202020204" pitchFamily="34" charset="0"/>
              </a:endParaRPr>
            </a:p>
          </xdr:txBody>
        </xdr:sp>
        <xdr:sp macro="" textlink="">
          <xdr:nvSpPr>
            <xdr:cNvPr id="27" name="TextBox 26"/>
            <xdr:cNvSpPr txBox="1"/>
          </xdr:nvSpPr>
          <xdr:spPr>
            <a:xfrm>
              <a:off x="1936347" y="5001232"/>
              <a:ext cx="452027" cy="16757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altLang="ko-KR" sz="700" b="1">
                  <a:solidFill>
                    <a:sysClr val="windowText" lastClr="000000"/>
                  </a:solidFill>
                  <a:latin typeface="Arial Narrow" panose="020B0606020202030204" pitchFamily="34" charset="0"/>
                  <a:cs typeface="Arial" panose="020B0604020202020204" pitchFamily="34" charset="0"/>
                </a:rPr>
                <a:t>r_po</a:t>
              </a:r>
              <a:endParaRPr lang="ko-KR" altLang="en-US" sz="700" b="1">
                <a:solidFill>
                  <a:sysClr val="windowText" lastClr="000000"/>
                </a:solidFill>
                <a:latin typeface="Arial Narrow" panose="020B0606020202030204" pitchFamily="34" charset="0"/>
                <a:cs typeface="Arial" panose="020B0604020202020204" pitchFamily="34" charset="0"/>
              </a:endParaRPr>
            </a:p>
          </xdr:txBody>
        </xdr:sp>
        <xdr:sp macro="" textlink="">
          <xdr:nvSpPr>
            <xdr:cNvPr id="28" name="TextBox 27"/>
            <xdr:cNvSpPr txBox="1"/>
          </xdr:nvSpPr>
          <xdr:spPr>
            <a:xfrm>
              <a:off x="2037459" y="5168286"/>
              <a:ext cx="452027" cy="16757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altLang="ko-KR" sz="700" b="1">
                  <a:solidFill>
                    <a:sysClr val="windowText" lastClr="000000"/>
                  </a:solidFill>
                  <a:latin typeface="Arial Narrow" panose="020B0606020202030204" pitchFamily="34" charset="0"/>
                  <a:cs typeface="Arial" panose="020B0604020202020204" pitchFamily="34" charset="0"/>
                </a:rPr>
                <a:t>r_io</a:t>
              </a:r>
              <a:endParaRPr lang="ko-KR" altLang="en-US" sz="700" b="1">
                <a:solidFill>
                  <a:sysClr val="windowText" lastClr="000000"/>
                </a:solidFill>
                <a:latin typeface="Arial Narrow" panose="020B060602020203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24" name="TextBox 23"/>
          <xdr:cNvSpPr txBox="1"/>
        </xdr:nvSpPr>
        <xdr:spPr>
          <a:xfrm>
            <a:off x="2592459" y="4886739"/>
            <a:ext cx="496956" cy="231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altLang="ko-KR" sz="700" b="1">
                <a:solidFill>
                  <a:srgbClr val="0070C0"/>
                </a:solidFill>
                <a:latin typeface="Arial Narrow" panose="020B0606020202030204" pitchFamily="34" charset="0"/>
                <a:cs typeface="Arial" panose="020B0604020202020204" pitchFamily="34" charset="0"/>
              </a:rPr>
              <a:t>h_rad</a:t>
            </a:r>
            <a:endParaRPr lang="ko-KR" altLang="en-US" sz="700" b="1">
              <a:solidFill>
                <a:srgbClr val="0070C0"/>
              </a:solidFill>
              <a:latin typeface="Arial Narrow" panose="020B060602020203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B1:AB35"/>
  <sheetViews>
    <sheetView tabSelected="1" zoomScale="85" zoomScaleNormal="85" workbookViewId="0">
      <selection activeCell="J2" sqref="J2"/>
    </sheetView>
  </sheetViews>
  <sheetFormatPr defaultColWidth="8.75" defaultRowHeight="16.5" x14ac:dyDescent="0.3"/>
  <cols>
    <col min="1" max="1" width="1.625" style="26" customWidth="1"/>
    <col min="2" max="2" width="3.625" style="26" customWidth="1"/>
    <col min="3" max="3" width="5" style="26" customWidth="1"/>
    <col min="4" max="4" width="21.75" style="26" customWidth="1"/>
    <col min="5" max="5" width="29.625" style="26" customWidth="1"/>
    <col min="6" max="6" width="9.125" style="26" customWidth="1"/>
    <col min="7" max="7" width="8.75" style="98"/>
    <col min="8" max="9" width="8.75" style="27"/>
    <col min="10" max="10" width="3" style="27" customWidth="1"/>
    <col min="11" max="11" width="103.75" style="26" customWidth="1"/>
    <col min="12" max="21" width="8.75" style="26"/>
    <col min="22" max="22" width="8.75" style="26" customWidth="1"/>
    <col min="23" max="16384" width="8.75" style="26"/>
  </cols>
  <sheetData>
    <row r="1" spans="2:28" ht="29.25" customHeight="1" x14ac:dyDescent="0.3">
      <c r="B1" s="190" t="s">
        <v>406</v>
      </c>
      <c r="C1" s="190"/>
      <c r="D1" s="190"/>
      <c r="E1" s="190"/>
      <c r="F1" s="190"/>
      <c r="G1" s="190"/>
      <c r="H1" s="190"/>
    </row>
    <row r="2" spans="2:28" ht="20.25" x14ac:dyDescent="0.3">
      <c r="B2" s="34"/>
    </row>
    <row r="3" spans="2:28" ht="21" thickBot="1" x14ac:dyDescent="0.35">
      <c r="B3" s="34"/>
      <c r="C3" s="49"/>
      <c r="D3" s="26" t="s">
        <v>320</v>
      </c>
    </row>
    <row r="4" spans="2:28" ht="21.6" customHeight="1" thickTop="1" x14ac:dyDescent="0.3">
      <c r="B4" s="34"/>
      <c r="C4" s="48"/>
      <c r="D4" s="26" t="s">
        <v>323</v>
      </c>
      <c r="K4" s="168"/>
      <c r="L4" s="105"/>
      <c r="M4" s="105"/>
      <c r="N4" s="105"/>
      <c r="O4" s="105"/>
      <c r="P4" s="105"/>
      <c r="Q4" s="105"/>
      <c r="R4" s="105"/>
      <c r="S4" s="105"/>
      <c r="T4" s="105"/>
      <c r="U4" s="105"/>
      <c r="V4" s="105"/>
      <c r="W4" s="27"/>
      <c r="X4" s="27"/>
      <c r="Y4" s="27"/>
      <c r="Z4" s="27"/>
      <c r="AA4" s="27"/>
      <c r="AB4" s="27"/>
    </row>
    <row r="5" spans="2:28" x14ac:dyDescent="0.3">
      <c r="K5" s="168"/>
      <c r="L5" s="105"/>
      <c r="M5" s="105"/>
      <c r="N5" s="105"/>
      <c r="O5" s="105"/>
      <c r="P5" s="105"/>
      <c r="Q5" s="105"/>
      <c r="R5" s="105"/>
      <c r="S5" s="105"/>
      <c r="T5" s="105"/>
      <c r="U5" s="105"/>
      <c r="V5" s="105"/>
      <c r="W5" s="27"/>
      <c r="X5" s="27"/>
      <c r="Y5" s="27"/>
      <c r="Z5" s="27"/>
      <c r="AA5" s="27"/>
      <c r="AB5" s="27"/>
    </row>
    <row r="6" spans="2:28" ht="30.6" customHeight="1" thickBot="1" x14ac:dyDescent="0.35">
      <c r="B6" s="169" t="s">
        <v>404</v>
      </c>
      <c r="C6" s="33" t="s">
        <v>405</v>
      </c>
      <c r="K6" s="105"/>
      <c r="L6" s="105"/>
      <c r="M6" s="105"/>
      <c r="N6" s="105"/>
      <c r="O6" s="105"/>
      <c r="P6" s="105"/>
      <c r="Q6" s="105"/>
      <c r="R6" s="105"/>
      <c r="S6" s="105"/>
      <c r="T6" s="105"/>
      <c r="U6" s="105"/>
      <c r="V6" s="105"/>
      <c r="W6" s="27"/>
      <c r="X6" s="27"/>
      <c r="Y6" s="27"/>
      <c r="Z6" s="27"/>
      <c r="AA6" s="27"/>
      <c r="AB6" s="27"/>
    </row>
    <row r="7" spans="2:28" ht="28.15" customHeight="1" x14ac:dyDescent="0.3">
      <c r="C7" s="197" t="s">
        <v>308</v>
      </c>
      <c r="D7" s="198"/>
      <c r="E7" s="198"/>
      <c r="F7" s="198"/>
      <c r="G7" s="199"/>
      <c r="K7" s="191" t="s">
        <v>420</v>
      </c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27"/>
      <c r="X7" s="27"/>
      <c r="Y7" s="27"/>
      <c r="Z7" s="27"/>
      <c r="AA7" s="27"/>
      <c r="AB7" s="27"/>
    </row>
    <row r="8" spans="2:28" ht="12" customHeight="1" x14ac:dyDescent="0.3">
      <c r="C8" s="55"/>
      <c r="D8" s="37"/>
      <c r="E8" s="37"/>
      <c r="F8" s="63"/>
      <c r="G8" s="99"/>
      <c r="K8" s="192"/>
      <c r="L8" s="104"/>
      <c r="M8" s="104"/>
      <c r="N8" s="104"/>
      <c r="O8" s="104"/>
      <c r="P8" s="104"/>
      <c r="Q8" s="104"/>
      <c r="R8" s="104"/>
      <c r="S8" s="104"/>
      <c r="T8" s="104"/>
      <c r="U8" s="104"/>
      <c r="V8" s="104"/>
      <c r="W8" s="27"/>
      <c r="X8" s="27"/>
      <c r="Y8" s="27"/>
      <c r="Z8" s="27"/>
      <c r="AA8" s="27"/>
      <c r="AB8" s="27"/>
    </row>
    <row r="9" spans="2:28" ht="21" customHeight="1" x14ac:dyDescent="0.3">
      <c r="C9" s="60" t="s">
        <v>333</v>
      </c>
      <c r="D9" s="61" t="s">
        <v>334</v>
      </c>
      <c r="E9" s="27"/>
      <c r="F9" s="62"/>
      <c r="G9" s="97" t="s">
        <v>350</v>
      </c>
      <c r="K9" s="192"/>
      <c r="L9" s="104"/>
      <c r="M9" s="104"/>
      <c r="N9" s="104"/>
      <c r="O9" s="104"/>
      <c r="P9" s="104"/>
      <c r="Q9" s="104"/>
      <c r="R9" s="104"/>
      <c r="S9" s="104"/>
      <c r="T9" s="104"/>
      <c r="U9" s="104"/>
      <c r="V9" s="104"/>
      <c r="W9" s="27"/>
      <c r="X9" s="27"/>
      <c r="Y9" s="27"/>
      <c r="Z9" s="27"/>
      <c r="AA9" s="27"/>
      <c r="AB9" s="27"/>
    </row>
    <row r="10" spans="2:28" ht="21" customHeight="1" thickBot="1" x14ac:dyDescent="0.35">
      <c r="C10" s="50"/>
      <c r="D10" s="46" t="s">
        <v>309</v>
      </c>
      <c r="E10" s="39">
        <v>1.0129999999999999</v>
      </c>
      <c r="F10" s="106" t="s">
        <v>325</v>
      </c>
      <c r="G10" s="52"/>
      <c r="K10" s="192"/>
      <c r="L10" s="104"/>
      <c r="M10" s="104"/>
      <c r="N10" s="104"/>
      <c r="O10" s="104"/>
      <c r="P10" s="104"/>
      <c r="Q10" s="104"/>
      <c r="R10" s="104"/>
      <c r="S10" s="104"/>
      <c r="T10" s="104"/>
      <c r="U10" s="104"/>
      <c r="V10" s="104"/>
      <c r="W10" s="27"/>
      <c r="X10" s="27"/>
      <c r="Y10" s="27"/>
      <c r="Z10" s="27"/>
      <c r="AA10" s="27"/>
      <c r="AB10" s="27"/>
    </row>
    <row r="11" spans="2:28" ht="21" customHeight="1" thickTop="1" thickBot="1" x14ac:dyDescent="0.35">
      <c r="C11" s="50"/>
      <c r="D11" s="47" t="s">
        <v>310</v>
      </c>
      <c r="E11" s="40">
        <v>15</v>
      </c>
      <c r="F11" s="107" t="s">
        <v>352</v>
      </c>
      <c r="G11" s="52"/>
      <c r="K11" s="192"/>
      <c r="L11" s="104"/>
      <c r="M11" s="104"/>
      <c r="N11" s="104"/>
      <c r="O11" s="104"/>
      <c r="P11" s="104"/>
      <c r="Q11" s="104"/>
      <c r="R11" s="104"/>
      <c r="S11" s="104"/>
      <c r="T11" s="104"/>
      <c r="U11" s="104"/>
      <c r="V11" s="104"/>
      <c r="W11" s="27"/>
      <c r="X11" s="27"/>
      <c r="Y11" s="27"/>
      <c r="Z11" s="27"/>
      <c r="AA11" s="27"/>
      <c r="AB11" s="27"/>
    </row>
    <row r="12" spans="2:28" ht="21" customHeight="1" thickTop="1" thickBot="1" x14ac:dyDescent="0.35">
      <c r="C12" s="50"/>
      <c r="D12" s="47" t="s">
        <v>360</v>
      </c>
      <c r="E12" s="40">
        <v>60</v>
      </c>
      <c r="F12" s="107" t="s">
        <v>361</v>
      </c>
      <c r="G12" s="52"/>
      <c r="K12" s="192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27"/>
      <c r="X12" s="27"/>
      <c r="Y12" s="27"/>
      <c r="Z12" s="27"/>
      <c r="AA12" s="27"/>
      <c r="AB12" s="27"/>
    </row>
    <row r="13" spans="2:28" ht="21" customHeight="1" thickTop="1" x14ac:dyDescent="0.3">
      <c r="C13" s="50"/>
      <c r="D13" s="47" t="s">
        <v>335</v>
      </c>
      <c r="E13" s="41">
        <v>0</v>
      </c>
      <c r="F13" s="107" t="s">
        <v>326</v>
      </c>
      <c r="G13" s="52"/>
      <c r="K13" s="192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27"/>
      <c r="X13" s="27"/>
      <c r="Y13" s="27"/>
      <c r="Z13" s="27"/>
      <c r="AA13" s="27"/>
      <c r="AB13" s="27"/>
    </row>
    <row r="14" spans="2:28" ht="30" customHeight="1" x14ac:dyDescent="0.3">
      <c r="C14" s="51" t="s">
        <v>336</v>
      </c>
      <c r="D14" s="32" t="s">
        <v>337</v>
      </c>
      <c r="E14" s="29"/>
      <c r="F14" s="35"/>
      <c r="G14" s="97" t="s">
        <v>351</v>
      </c>
      <c r="K14" s="192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27"/>
      <c r="X14" s="27"/>
      <c r="Y14" s="27"/>
      <c r="Z14" s="27"/>
      <c r="AA14" s="27"/>
      <c r="AB14" s="27"/>
    </row>
    <row r="15" spans="2:28" ht="21" customHeight="1" thickBot="1" x14ac:dyDescent="0.35">
      <c r="C15" s="50"/>
      <c r="D15" s="47" t="s">
        <v>313</v>
      </c>
      <c r="E15" s="42">
        <v>450</v>
      </c>
      <c r="F15" s="107" t="s">
        <v>338</v>
      </c>
      <c r="G15" s="52" t="s">
        <v>319</v>
      </c>
      <c r="K15" s="192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27"/>
      <c r="X15" s="27"/>
      <c r="Y15" s="27"/>
      <c r="Z15" s="27"/>
      <c r="AA15" s="27"/>
      <c r="AB15" s="27"/>
    </row>
    <row r="16" spans="2:28" ht="21" customHeight="1" thickTop="1" thickBot="1" x14ac:dyDescent="0.35">
      <c r="C16" s="50"/>
      <c r="D16" s="47" t="s">
        <v>314</v>
      </c>
      <c r="E16" s="43">
        <v>38.1</v>
      </c>
      <c r="F16" s="107" t="s">
        <v>339</v>
      </c>
      <c r="G16" s="53"/>
      <c r="K16" s="192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27"/>
      <c r="X16" s="27"/>
      <c r="Y16" s="27"/>
      <c r="Z16" s="27"/>
      <c r="AA16" s="27"/>
      <c r="AB16" s="27"/>
    </row>
    <row r="17" spans="3:28" ht="21" customHeight="1" thickTop="1" thickBot="1" x14ac:dyDescent="0.35">
      <c r="C17" s="50"/>
      <c r="D17" s="47" t="s">
        <v>340</v>
      </c>
      <c r="E17" s="43">
        <v>127.41</v>
      </c>
      <c r="F17" s="107" t="s">
        <v>341</v>
      </c>
      <c r="G17" s="53"/>
      <c r="K17" s="192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27"/>
      <c r="X17" s="27"/>
      <c r="Y17" s="27"/>
      <c r="Z17" s="27"/>
      <c r="AA17" s="27"/>
      <c r="AB17" s="27"/>
    </row>
    <row r="18" spans="3:28" ht="21" customHeight="1" thickTop="1" thickBot="1" x14ac:dyDescent="0.35">
      <c r="C18" s="50"/>
      <c r="D18" s="47" t="s">
        <v>318</v>
      </c>
      <c r="E18" s="43">
        <v>567.70000000000005</v>
      </c>
      <c r="F18" s="107" t="s">
        <v>353</v>
      </c>
      <c r="G18" s="53"/>
      <c r="K18" s="192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</row>
    <row r="19" spans="3:28" ht="21" customHeight="1" thickTop="1" thickBot="1" x14ac:dyDescent="0.35">
      <c r="C19" s="50"/>
      <c r="D19" s="47" t="s">
        <v>316</v>
      </c>
      <c r="E19" s="43">
        <v>597.20000000000005</v>
      </c>
      <c r="F19" s="107" t="s">
        <v>328</v>
      </c>
      <c r="G19" s="53"/>
      <c r="K19" s="192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</row>
    <row r="20" spans="3:28" ht="21" customHeight="1" thickTop="1" thickBot="1" x14ac:dyDescent="0.35">
      <c r="C20" s="50"/>
      <c r="D20" s="47" t="s">
        <v>315</v>
      </c>
      <c r="E20" s="108" t="s">
        <v>424</v>
      </c>
      <c r="F20" s="107" t="s">
        <v>342</v>
      </c>
      <c r="G20" s="53" t="s">
        <v>343</v>
      </c>
      <c r="K20" s="192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</row>
    <row r="21" spans="3:28" ht="21" customHeight="1" thickTop="1" thickBot="1" x14ac:dyDescent="0.35">
      <c r="C21" s="50"/>
      <c r="D21" s="47" t="s">
        <v>317</v>
      </c>
      <c r="E21" s="44">
        <v>0.1</v>
      </c>
      <c r="F21" s="107" t="s">
        <v>344</v>
      </c>
      <c r="G21" s="53" t="s">
        <v>356</v>
      </c>
      <c r="K21" s="192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</row>
    <row r="22" spans="3:28" ht="21" customHeight="1" thickTop="1" thickBot="1" x14ac:dyDescent="0.35">
      <c r="C22" s="50"/>
      <c r="D22" s="47" t="s">
        <v>284</v>
      </c>
      <c r="E22" s="44">
        <v>225</v>
      </c>
      <c r="F22" s="107" t="s">
        <v>345</v>
      </c>
      <c r="G22" s="53" t="s">
        <v>319</v>
      </c>
      <c r="K22" s="192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</row>
    <row r="23" spans="3:28" ht="21" customHeight="1" thickTop="1" thickBot="1" x14ac:dyDescent="0.35">
      <c r="C23" s="50"/>
      <c r="D23" s="47" t="s">
        <v>241</v>
      </c>
      <c r="E23" s="44">
        <v>200</v>
      </c>
      <c r="F23" s="107" t="s">
        <v>346</v>
      </c>
      <c r="G23" s="53"/>
      <c r="K23" s="192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</row>
    <row r="24" spans="3:28" ht="21" customHeight="1" thickTop="1" x14ac:dyDescent="0.3">
      <c r="C24" s="50"/>
      <c r="D24" s="47" t="s">
        <v>321</v>
      </c>
      <c r="E24" s="45">
        <v>3.7</v>
      </c>
      <c r="F24" s="107" t="s">
        <v>329</v>
      </c>
      <c r="G24" s="53" t="s">
        <v>357</v>
      </c>
      <c r="K24" s="192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</row>
    <row r="25" spans="3:28" ht="51" customHeight="1" x14ac:dyDescent="0.3">
      <c r="C25" s="54"/>
      <c r="D25" s="30"/>
      <c r="E25" s="31"/>
      <c r="F25" s="36"/>
      <c r="G25" s="91" t="s">
        <v>425</v>
      </c>
      <c r="K25" s="192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</row>
    <row r="26" spans="3:28" ht="28.15" customHeight="1" x14ac:dyDescent="0.3">
      <c r="C26" s="200" t="s">
        <v>347</v>
      </c>
      <c r="D26" s="201"/>
      <c r="E26" s="201"/>
      <c r="F26" s="201"/>
      <c r="G26" s="202"/>
      <c r="K26" s="192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</row>
    <row r="27" spans="3:28" ht="6.6" customHeight="1" x14ac:dyDescent="0.3">
      <c r="C27" s="55"/>
      <c r="D27" s="37"/>
      <c r="E27" s="28"/>
      <c r="F27" s="37"/>
      <c r="G27" s="100"/>
      <c r="K27" s="192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</row>
    <row r="28" spans="3:28" ht="21" customHeight="1" x14ac:dyDescent="0.3">
      <c r="C28" s="56"/>
      <c r="D28" s="38" t="s">
        <v>348</v>
      </c>
      <c r="E28" s="70">
        <f>'계산과정 - 열손실'!J35</f>
        <v>49.963573901922857</v>
      </c>
      <c r="F28" s="109" t="s">
        <v>354</v>
      </c>
      <c r="G28" s="57"/>
      <c r="K28" s="192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</row>
    <row r="29" spans="3:28" ht="6.6" customHeight="1" x14ac:dyDescent="0.3">
      <c r="C29" s="66"/>
      <c r="D29" s="27"/>
      <c r="E29" s="27"/>
      <c r="F29" s="110"/>
      <c r="G29" s="102"/>
      <c r="K29" s="192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</row>
    <row r="30" spans="3:28" ht="21" customHeight="1" thickBot="1" x14ac:dyDescent="0.35">
      <c r="C30" s="64"/>
      <c r="D30" s="194" t="s">
        <v>322</v>
      </c>
      <c r="E30" s="67">
        <f>'계산과정 - 열손실'!J36</f>
        <v>102.56716033218156</v>
      </c>
      <c r="F30" s="112" t="s">
        <v>330</v>
      </c>
      <c r="G30" s="113"/>
      <c r="K30" s="192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</row>
    <row r="31" spans="3:28" ht="21" customHeight="1" thickTop="1" thickBot="1" x14ac:dyDescent="0.35">
      <c r="C31" s="56"/>
      <c r="D31" s="195"/>
      <c r="E31" s="68">
        <f>'계산과정 - 열손실'!J37</f>
        <v>512.8358016609078</v>
      </c>
      <c r="F31" s="109" t="s">
        <v>331</v>
      </c>
      <c r="G31" s="103"/>
      <c r="K31" s="192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</row>
    <row r="32" spans="3:28" ht="21" customHeight="1" thickTop="1" x14ac:dyDescent="0.3">
      <c r="C32" s="111"/>
      <c r="D32" s="196"/>
      <c r="E32" s="69">
        <f>'계산과정 - 열손실'!J38</f>
        <v>0.6182883074277522</v>
      </c>
      <c r="F32" s="114" t="s">
        <v>332</v>
      </c>
      <c r="G32" s="115"/>
      <c r="K32" s="193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</row>
    <row r="33" spans="3:22" ht="6.6" customHeight="1" x14ac:dyDescent="0.3">
      <c r="C33" s="66"/>
      <c r="D33" s="27"/>
      <c r="E33" s="65"/>
      <c r="F33" s="110"/>
      <c r="G33" s="102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</row>
    <row r="34" spans="3:22" ht="21" customHeight="1" x14ac:dyDescent="0.3">
      <c r="C34" s="56"/>
      <c r="D34" s="38" t="s">
        <v>280</v>
      </c>
      <c r="E34" s="70">
        <f>'계산과정 - 열손실'!J39</f>
        <v>566.07718015195837</v>
      </c>
      <c r="F34" s="109" t="s">
        <v>354</v>
      </c>
      <c r="G34" s="57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</row>
    <row r="35" spans="3:22" ht="6.6" customHeight="1" thickBot="1" x14ac:dyDescent="0.35">
      <c r="C35" s="58"/>
      <c r="D35" s="59"/>
      <c r="E35" s="59"/>
      <c r="F35" s="59"/>
      <c r="G35" s="101"/>
    </row>
  </sheetData>
  <mergeCells count="5">
    <mergeCell ref="B1:H1"/>
    <mergeCell ref="K7:K32"/>
    <mergeCell ref="D30:D32"/>
    <mergeCell ref="C7:G7"/>
    <mergeCell ref="C26:G26"/>
  </mergeCells>
  <phoneticPr fontId="1" type="noConversion"/>
  <dataValidations count="3">
    <dataValidation type="list" allowBlank="1" showInputMessage="1" showErrorMessage="1" sqref="E20">
      <formula1>"Calcium Silicate (ASTM C533), Mineral Fiber (ASTM C547&amp;C592), Perlite (ASTM C610), Glass Fiber (ASTM C1086)"</formula1>
    </dataValidation>
    <dataValidation type="list" allowBlank="1" showInputMessage="1" showErrorMessage="1" sqref="E15">
      <formula1>"25,50,65,80,100,125,150,200,250,300,350,400,450,500,550,600,650,700,750,800,850,900,1050,1200"</formula1>
    </dataValidation>
    <dataValidation type="list" allowBlank="1" showInputMessage="1" showErrorMessage="1" sqref="E22">
      <formula1>"0,15,25,40,50,65,80,90,100,115,125,140,150,165,175,190,200,215,225,240,250,265,275,290,300"</formula1>
    </dataValidation>
  </dataValidations>
  <pageMargins left="0.7" right="0.7" top="0.75" bottom="0.75" header="0.3" footer="0.3"/>
  <pageSetup paperSize="9" orientation="portrait" verticalDpi="0" r:id="rId1"/>
  <ignoredErrors>
    <ignoredError sqref="C9 C14" numberStoredAsText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B1:Y40"/>
  <sheetViews>
    <sheetView zoomScale="85" zoomScaleNormal="85" workbookViewId="0">
      <selection activeCell="N14" sqref="N14"/>
    </sheetView>
  </sheetViews>
  <sheetFormatPr defaultRowHeight="16.5" x14ac:dyDescent="0.3"/>
  <cols>
    <col min="1" max="1" width="1.625" style="26" customWidth="1"/>
    <col min="2" max="2" width="7" style="26" customWidth="1"/>
    <col min="3" max="4" width="9" style="26"/>
    <col min="5" max="5" width="9" style="26" customWidth="1"/>
    <col min="6" max="12" width="9" style="26"/>
    <col min="13" max="13" width="9" style="27"/>
    <col min="14" max="16" width="9" style="26"/>
    <col min="17" max="17" width="1.625" style="26" customWidth="1"/>
    <col min="18" max="18" width="9" style="129"/>
    <col min="19" max="16384" width="9" style="26"/>
  </cols>
  <sheetData>
    <row r="1" spans="2:25" ht="37.5" customHeight="1" x14ac:dyDescent="0.3">
      <c r="B1" s="203" t="s">
        <v>391</v>
      </c>
      <c r="C1" s="203"/>
      <c r="D1" s="203"/>
      <c r="E1" s="203"/>
      <c r="F1" s="203"/>
      <c r="G1" s="203"/>
      <c r="H1" s="203"/>
      <c r="I1" s="203"/>
      <c r="J1" s="203"/>
      <c r="K1" s="203"/>
      <c r="L1" s="203"/>
      <c r="M1" s="203"/>
      <c r="N1" s="203"/>
      <c r="O1" s="203"/>
      <c r="P1" s="203"/>
      <c r="Q1" s="118"/>
      <c r="R1" s="146"/>
      <c r="S1" s="118"/>
      <c r="T1" s="118"/>
      <c r="U1" s="118"/>
      <c r="V1" s="118"/>
      <c r="W1" s="118"/>
      <c r="X1" s="118"/>
    </row>
    <row r="2" spans="2:25" ht="19.5" x14ac:dyDescent="0.35">
      <c r="B2" s="117"/>
    </row>
    <row r="3" spans="2:25" x14ac:dyDescent="0.3">
      <c r="B3" s="123"/>
      <c r="C3" s="26" t="s">
        <v>320</v>
      </c>
    </row>
    <row r="4" spans="2:25" ht="17.25" thickBot="1" x14ac:dyDescent="0.35"/>
    <row r="5" spans="2:25" ht="23.1" customHeight="1" thickBot="1" x14ac:dyDescent="0.35">
      <c r="B5" s="207" t="s">
        <v>370</v>
      </c>
      <c r="C5" s="208"/>
      <c r="D5" s="208"/>
      <c r="E5" s="208"/>
      <c r="F5" s="208"/>
      <c r="G5" s="208"/>
      <c r="H5" s="209"/>
      <c r="S5" s="26" t="s">
        <v>399</v>
      </c>
    </row>
    <row r="6" spans="2:25" ht="4.5" customHeight="1" x14ac:dyDescent="0.3">
      <c r="B6" s="139"/>
      <c r="C6" s="140"/>
      <c r="D6" s="27"/>
      <c r="E6" s="27"/>
      <c r="F6" s="27"/>
      <c r="G6" s="27"/>
      <c r="H6" s="141"/>
    </row>
    <row r="7" spans="2:25" ht="21" customHeight="1" thickBot="1" x14ac:dyDescent="0.35">
      <c r="B7" s="133"/>
      <c r="C7" s="65"/>
      <c r="D7" s="120" t="s">
        <v>309</v>
      </c>
      <c r="E7" s="222">
        <v>1.0129999999999999</v>
      </c>
      <c r="F7" s="223"/>
      <c r="G7" s="224"/>
      <c r="H7" s="134" t="s">
        <v>325</v>
      </c>
      <c r="S7" s="26" t="s">
        <v>283</v>
      </c>
      <c r="T7" s="26" t="s">
        <v>421</v>
      </c>
    </row>
    <row r="8" spans="2:25" ht="21" customHeight="1" thickTop="1" thickBot="1" x14ac:dyDescent="0.35">
      <c r="B8" s="130"/>
      <c r="C8" s="119"/>
      <c r="D8" s="47" t="s">
        <v>310</v>
      </c>
      <c r="E8" s="225">
        <v>30</v>
      </c>
      <c r="F8" s="226"/>
      <c r="G8" s="227"/>
      <c r="H8" s="135" t="s">
        <v>354</v>
      </c>
      <c r="S8" s="26" t="s">
        <v>237</v>
      </c>
      <c r="T8" s="26" t="s">
        <v>400</v>
      </c>
    </row>
    <row r="9" spans="2:25" ht="21" customHeight="1" thickTop="1" thickBot="1" x14ac:dyDescent="0.35">
      <c r="B9" s="130"/>
      <c r="C9" s="119"/>
      <c r="D9" s="47" t="s">
        <v>358</v>
      </c>
      <c r="E9" s="225">
        <v>80</v>
      </c>
      <c r="F9" s="226"/>
      <c r="G9" s="227"/>
      <c r="H9" s="135" t="s">
        <v>359</v>
      </c>
      <c r="S9" s="26" t="s">
        <v>401</v>
      </c>
      <c r="T9" s="26" t="s">
        <v>402</v>
      </c>
    </row>
    <row r="10" spans="2:25" ht="21" customHeight="1" thickTop="1" thickBot="1" x14ac:dyDescent="0.35">
      <c r="B10" s="130"/>
      <c r="C10" s="119"/>
      <c r="D10" s="47" t="s">
        <v>311</v>
      </c>
      <c r="E10" s="225">
        <v>0</v>
      </c>
      <c r="F10" s="226"/>
      <c r="G10" s="227"/>
      <c r="H10" s="135" t="s">
        <v>326</v>
      </c>
      <c r="T10" s="26" t="s">
        <v>403</v>
      </c>
    </row>
    <row r="11" spans="2:25" ht="21" customHeight="1" thickTop="1" thickBot="1" x14ac:dyDescent="0.35">
      <c r="B11" s="130"/>
      <c r="C11" s="119"/>
      <c r="D11" s="47" t="s">
        <v>324</v>
      </c>
      <c r="E11" s="225">
        <v>60</v>
      </c>
      <c r="F11" s="226"/>
      <c r="G11" s="227"/>
      <c r="H11" s="135" t="s">
        <v>354</v>
      </c>
    </row>
    <row r="12" spans="2:25" ht="21" customHeight="1" thickTop="1" thickBot="1" x14ac:dyDescent="0.35">
      <c r="B12" s="130"/>
      <c r="C12" s="119"/>
      <c r="D12" s="47" t="s">
        <v>315</v>
      </c>
      <c r="E12" s="219" t="s">
        <v>398</v>
      </c>
      <c r="F12" s="220"/>
      <c r="G12" s="221"/>
      <c r="H12" s="135" t="s">
        <v>327</v>
      </c>
      <c r="K12" s="152" t="s">
        <v>419</v>
      </c>
    </row>
    <row r="13" spans="2:25" ht="21" customHeight="1" thickTop="1" x14ac:dyDescent="0.3">
      <c r="B13" s="136"/>
      <c r="C13" s="121"/>
      <c r="D13" s="122" t="s">
        <v>317</v>
      </c>
      <c r="E13" s="204">
        <v>0.1</v>
      </c>
      <c r="F13" s="205"/>
      <c r="G13" s="206"/>
      <c r="H13" s="137" t="s">
        <v>327</v>
      </c>
      <c r="L13" s="147"/>
    </row>
    <row r="14" spans="2:25" ht="5.25" customHeight="1" thickBot="1" x14ac:dyDescent="0.35">
      <c r="B14" s="131"/>
      <c r="C14" s="132"/>
      <c r="D14" s="132"/>
      <c r="E14" s="132"/>
      <c r="F14" s="132"/>
      <c r="G14" s="132"/>
      <c r="H14" s="138"/>
    </row>
    <row r="16" spans="2:25" x14ac:dyDescent="0.3">
      <c r="N16" s="27"/>
      <c r="O16" s="27"/>
      <c r="P16" s="126"/>
      <c r="Q16" s="126"/>
      <c r="R16" s="146"/>
      <c r="S16" s="126"/>
      <c r="T16" s="126"/>
      <c r="U16" s="126"/>
      <c r="V16" s="126"/>
      <c r="W16" s="126"/>
      <c r="X16" s="126"/>
      <c r="Y16" s="27"/>
    </row>
    <row r="17" spans="2:25" ht="17.25" thickBot="1" x14ac:dyDescent="0.35">
      <c r="M17" s="26"/>
      <c r="P17" s="27"/>
      <c r="Q17" s="27"/>
      <c r="S17" s="27"/>
      <c r="T17" s="27"/>
      <c r="U17" s="27"/>
      <c r="V17" s="27"/>
      <c r="W17" s="27"/>
      <c r="X17" s="27"/>
      <c r="Y17" s="27"/>
    </row>
    <row r="18" spans="2:25" ht="23.1" customHeight="1" thickBot="1" x14ac:dyDescent="0.35">
      <c r="B18" s="213" t="s">
        <v>423</v>
      </c>
      <c r="C18" s="214"/>
      <c r="D18" s="214"/>
      <c r="E18" s="214"/>
      <c r="F18" s="214"/>
      <c r="G18" s="214"/>
      <c r="H18" s="214"/>
      <c r="I18" s="214"/>
      <c r="J18" s="214"/>
      <c r="K18" s="214"/>
      <c r="L18" s="214"/>
      <c r="M18" s="214"/>
      <c r="N18" s="214"/>
      <c r="O18" s="215"/>
      <c r="P18" s="150"/>
      <c r="Q18" s="150"/>
      <c r="R18" s="153"/>
      <c r="S18" s="150"/>
      <c r="T18" s="150"/>
      <c r="U18" s="150"/>
      <c r="V18" s="150"/>
      <c r="W18" s="150"/>
      <c r="X18" s="150"/>
      <c r="Y18" s="27"/>
    </row>
    <row r="19" spans="2:25" ht="21" customHeight="1" thickTop="1" x14ac:dyDescent="0.3">
      <c r="B19" s="144"/>
      <c r="C19" s="145"/>
      <c r="D19" s="216" t="s">
        <v>371</v>
      </c>
      <c r="E19" s="217"/>
      <c r="F19" s="217"/>
      <c r="G19" s="217"/>
      <c r="H19" s="217"/>
      <c r="I19" s="217"/>
      <c r="J19" s="217"/>
      <c r="K19" s="217"/>
      <c r="L19" s="217"/>
      <c r="M19" s="217"/>
      <c r="N19" s="217"/>
      <c r="O19" s="218"/>
      <c r="P19" s="151"/>
      <c r="Q19" s="151"/>
      <c r="R19" s="154"/>
      <c r="S19" s="151"/>
      <c r="T19" s="151"/>
      <c r="U19" s="151"/>
      <c r="V19" s="151"/>
      <c r="W19" s="151"/>
      <c r="X19" s="151"/>
      <c r="Y19" s="27"/>
    </row>
    <row r="20" spans="2:25" ht="21" customHeight="1" x14ac:dyDescent="0.3">
      <c r="B20" s="142"/>
      <c r="C20" s="143"/>
      <c r="D20" s="159" t="s">
        <v>374</v>
      </c>
      <c r="E20" s="160" t="s">
        <v>390</v>
      </c>
      <c r="F20" s="160" t="s">
        <v>375</v>
      </c>
      <c r="G20" s="160" t="s">
        <v>376</v>
      </c>
      <c r="H20" s="160" t="s">
        <v>377</v>
      </c>
      <c r="I20" s="160" t="s">
        <v>389</v>
      </c>
      <c r="J20" s="160" t="s">
        <v>392</v>
      </c>
      <c r="K20" s="160" t="s">
        <v>393</v>
      </c>
      <c r="L20" s="160" t="s">
        <v>394</v>
      </c>
      <c r="M20" s="160" t="s">
        <v>395</v>
      </c>
      <c r="N20" s="160" t="s">
        <v>396</v>
      </c>
      <c r="O20" s="161" t="s">
        <v>397</v>
      </c>
      <c r="P20" s="126"/>
      <c r="Q20" s="126"/>
      <c r="R20" s="146"/>
      <c r="S20" s="126"/>
      <c r="T20" s="126"/>
      <c r="U20" s="126"/>
      <c r="V20" s="126"/>
      <c r="W20" s="126"/>
      <c r="X20" s="126"/>
      <c r="Y20" s="27"/>
    </row>
    <row r="21" spans="2:25" ht="21" customHeight="1" x14ac:dyDescent="0.3">
      <c r="B21" s="210" t="s">
        <v>372</v>
      </c>
      <c r="C21" s="156">
        <v>25</v>
      </c>
      <c r="D21" s="162">
        <v>15</v>
      </c>
      <c r="E21" s="163">
        <v>25</v>
      </c>
      <c r="F21" s="163">
        <v>40</v>
      </c>
      <c r="G21" s="163">
        <v>50</v>
      </c>
      <c r="H21" s="163">
        <v>65</v>
      </c>
      <c r="I21" s="163">
        <v>65</v>
      </c>
      <c r="J21" s="163">
        <v>80</v>
      </c>
      <c r="K21" s="163">
        <v>90</v>
      </c>
      <c r="L21" s="163">
        <v>100</v>
      </c>
      <c r="M21" s="163">
        <v>115</v>
      </c>
      <c r="N21" s="163">
        <v>125</v>
      </c>
      <c r="O21" s="164">
        <v>140</v>
      </c>
      <c r="P21" s="149"/>
      <c r="Q21" s="149"/>
      <c r="R21" s="155"/>
      <c r="S21" s="149"/>
      <c r="T21" s="149"/>
      <c r="U21" s="149"/>
      <c r="V21" s="149"/>
      <c r="W21" s="149"/>
      <c r="X21" s="149"/>
      <c r="Y21" s="27"/>
    </row>
    <row r="22" spans="2:25" ht="21" customHeight="1" x14ac:dyDescent="0.3">
      <c r="B22" s="211"/>
      <c r="C22" s="157">
        <v>50</v>
      </c>
      <c r="D22" s="165">
        <v>15</v>
      </c>
      <c r="E22" s="124">
        <v>25</v>
      </c>
      <c r="F22" s="124">
        <v>40</v>
      </c>
      <c r="G22" s="124">
        <v>50</v>
      </c>
      <c r="H22" s="124">
        <v>65</v>
      </c>
      <c r="I22" s="124">
        <v>80</v>
      </c>
      <c r="J22" s="124">
        <v>90</v>
      </c>
      <c r="K22" s="124">
        <v>100</v>
      </c>
      <c r="L22" s="124">
        <v>115</v>
      </c>
      <c r="M22" s="124">
        <v>140</v>
      </c>
      <c r="N22" s="124">
        <v>150</v>
      </c>
      <c r="O22" s="125">
        <v>165</v>
      </c>
      <c r="P22" s="149"/>
      <c r="Q22" s="149"/>
      <c r="R22" s="155"/>
      <c r="S22" s="149"/>
      <c r="T22" s="149"/>
      <c r="U22" s="149"/>
      <c r="V22" s="149"/>
      <c r="W22" s="149"/>
      <c r="X22" s="149"/>
      <c r="Y22" s="27"/>
    </row>
    <row r="23" spans="2:25" ht="21" customHeight="1" x14ac:dyDescent="0.3">
      <c r="B23" s="211"/>
      <c r="C23" s="157">
        <v>65</v>
      </c>
      <c r="D23" s="165">
        <v>15</v>
      </c>
      <c r="E23" s="124">
        <v>25</v>
      </c>
      <c r="F23" s="124">
        <v>40</v>
      </c>
      <c r="G23" s="124">
        <v>50</v>
      </c>
      <c r="H23" s="124">
        <v>65</v>
      </c>
      <c r="I23" s="124">
        <v>80</v>
      </c>
      <c r="J23" s="124">
        <v>90</v>
      </c>
      <c r="K23" s="124">
        <v>115</v>
      </c>
      <c r="L23" s="124">
        <v>125</v>
      </c>
      <c r="M23" s="124">
        <v>140</v>
      </c>
      <c r="N23" s="124">
        <v>165</v>
      </c>
      <c r="O23" s="125">
        <v>175</v>
      </c>
      <c r="P23" s="149"/>
      <c r="Q23" s="149"/>
      <c r="R23" s="155"/>
      <c r="S23" s="149"/>
      <c r="T23" s="149"/>
      <c r="U23" s="149"/>
      <c r="V23" s="149"/>
      <c r="W23" s="149"/>
      <c r="X23" s="149"/>
      <c r="Y23" s="27"/>
    </row>
    <row r="24" spans="2:25" ht="21" customHeight="1" x14ac:dyDescent="0.3">
      <c r="B24" s="211"/>
      <c r="C24" s="157">
        <v>80</v>
      </c>
      <c r="D24" s="165">
        <v>15</v>
      </c>
      <c r="E24" s="124">
        <v>40</v>
      </c>
      <c r="F24" s="124">
        <v>40</v>
      </c>
      <c r="G24" s="124">
        <v>65</v>
      </c>
      <c r="H24" s="124">
        <v>65</v>
      </c>
      <c r="I24" s="124">
        <v>80</v>
      </c>
      <c r="J24" s="124">
        <v>100</v>
      </c>
      <c r="K24" s="124">
        <v>115</v>
      </c>
      <c r="L24" s="124">
        <v>125</v>
      </c>
      <c r="M24" s="124">
        <v>140</v>
      </c>
      <c r="N24" s="124">
        <v>165</v>
      </c>
      <c r="O24" s="125">
        <v>190</v>
      </c>
      <c r="P24" s="149"/>
      <c r="Q24" s="149"/>
      <c r="R24" s="155"/>
      <c r="S24" s="149"/>
      <c r="T24" s="149"/>
      <c r="U24" s="149"/>
      <c r="V24" s="149"/>
      <c r="W24" s="149"/>
      <c r="X24" s="149"/>
      <c r="Y24" s="27"/>
    </row>
    <row r="25" spans="2:25" ht="21" customHeight="1" x14ac:dyDescent="0.3">
      <c r="B25" s="211"/>
      <c r="C25" s="157">
        <v>100</v>
      </c>
      <c r="D25" s="165">
        <v>15</v>
      </c>
      <c r="E25" s="124">
        <v>40</v>
      </c>
      <c r="F25" s="124">
        <v>50</v>
      </c>
      <c r="G25" s="124">
        <v>65</v>
      </c>
      <c r="H25" s="124">
        <v>80</v>
      </c>
      <c r="I25" s="124">
        <v>90</v>
      </c>
      <c r="J25" s="124">
        <v>100</v>
      </c>
      <c r="K25" s="124">
        <v>115</v>
      </c>
      <c r="L25" s="124">
        <v>140</v>
      </c>
      <c r="M25" s="124">
        <v>150</v>
      </c>
      <c r="N25" s="124">
        <v>175</v>
      </c>
      <c r="O25" s="125">
        <v>190</v>
      </c>
      <c r="P25" s="149"/>
      <c r="Q25" s="149"/>
      <c r="R25" s="155"/>
      <c r="S25" s="149"/>
      <c r="T25" s="149"/>
      <c r="U25" s="149"/>
      <c r="V25" s="149"/>
      <c r="W25" s="149"/>
      <c r="X25" s="149"/>
      <c r="Y25" s="27"/>
    </row>
    <row r="26" spans="2:25" ht="21" customHeight="1" x14ac:dyDescent="0.3">
      <c r="B26" s="211"/>
      <c r="C26" s="157">
        <v>125</v>
      </c>
      <c r="D26" s="165">
        <v>15</v>
      </c>
      <c r="E26" s="124">
        <v>40</v>
      </c>
      <c r="F26" s="124">
        <v>50</v>
      </c>
      <c r="G26" s="124">
        <v>65</v>
      </c>
      <c r="H26" s="124">
        <v>80</v>
      </c>
      <c r="I26" s="124">
        <v>90</v>
      </c>
      <c r="J26" s="124">
        <v>115</v>
      </c>
      <c r="K26" s="124">
        <v>125</v>
      </c>
      <c r="L26" s="124">
        <v>140</v>
      </c>
      <c r="M26" s="124">
        <v>165</v>
      </c>
      <c r="N26" s="124">
        <v>190</v>
      </c>
      <c r="O26" s="125">
        <v>200</v>
      </c>
      <c r="P26" s="149"/>
      <c r="Q26" s="149"/>
      <c r="R26" s="155"/>
      <c r="S26" s="149"/>
      <c r="T26" s="149"/>
      <c r="U26" s="149"/>
      <c r="V26" s="149"/>
      <c r="W26" s="149"/>
      <c r="X26" s="149"/>
      <c r="Y26" s="27"/>
    </row>
    <row r="27" spans="2:25" ht="21" customHeight="1" x14ac:dyDescent="0.3">
      <c r="B27" s="211"/>
      <c r="C27" s="157">
        <v>150</v>
      </c>
      <c r="D27" s="165">
        <v>15</v>
      </c>
      <c r="E27" s="124">
        <v>40</v>
      </c>
      <c r="F27" s="124">
        <v>50</v>
      </c>
      <c r="G27" s="124">
        <v>65</v>
      </c>
      <c r="H27" s="124">
        <v>80</v>
      </c>
      <c r="I27" s="124">
        <v>90</v>
      </c>
      <c r="J27" s="124">
        <v>115</v>
      </c>
      <c r="K27" s="124">
        <v>125</v>
      </c>
      <c r="L27" s="124">
        <v>150</v>
      </c>
      <c r="M27" s="124">
        <v>165</v>
      </c>
      <c r="N27" s="124">
        <v>190</v>
      </c>
      <c r="O27" s="125">
        <v>215</v>
      </c>
      <c r="P27" s="149"/>
      <c r="Q27" s="149"/>
      <c r="R27" s="155"/>
      <c r="S27" s="149"/>
      <c r="T27" s="149"/>
      <c r="U27" s="149"/>
      <c r="V27" s="149"/>
      <c r="W27" s="149"/>
      <c r="X27" s="149"/>
      <c r="Y27" s="27"/>
    </row>
    <row r="28" spans="2:25" ht="21" customHeight="1" x14ac:dyDescent="0.3">
      <c r="B28" s="211"/>
      <c r="C28" s="157">
        <v>200</v>
      </c>
      <c r="D28" s="165">
        <v>15</v>
      </c>
      <c r="E28" s="124">
        <v>40</v>
      </c>
      <c r="F28" s="124">
        <v>50</v>
      </c>
      <c r="G28" s="124">
        <v>65</v>
      </c>
      <c r="H28" s="124">
        <v>80</v>
      </c>
      <c r="I28" s="124">
        <v>100</v>
      </c>
      <c r="J28" s="124">
        <v>115</v>
      </c>
      <c r="K28" s="124">
        <v>140</v>
      </c>
      <c r="L28" s="124">
        <v>165</v>
      </c>
      <c r="M28" s="124">
        <v>175</v>
      </c>
      <c r="N28" s="124">
        <v>200</v>
      </c>
      <c r="O28" s="125">
        <v>225</v>
      </c>
      <c r="P28" s="149"/>
      <c r="Q28" s="149"/>
      <c r="R28" s="155"/>
      <c r="S28" s="149"/>
      <c r="T28" s="149"/>
      <c r="U28" s="149"/>
      <c r="V28" s="149"/>
      <c r="W28" s="149"/>
      <c r="X28" s="149"/>
      <c r="Y28" s="27"/>
    </row>
    <row r="29" spans="2:25" ht="21" customHeight="1" x14ac:dyDescent="0.3">
      <c r="B29" s="211"/>
      <c r="C29" s="157">
        <v>250</v>
      </c>
      <c r="D29" s="165">
        <v>25</v>
      </c>
      <c r="E29" s="124">
        <v>40</v>
      </c>
      <c r="F29" s="124">
        <v>50</v>
      </c>
      <c r="G29" s="124">
        <v>65</v>
      </c>
      <c r="H29" s="124">
        <v>90</v>
      </c>
      <c r="I29" s="124">
        <v>100</v>
      </c>
      <c r="J29" s="124">
        <v>125</v>
      </c>
      <c r="K29" s="124">
        <v>140</v>
      </c>
      <c r="L29" s="124">
        <v>165</v>
      </c>
      <c r="M29" s="124">
        <v>190</v>
      </c>
      <c r="N29" s="124">
        <v>215</v>
      </c>
      <c r="O29" s="125">
        <v>240</v>
      </c>
      <c r="P29" s="149"/>
      <c r="Q29" s="149"/>
      <c r="R29" s="155"/>
      <c r="S29" s="149"/>
      <c r="T29" s="149"/>
      <c r="U29" s="149"/>
      <c r="V29" s="149"/>
      <c r="W29" s="149"/>
      <c r="X29" s="149"/>
      <c r="Y29" s="27"/>
    </row>
    <row r="30" spans="2:25" ht="21" customHeight="1" x14ac:dyDescent="0.3">
      <c r="B30" s="211"/>
      <c r="C30" s="157">
        <v>300</v>
      </c>
      <c r="D30" s="165">
        <v>25</v>
      </c>
      <c r="E30" s="124">
        <v>40</v>
      </c>
      <c r="F30" s="124">
        <v>50</v>
      </c>
      <c r="G30" s="124">
        <v>80</v>
      </c>
      <c r="H30" s="124">
        <v>90</v>
      </c>
      <c r="I30" s="124">
        <v>115</v>
      </c>
      <c r="J30" s="124">
        <v>125</v>
      </c>
      <c r="K30" s="124">
        <v>150</v>
      </c>
      <c r="L30" s="124">
        <v>165</v>
      </c>
      <c r="M30" s="124">
        <v>190</v>
      </c>
      <c r="N30" s="124">
        <v>215</v>
      </c>
      <c r="O30" s="125">
        <v>250</v>
      </c>
      <c r="P30" s="149"/>
      <c r="Q30" s="149"/>
      <c r="R30" s="155"/>
      <c r="S30" s="149"/>
      <c r="T30" s="149"/>
      <c r="U30" s="149"/>
      <c r="V30" s="149"/>
      <c r="W30" s="149"/>
      <c r="X30" s="149"/>
      <c r="Y30" s="27"/>
    </row>
    <row r="31" spans="2:25" ht="21" customHeight="1" x14ac:dyDescent="0.3">
      <c r="B31" s="211"/>
      <c r="C31" s="157">
        <v>350</v>
      </c>
      <c r="D31" s="165">
        <v>25</v>
      </c>
      <c r="E31" s="124">
        <v>40</v>
      </c>
      <c r="F31" s="124">
        <v>50</v>
      </c>
      <c r="G31" s="124">
        <v>80</v>
      </c>
      <c r="H31" s="124">
        <v>90</v>
      </c>
      <c r="I31" s="124">
        <v>115</v>
      </c>
      <c r="J31" s="124">
        <v>125</v>
      </c>
      <c r="K31" s="124">
        <v>150</v>
      </c>
      <c r="L31" s="124">
        <v>175</v>
      </c>
      <c r="M31" s="124">
        <v>200</v>
      </c>
      <c r="N31" s="124">
        <v>225</v>
      </c>
      <c r="O31" s="125">
        <v>250</v>
      </c>
      <c r="P31" s="149"/>
      <c r="Q31" s="149"/>
      <c r="R31" s="155"/>
      <c r="S31" s="149"/>
      <c r="T31" s="149"/>
      <c r="U31" s="149"/>
      <c r="V31" s="149"/>
      <c r="W31" s="149"/>
      <c r="X31" s="149"/>
      <c r="Y31" s="27"/>
    </row>
    <row r="32" spans="2:25" ht="21" customHeight="1" x14ac:dyDescent="0.3">
      <c r="B32" s="211"/>
      <c r="C32" s="157">
        <v>400</v>
      </c>
      <c r="D32" s="165">
        <v>25</v>
      </c>
      <c r="E32" s="124">
        <v>40</v>
      </c>
      <c r="F32" s="124">
        <v>50</v>
      </c>
      <c r="G32" s="124">
        <v>80</v>
      </c>
      <c r="H32" s="124">
        <v>90</v>
      </c>
      <c r="I32" s="124">
        <v>115</v>
      </c>
      <c r="J32" s="124">
        <v>140</v>
      </c>
      <c r="K32" s="124">
        <v>150</v>
      </c>
      <c r="L32" s="124">
        <v>175</v>
      </c>
      <c r="M32" s="124">
        <v>200</v>
      </c>
      <c r="N32" s="124">
        <v>240</v>
      </c>
      <c r="O32" s="125">
        <v>265</v>
      </c>
      <c r="P32" s="149"/>
      <c r="Q32" s="149"/>
      <c r="R32" s="155"/>
      <c r="S32" s="149"/>
      <c r="T32" s="149"/>
      <c r="U32" s="149"/>
      <c r="V32" s="149"/>
      <c r="W32" s="149"/>
      <c r="X32" s="149"/>
      <c r="Y32" s="27"/>
    </row>
    <row r="33" spans="2:25" ht="21" customHeight="1" x14ac:dyDescent="0.3">
      <c r="B33" s="211"/>
      <c r="C33" s="157">
        <v>450</v>
      </c>
      <c r="D33" s="165">
        <v>25</v>
      </c>
      <c r="E33" s="124">
        <v>40</v>
      </c>
      <c r="F33" s="124">
        <v>65</v>
      </c>
      <c r="G33" s="124">
        <v>80</v>
      </c>
      <c r="H33" s="124">
        <v>90</v>
      </c>
      <c r="I33" s="124">
        <v>115</v>
      </c>
      <c r="J33" s="124">
        <v>140</v>
      </c>
      <c r="K33" s="124">
        <v>165</v>
      </c>
      <c r="L33" s="124">
        <v>190</v>
      </c>
      <c r="M33" s="124">
        <v>215</v>
      </c>
      <c r="N33" s="124">
        <v>240</v>
      </c>
      <c r="O33" s="125">
        <v>265</v>
      </c>
      <c r="P33" s="149"/>
      <c r="Q33" s="149"/>
      <c r="R33" s="155"/>
      <c r="S33" s="149"/>
      <c r="T33" s="149"/>
      <c r="U33" s="149"/>
      <c r="V33" s="149"/>
      <c r="W33" s="149"/>
      <c r="X33" s="149"/>
      <c r="Y33" s="27"/>
    </row>
    <row r="34" spans="2:25" ht="21" customHeight="1" x14ac:dyDescent="0.3">
      <c r="B34" s="211"/>
      <c r="C34" s="157">
        <v>500</v>
      </c>
      <c r="D34" s="165">
        <v>25</v>
      </c>
      <c r="E34" s="124">
        <v>40</v>
      </c>
      <c r="F34" s="124">
        <v>65</v>
      </c>
      <c r="G34" s="124">
        <v>80</v>
      </c>
      <c r="H34" s="124">
        <v>100</v>
      </c>
      <c r="I34" s="124">
        <v>115</v>
      </c>
      <c r="J34" s="124">
        <v>140</v>
      </c>
      <c r="K34" s="124">
        <v>165</v>
      </c>
      <c r="L34" s="124">
        <v>190</v>
      </c>
      <c r="M34" s="124">
        <v>215</v>
      </c>
      <c r="N34" s="124">
        <v>240</v>
      </c>
      <c r="O34" s="125">
        <v>275</v>
      </c>
      <c r="P34" s="149"/>
      <c r="Q34" s="149"/>
      <c r="R34" s="155"/>
      <c r="S34" s="149"/>
      <c r="T34" s="149"/>
      <c r="U34" s="149"/>
      <c r="V34" s="149"/>
      <c r="W34" s="149"/>
      <c r="X34" s="149"/>
      <c r="Y34" s="27"/>
    </row>
    <row r="35" spans="2:25" ht="21" customHeight="1" x14ac:dyDescent="0.3">
      <c r="B35" s="211"/>
      <c r="C35" s="157">
        <v>600</v>
      </c>
      <c r="D35" s="165">
        <v>25</v>
      </c>
      <c r="E35" s="124">
        <v>40</v>
      </c>
      <c r="F35" s="124">
        <v>65</v>
      </c>
      <c r="G35" s="124">
        <v>80</v>
      </c>
      <c r="H35" s="124">
        <v>100</v>
      </c>
      <c r="I35" s="124">
        <v>115</v>
      </c>
      <c r="J35" s="124">
        <v>140</v>
      </c>
      <c r="K35" s="124">
        <v>165</v>
      </c>
      <c r="L35" s="124">
        <v>190</v>
      </c>
      <c r="M35" s="124">
        <v>215</v>
      </c>
      <c r="N35" s="124">
        <v>250</v>
      </c>
      <c r="O35" s="125">
        <v>275</v>
      </c>
      <c r="P35" s="149"/>
      <c r="Q35" s="149"/>
      <c r="R35" s="155"/>
      <c r="S35" s="149"/>
      <c r="T35" s="149"/>
      <c r="U35" s="149"/>
      <c r="V35" s="149"/>
      <c r="W35" s="149"/>
      <c r="X35" s="149"/>
      <c r="Y35" s="27"/>
    </row>
    <row r="36" spans="2:25" ht="21" customHeight="1" x14ac:dyDescent="0.3">
      <c r="B36" s="211"/>
      <c r="C36" s="157">
        <v>750</v>
      </c>
      <c r="D36" s="165">
        <v>25</v>
      </c>
      <c r="E36" s="124">
        <v>40</v>
      </c>
      <c r="F36" s="124">
        <v>65</v>
      </c>
      <c r="G36" s="124">
        <v>80</v>
      </c>
      <c r="H36" s="124">
        <v>100</v>
      </c>
      <c r="I36" s="124">
        <v>125</v>
      </c>
      <c r="J36" s="124">
        <v>150</v>
      </c>
      <c r="K36" s="124">
        <v>175</v>
      </c>
      <c r="L36" s="124">
        <v>200</v>
      </c>
      <c r="M36" s="124">
        <v>225</v>
      </c>
      <c r="N36" s="124">
        <v>265</v>
      </c>
      <c r="O36" s="125">
        <v>290</v>
      </c>
      <c r="P36" s="149"/>
      <c r="Q36" s="149"/>
      <c r="R36" s="155"/>
      <c r="S36" s="149"/>
      <c r="T36" s="149"/>
      <c r="U36" s="149"/>
      <c r="V36" s="149"/>
      <c r="W36" s="149"/>
      <c r="X36" s="149"/>
      <c r="Y36" s="27"/>
    </row>
    <row r="37" spans="2:25" ht="21" customHeight="1" x14ac:dyDescent="0.3">
      <c r="B37" s="211"/>
      <c r="C37" s="157">
        <v>900</v>
      </c>
      <c r="D37" s="165">
        <v>25</v>
      </c>
      <c r="E37" s="124">
        <v>40</v>
      </c>
      <c r="F37" s="124">
        <v>65</v>
      </c>
      <c r="G37" s="124">
        <v>80</v>
      </c>
      <c r="H37" s="124">
        <v>100</v>
      </c>
      <c r="I37" s="124">
        <v>125</v>
      </c>
      <c r="J37" s="124">
        <v>150</v>
      </c>
      <c r="K37" s="124">
        <v>175</v>
      </c>
      <c r="L37" s="124">
        <v>200</v>
      </c>
      <c r="M37" s="124">
        <v>240</v>
      </c>
      <c r="N37" s="124">
        <v>265</v>
      </c>
      <c r="O37" s="125">
        <v>300</v>
      </c>
      <c r="P37" s="149"/>
      <c r="Q37" s="149"/>
      <c r="R37" s="155"/>
      <c r="S37" s="149"/>
      <c r="T37" s="149"/>
      <c r="U37" s="149"/>
      <c r="V37" s="149"/>
      <c r="W37" s="149"/>
      <c r="X37" s="149"/>
      <c r="Y37" s="27"/>
    </row>
    <row r="38" spans="2:25" ht="21" customHeight="1" thickBot="1" x14ac:dyDescent="0.35">
      <c r="B38" s="212"/>
      <c r="C38" s="158">
        <v>1200</v>
      </c>
      <c r="D38" s="166">
        <v>25</v>
      </c>
      <c r="E38" s="127">
        <v>40</v>
      </c>
      <c r="F38" s="127">
        <v>65</v>
      </c>
      <c r="G38" s="127">
        <v>80</v>
      </c>
      <c r="H38" s="127">
        <v>100</v>
      </c>
      <c r="I38" s="127">
        <v>125</v>
      </c>
      <c r="J38" s="127">
        <v>150</v>
      </c>
      <c r="K38" s="127">
        <v>190</v>
      </c>
      <c r="L38" s="127">
        <v>215</v>
      </c>
      <c r="M38" s="127">
        <v>240</v>
      </c>
      <c r="N38" s="127">
        <v>275</v>
      </c>
      <c r="O38" s="128" t="s">
        <v>418</v>
      </c>
      <c r="P38" s="149"/>
      <c r="Q38" s="149"/>
      <c r="R38" s="155"/>
      <c r="S38" s="149"/>
      <c r="T38" s="149"/>
      <c r="U38" s="149"/>
      <c r="V38" s="149"/>
      <c r="W38" s="149"/>
      <c r="X38" s="149"/>
      <c r="Y38" s="27"/>
    </row>
    <row r="39" spans="2:25" x14ac:dyDescent="0.3">
      <c r="N39" s="27"/>
      <c r="O39" s="27"/>
      <c r="P39" s="27"/>
      <c r="Q39" s="27"/>
      <c r="S39" s="27"/>
      <c r="T39" s="27"/>
      <c r="U39" s="27"/>
      <c r="V39" s="27"/>
      <c r="W39" s="27"/>
      <c r="X39" s="27"/>
      <c r="Y39" s="27"/>
    </row>
    <row r="40" spans="2:25" x14ac:dyDescent="0.3">
      <c r="N40" s="27"/>
      <c r="O40" s="27"/>
      <c r="P40" s="27"/>
      <c r="Q40" s="27"/>
      <c r="S40" s="27"/>
      <c r="T40" s="27"/>
      <c r="U40" s="27"/>
      <c r="V40" s="27"/>
      <c r="W40" s="27"/>
      <c r="X40" s="27"/>
      <c r="Y40" s="27"/>
    </row>
  </sheetData>
  <mergeCells count="12">
    <mergeCell ref="B1:P1"/>
    <mergeCell ref="E13:G13"/>
    <mergeCell ref="B5:H5"/>
    <mergeCell ref="B21:B38"/>
    <mergeCell ref="B18:O18"/>
    <mergeCell ref="D19:O19"/>
    <mergeCell ref="E12:G12"/>
    <mergeCell ref="E7:G7"/>
    <mergeCell ref="E8:G8"/>
    <mergeCell ref="E9:G9"/>
    <mergeCell ref="E10:G10"/>
    <mergeCell ref="E11:G11"/>
  </mergeCells>
  <phoneticPr fontId="1" type="noConversion"/>
  <dataValidations count="1">
    <dataValidation type="list" allowBlank="1" showInputMessage="1" showErrorMessage="1" sqref="E12">
      <formula1>"Calcium Silicate (ASTM C533), Mineral Fiber (ASTM C547&amp;C592), Perlite (ASTM C610), Glass Fiber (ASTM C1086)"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0" tint="-0.34998626667073579"/>
  </sheetPr>
  <dimension ref="A1:R202"/>
  <sheetViews>
    <sheetView zoomScaleNormal="100" workbookViewId="0">
      <selection activeCell="N59" sqref="N59"/>
    </sheetView>
  </sheetViews>
  <sheetFormatPr defaultColWidth="9" defaultRowHeight="16.5" x14ac:dyDescent="0.3"/>
  <cols>
    <col min="1" max="2" width="5.5" style="84" customWidth="1"/>
    <col min="3" max="9" width="9" style="78"/>
    <col min="10" max="10" width="11.25" style="79" bestFit="1" customWidth="1"/>
    <col min="11" max="11" width="9" style="80"/>
    <col min="12" max="12" width="9" style="81"/>
    <col min="13" max="18" width="9" style="78"/>
    <col min="19" max="16384" width="9" style="82"/>
  </cols>
  <sheetData>
    <row r="1" spans="1:18" s="76" customFormat="1" x14ac:dyDescent="0.3">
      <c r="A1" s="71" t="s">
        <v>349</v>
      </c>
      <c r="B1" s="71"/>
      <c r="C1" s="72"/>
      <c r="D1" s="72"/>
      <c r="E1" s="72"/>
      <c r="F1" s="72"/>
      <c r="G1" s="72"/>
      <c r="H1" s="72"/>
      <c r="I1" s="72"/>
      <c r="J1" s="73"/>
      <c r="K1" s="74"/>
      <c r="L1" s="75"/>
      <c r="M1" s="72"/>
      <c r="N1" s="72"/>
      <c r="O1" s="72"/>
      <c r="P1" s="72"/>
      <c r="Q1" s="72"/>
      <c r="R1" s="72"/>
    </row>
    <row r="2" spans="1:18" x14ac:dyDescent="0.3">
      <c r="A2" s="77"/>
      <c r="B2" s="77"/>
      <c r="J2" s="79" t="s">
        <v>355</v>
      </c>
    </row>
    <row r="3" spans="1:18" x14ac:dyDescent="0.3">
      <c r="A3" s="83" t="s">
        <v>0</v>
      </c>
      <c r="B3" s="77" t="s">
        <v>1</v>
      </c>
    </row>
    <row r="4" spans="1:18" x14ac:dyDescent="0.3">
      <c r="B4" s="77" t="s">
        <v>4</v>
      </c>
      <c r="C4" s="77" t="s">
        <v>285</v>
      </c>
    </row>
    <row r="5" spans="1:18" x14ac:dyDescent="0.3">
      <c r="C5" s="78" t="s">
        <v>2</v>
      </c>
      <c r="J5" s="79">
        <f>'열 손실 계산기'!E10</f>
        <v>1.0129999999999999</v>
      </c>
      <c r="K5" s="80" t="s">
        <v>17</v>
      </c>
    </row>
    <row r="6" spans="1:18" x14ac:dyDescent="0.3">
      <c r="C6" s="78" t="s">
        <v>3</v>
      </c>
      <c r="J6" s="79">
        <f>'열 손실 계산기'!E11</f>
        <v>15</v>
      </c>
      <c r="K6" s="80" t="s">
        <v>18</v>
      </c>
    </row>
    <row r="7" spans="1:18" x14ac:dyDescent="0.3">
      <c r="C7" s="78" t="s">
        <v>362</v>
      </c>
      <c r="J7" s="79">
        <f>'열 손실 계산기'!E12</f>
        <v>60</v>
      </c>
      <c r="K7" s="80" t="s">
        <v>367</v>
      </c>
    </row>
    <row r="8" spans="1:18" x14ac:dyDescent="0.3">
      <c r="C8" s="78" t="s">
        <v>16</v>
      </c>
      <c r="J8" s="79">
        <f>'열 손실 계산기'!E13</f>
        <v>0</v>
      </c>
      <c r="K8" s="80" t="s">
        <v>19</v>
      </c>
    </row>
    <row r="9" spans="1:18" x14ac:dyDescent="0.3">
      <c r="B9" s="77" t="s">
        <v>5</v>
      </c>
      <c r="C9" s="77" t="s">
        <v>7</v>
      </c>
      <c r="L9" s="81" t="s">
        <v>411</v>
      </c>
    </row>
    <row r="10" spans="1:18" x14ac:dyDescent="0.3">
      <c r="C10" s="78" t="s">
        <v>8</v>
      </c>
      <c r="J10" s="79">
        <f>HLOOKUP(J11,Data!D5:AA6,2,FALSE)</f>
        <v>457.2</v>
      </c>
      <c r="K10" s="80" t="s">
        <v>24</v>
      </c>
    </row>
    <row r="11" spans="1:18" x14ac:dyDescent="0.3">
      <c r="D11" s="78" t="s">
        <v>20</v>
      </c>
      <c r="J11" s="79">
        <f>'열 손실 계산기'!E15</f>
        <v>450</v>
      </c>
      <c r="K11" s="80" t="s">
        <v>22</v>
      </c>
      <c r="L11" s="81" t="s">
        <v>23</v>
      </c>
    </row>
    <row r="12" spans="1:18" x14ac:dyDescent="0.3">
      <c r="C12" s="78" t="s">
        <v>13</v>
      </c>
      <c r="J12" s="79">
        <f>'열 손실 계산기'!E16</f>
        <v>38.1</v>
      </c>
      <c r="K12" s="80" t="s">
        <v>21</v>
      </c>
    </row>
    <row r="13" spans="1:18" x14ac:dyDescent="0.3">
      <c r="C13" s="78" t="s">
        <v>9</v>
      </c>
    </row>
    <row r="14" spans="1:18" x14ac:dyDescent="0.3">
      <c r="D14" s="78" t="s">
        <v>10</v>
      </c>
      <c r="J14" s="79">
        <f>'열 손실 계산기'!E17</f>
        <v>127.41</v>
      </c>
      <c r="K14" s="80" t="s">
        <v>28</v>
      </c>
    </row>
    <row r="15" spans="1:18" x14ac:dyDescent="0.3">
      <c r="D15" s="78" t="s">
        <v>11</v>
      </c>
      <c r="J15" s="79">
        <f>'열 손실 계산기'!E18</f>
        <v>567.70000000000005</v>
      </c>
      <c r="K15" s="80" t="s">
        <v>18</v>
      </c>
    </row>
    <row r="16" spans="1:18" x14ac:dyDescent="0.3">
      <c r="D16" s="78" t="s">
        <v>12</v>
      </c>
      <c r="J16" s="79">
        <f>'열 손실 계산기'!E19</f>
        <v>597.20000000000005</v>
      </c>
      <c r="K16" s="80" t="s">
        <v>26</v>
      </c>
    </row>
    <row r="17" spans="1:12" s="78" customFormat="1" ht="13.5" x14ac:dyDescent="0.3">
      <c r="A17" s="84"/>
      <c r="B17" s="84"/>
      <c r="C17" s="78" t="s">
        <v>14</v>
      </c>
      <c r="J17" s="79" t="str">
        <f>'열 손실 계산기'!E20</f>
        <v>Mineral Fiber (ASTM C547&amp;C592)</v>
      </c>
      <c r="K17" s="80" t="s">
        <v>25</v>
      </c>
      <c r="L17" s="81"/>
    </row>
    <row r="18" spans="1:12" s="78" customFormat="1" ht="13.5" x14ac:dyDescent="0.3">
      <c r="A18" s="84"/>
      <c r="B18" s="84"/>
      <c r="C18" s="78" t="s">
        <v>15</v>
      </c>
      <c r="J18" s="79">
        <f>'열 손실 계산기'!E21</f>
        <v>0.1</v>
      </c>
      <c r="K18" s="80" t="s">
        <v>25</v>
      </c>
      <c r="L18" s="81"/>
    </row>
    <row r="19" spans="1:12" x14ac:dyDescent="0.3">
      <c r="C19" s="78" t="s">
        <v>236</v>
      </c>
      <c r="J19" s="79">
        <f>'열 손실 계산기'!E22</f>
        <v>225</v>
      </c>
      <c r="K19" s="80" t="s">
        <v>206</v>
      </c>
    </row>
    <row r="20" spans="1:12" s="78" customFormat="1" ht="13.5" x14ac:dyDescent="0.3">
      <c r="A20" s="83"/>
      <c r="B20" s="77"/>
      <c r="C20" s="78" t="s">
        <v>241</v>
      </c>
      <c r="J20" s="79">
        <f>'열 손실 계산기'!E23</f>
        <v>200</v>
      </c>
      <c r="K20" s="80" t="s">
        <v>242</v>
      </c>
      <c r="L20" s="81"/>
    </row>
    <row r="21" spans="1:12" x14ac:dyDescent="0.3">
      <c r="A21" s="83"/>
      <c r="B21" s="77"/>
      <c r="C21" s="78" t="s">
        <v>253</v>
      </c>
      <c r="J21" s="79">
        <f>'열 손실 계산기'!E24</f>
        <v>3.7</v>
      </c>
      <c r="K21" s="80" t="s">
        <v>254</v>
      </c>
    </row>
    <row r="34" spans="1:18" x14ac:dyDescent="0.3">
      <c r="A34" s="83" t="s">
        <v>275</v>
      </c>
      <c r="B34" s="77" t="s">
        <v>276</v>
      </c>
    </row>
    <row r="35" spans="1:18" x14ac:dyDescent="0.3">
      <c r="B35" s="84" t="s">
        <v>281</v>
      </c>
      <c r="C35" s="78" t="s">
        <v>277</v>
      </c>
      <c r="J35" s="87">
        <f>J151</f>
        <v>49.963573901922857</v>
      </c>
      <c r="K35" s="80" t="s">
        <v>251</v>
      </c>
    </row>
    <row r="36" spans="1:18" x14ac:dyDescent="0.3">
      <c r="B36" s="84" t="s">
        <v>237</v>
      </c>
      <c r="C36" s="78" t="s">
        <v>278</v>
      </c>
      <c r="J36" s="87">
        <f>J184</f>
        <v>102.56716033218156</v>
      </c>
      <c r="K36" s="80" t="s">
        <v>260</v>
      </c>
    </row>
    <row r="37" spans="1:18" x14ac:dyDescent="0.3">
      <c r="J37" s="92">
        <f>J186</f>
        <v>512.8358016609078</v>
      </c>
      <c r="K37" s="80" t="s">
        <v>219</v>
      </c>
    </row>
    <row r="38" spans="1:18" x14ac:dyDescent="0.3">
      <c r="J38" s="87">
        <f>J185</f>
        <v>0.6182883074277522</v>
      </c>
      <c r="K38" s="80" t="s">
        <v>262</v>
      </c>
    </row>
    <row r="39" spans="1:18" x14ac:dyDescent="0.3">
      <c r="B39" s="84" t="s">
        <v>282</v>
      </c>
      <c r="C39" s="78" t="s">
        <v>280</v>
      </c>
      <c r="J39" s="87">
        <f>J199</f>
        <v>566.07718015195837</v>
      </c>
      <c r="K39" s="80" t="s">
        <v>251</v>
      </c>
    </row>
    <row r="41" spans="1:18" s="78" customFormat="1" ht="13.5" x14ac:dyDescent="0.3">
      <c r="A41" s="83" t="s">
        <v>274</v>
      </c>
      <c r="B41" s="77" t="s">
        <v>30</v>
      </c>
      <c r="J41" s="79"/>
      <c r="K41" s="80"/>
      <c r="L41" s="81"/>
    </row>
    <row r="42" spans="1:18" s="81" customFormat="1" ht="13.5" x14ac:dyDescent="0.3">
      <c r="A42" s="84"/>
      <c r="B42" s="77" t="s">
        <v>31</v>
      </c>
      <c r="C42" s="85" t="s">
        <v>368</v>
      </c>
      <c r="D42" s="78"/>
      <c r="E42" s="78"/>
      <c r="F42" s="78"/>
      <c r="G42" s="78"/>
      <c r="H42" s="78"/>
      <c r="I42" s="78"/>
      <c r="J42" s="79"/>
      <c r="K42" s="80"/>
      <c r="M42" s="78"/>
      <c r="N42" s="78"/>
      <c r="O42" s="78"/>
      <c r="P42" s="78"/>
      <c r="Q42" s="78"/>
      <c r="R42" s="78"/>
    </row>
    <row r="43" spans="1:18" s="81" customFormat="1" ht="13.5" x14ac:dyDescent="0.3">
      <c r="A43" s="84"/>
      <c r="B43" s="77"/>
      <c r="C43" s="86" t="s">
        <v>134</v>
      </c>
      <c r="D43" s="78"/>
      <c r="E43" s="78"/>
      <c r="F43" s="78"/>
      <c r="G43" s="78"/>
      <c r="H43" s="78"/>
      <c r="I43" s="78"/>
      <c r="J43" s="79"/>
      <c r="K43" s="80"/>
      <c r="M43" s="78"/>
      <c r="N43" s="78"/>
      <c r="O43" s="78"/>
      <c r="P43" s="78"/>
      <c r="Q43" s="78"/>
      <c r="R43" s="78"/>
    </row>
    <row r="44" spans="1:18" s="81" customFormat="1" ht="13.5" x14ac:dyDescent="0.3">
      <c r="A44" s="84"/>
      <c r="B44" s="84"/>
      <c r="C44" s="78" t="s">
        <v>32</v>
      </c>
      <c r="D44" s="78"/>
      <c r="E44" s="78"/>
      <c r="F44" s="78"/>
      <c r="G44" s="78"/>
      <c r="H44" s="78"/>
      <c r="I44" s="78"/>
      <c r="J44" s="79">
        <f>J14</f>
        <v>127.41</v>
      </c>
      <c r="K44" s="80" t="s">
        <v>28</v>
      </c>
      <c r="M44" s="78"/>
      <c r="N44" s="78"/>
      <c r="O44" s="78"/>
      <c r="P44" s="78"/>
      <c r="Q44" s="78"/>
      <c r="R44" s="78"/>
    </row>
    <row r="45" spans="1:18" s="81" customFormat="1" ht="13.5" x14ac:dyDescent="0.3">
      <c r="A45" s="84"/>
      <c r="B45" s="84"/>
      <c r="C45" s="78" t="s">
        <v>269</v>
      </c>
      <c r="D45" s="78"/>
      <c r="E45" s="78"/>
      <c r="F45" s="78"/>
      <c r="G45" s="78"/>
      <c r="H45" s="78"/>
      <c r="I45" s="78"/>
      <c r="J45" s="79">
        <f>J21</f>
        <v>3.7</v>
      </c>
      <c r="K45" s="80" t="s">
        <v>254</v>
      </c>
      <c r="M45" s="78"/>
      <c r="N45" s="78"/>
      <c r="O45" s="78"/>
      <c r="P45" s="78"/>
      <c r="Q45" s="78"/>
      <c r="R45" s="78"/>
    </row>
    <row r="46" spans="1:18" s="81" customFormat="1" ht="13.5" x14ac:dyDescent="0.3">
      <c r="A46" s="84"/>
      <c r="B46" s="84"/>
      <c r="C46" s="78" t="s">
        <v>35</v>
      </c>
      <c r="D46" s="78"/>
      <c r="E46" s="78"/>
      <c r="F46" s="78"/>
      <c r="G46" s="78"/>
      <c r="H46" s="78"/>
      <c r="I46" s="78"/>
      <c r="J46" s="79">
        <f>J5</f>
        <v>1.0129999999999999</v>
      </c>
      <c r="K46" s="80" t="s">
        <v>28</v>
      </c>
      <c r="M46" s="78"/>
      <c r="N46" s="78"/>
      <c r="O46" s="78"/>
      <c r="P46" s="78"/>
      <c r="Q46" s="78"/>
      <c r="R46" s="78"/>
    </row>
    <row r="47" spans="1:18" s="81" customFormat="1" ht="13.5" x14ac:dyDescent="0.3">
      <c r="A47" s="84"/>
      <c r="B47" s="84"/>
      <c r="C47" s="86" t="s">
        <v>133</v>
      </c>
      <c r="D47" s="78"/>
      <c r="E47" s="78"/>
      <c r="F47" s="78"/>
      <c r="G47" s="78"/>
      <c r="H47" s="78"/>
      <c r="I47" s="78"/>
      <c r="J47" s="79"/>
      <c r="K47" s="80"/>
      <c r="M47" s="78"/>
      <c r="N47" s="78"/>
      <c r="O47" s="78"/>
      <c r="P47" s="78"/>
      <c r="Q47" s="78"/>
      <c r="R47" s="78"/>
    </row>
    <row r="48" spans="1:18" s="81" customFormat="1" ht="13.5" x14ac:dyDescent="0.3">
      <c r="A48" s="84"/>
      <c r="B48" s="84"/>
      <c r="C48" s="78" t="s">
        <v>34</v>
      </c>
      <c r="D48" s="78"/>
      <c r="E48" s="78"/>
      <c r="F48" s="78"/>
      <c r="G48" s="78"/>
      <c r="H48" s="78"/>
      <c r="I48" s="78"/>
      <c r="J48" s="79">
        <f>J15</f>
        <v>567.70000000000005</v>
      </c>
      <c r="K48" s="80" t="s">
        <v>18</v>
      </c>
      <c r="M48" s="78"/>
      <c r="N48" s="78"/>
      <c r="O48" s="78"/>
      <c r="P48" s="78"/>
      <c r="Q48" s="78"/>
      <c r="R48" s="78"/>
    </row>
    <row r="49" spans="1:18" s="81" customFormat="1" ht="13.5" x14ac:dyDescent="0.3">
      <c r="A49" s="84"/>
      <c r="B49" s="84"/>
      <c r="C49" s="78" t="s">
        <v>37</v>
      </c>
      <c r="D49" s="78"/>
      <c r="E49" s="78"/>
      <c r="F49" s="78"/>
      <c r="G49" s="78"/>
      <c r="H49" s="78"/>
      <c r="I49" s="78"/>
      <c r="J49" s="79">
        <f>J151</f>
        <v>49.963573901922857</v>
      </c>
      <c r="K49" s="80" t="s">
        <v>18</v>
      </c>
      <c r="L49" s="89"/>
      <c r="M49" s="78"/>
      <c r="N49" s="78"/>
      <c r="O49" s="78"/>
      <c r="P49" s="78"/>
      <c r="Q49" s="78"/>
      <c r="R49" s="78"/>
    </row>
    <row r="50" spans="1:18" s="81" customFormat="1" ht="13.5" x14ac:dyDescent="0.3">
      <c r="A50" s="84"/>
      <c r="B50" s="84"/>
      <c r="C50" s="78" t="s">
        <v>39</v>
      </c>
      <c r="D50" s="78"/>
      <c r="E50" s="78"/>
      <c r="F50" s="78"/>
      <c r="G50" s="78"/>
      <c r="H50" s="78"/>
      <c r="I50" s="78"/>
      <c r="J50" s="79">
        <f>J6</f>
        <v>15</v>
      </c>
      <c r="K50" s="80" t="s">
        <v>18</v>
      </c>
      <c r="M50" s="78"/>
      <c r="N50" s="78"/>
      <c r="O50" s="78"/>
      <c r="P50" s="78"/>
      <c r="Q50" s="78"/>
      <c r="R50" s="78"/>
    </row>
    <row r="51" spans="1:18" s="81" customFormat="1" ht="13.5" x14ac:dyDescent="0.3">
      <c r="A51" s="84"/>
      <c r="B51" s="84"/>
      <c r="C51" s="86" t="s">
        <v>369</v>
      </c>
      <c r="D51" s="78"/>
      <c r="E51" s="78"/>
      <c r="F51" s="78"/>
      <c r="G51" s="78"/>
      <c r="H51" s="78"/>
      <c r="I51" s="78"/>
      <c r="J51" s="79"/>
      <c r="K51" s="80"/>
      <c r="M51" s="78"/>
      <c r="N51" s="78"/>
      <c r="O51" s="78"/>
      <c r="P51" s="78"/>
      <c r="Q51" s="78"/>
      <c r="R51" s="78"/>
    </row>
    <row r="52" spans="1:18" s="81" customFormat="1" ht="13.5" x14ac:dyDescent="0.3">
      <c r="A52" s="84"/>
      <c r="B52" s="84"/>
      <c r="C52" s="78" t="s">
        <v>365</v>
      </c>
      <c r="D52" s="78"/>
      <c r="E52" s="78"/>
      <c r="F52" s="78"/>
      <c r="G52" s="78"/>
      <c r="H52" s="78"/>
      <c r="I52" s="78"/>
      <c r="J52" s="79">
        <f>J7</f>
        <v>60</v>
      </c>
      <c r="K52" s="80" t="s">
        <v>359</v>
      </c>
      <c r="M52" s="78"/>
      <c r="N52" s="78"/>
      <c r="O52" s="78"/>
      <c r="P52" s="78"/>
      <c r="Q52" s="78"/>
      <c r="R52" s="78"/>
    </row>
    <row r="53" spans="1:18" s="81" customFormat="1" ht="13.5" x14ac:dyDescent="0.3">
      <c r="A53" s="84"/>
      <c r="B53" s="84"/>
      <c r="C53" s="86" t="s">
        <v>132</v>
      </c>
      <c r="D53" s="78"/>
      <c r="E53" s="78"/>
      <c r="F53" s="78"/>
      <c r="G53" s="78"/>
      <c r="H53" s="78"/>
      <c r="I53" s="78"/>
      <c r="J53" s="79"/>
      <c r="K53" s="80"/>
      <c r="M53" s="78"/>
      <c r="N53" s="78"/>
      <c r="O53" s="78"/>
      <c r="P53" s="78"/>
      <c r="Q53" s="78"/>
      <c r="R53" s="78"/>
    </row>
    <row r="54" spans="1:18" s="81" customFormat="1" ht="13.5" x14ac:dyDescent="0.3">
      <c r="A54" s="84"/>
      <c r="B54" s="84"/>
      <c r="C54" s="78" t="s">
        <v>40</v>
      </c>
      <c r="D54" s="78"/>
      <c r="E54" s="78"/>
      <c r="F54" s="78"/>
      <c r="G54" s="78"/>
      <c r="H54" s="78"/>
      <c r="I54" s="78"/>
      <c r="J54" s="79">
        <f>J8</f>
        <v>0</v>
      </c>
      <c r="K54" s="80" t="s">
        <v>19</v>
      </c>
      <c r="M54" s="78"/>
      <c r="N54" s="78"/>
      <c r="O54" s="78"/>
      <c r="P54" s="78"/>
      <c r="Q54" s="78"/>
      <c r="R54" s="78"/>
    </row>
    <row r="55" spans="1:18" s="81" customFormat="1" ht="13.5" x14ac:dyDescent="0.3">
      <c r="A55" s="84"/>
      <c r="B55" s="84"/>
      <c r="C55" s="86" t="s">
        <v>131</v>
      </c>
      <c r="D55" s="78"/>
      <c r="E55" s="78"/>
      <c r="F55" s="78"/>
      <c r="G55" s="78"/>
      <c r="H55" s="78"/>
      <c r="I55" s="78"/>
      <c r="J55" s="79"/>
      <c r="K55" s="80"/>
      <c r="M55" s="78"/>
      <c r="N55" s="78"/>
      <c r="O55" s="78"/>
      <c r="P55" s="78"/>
      <c r="Q55" s="78"/>
      <c r="R55" s="78"/>
    </row>
    <row r="56" spans="1:18" s="81" customFormat="1" ht="13.5" x14ac:dyDescent="0.3">
      <c r="A56" s="84"/>
      <c r="B56" s="84"/>
      <c r="C56" s="78" t="s">
        <v>42</v>
      </c>
      <c r="D56" s="78"/>
      <c r="E56" s="78"/>
      <c r="F56" s="78"/>
      <c r="G56" s="78"/>
      <c r="H56" s="78"/>
      <c r="I56" s="78"/>
      <c r="J56" s="79">
        <f>J58-J57</f>
        <v>190.5</v>
      </c>
      <c r="K56" s="80" t="s">
        <v>24</v>
      </c>
      <c r="M56" s="229" t="s">
        <v>407</v>
      </c>
      <c r="N56" s="229"/>
      <c r="O56" s="78"/>
      <c r="P56" s="78"/>
      <c r="Q56" s="78"/>
      <c r="R56" s="78"/>
    </row>
    <row r="57" spans="1:18" s="81" customFormat="1" ht="13.5" x14ac:dyDescent="0.3">
      <c r="A57" s="84"/>
      <c r="B57" s="84"/>
      <c r="C57" s="78"/>
      <c r="D57" s="78" t="s">
        <v>49</v>
      </c>
      <c r="E57" s="78"/>
      <c r="F57" s="78"/>
      <c r="G57" s="78"/>
      <c r="H57" s="78"/>
      <c r="I57" s="78"/>
      <c r="J57" s="79">
        <f>J12</f>
        <v>38.1</v>
      </c>
      <c r="K57" s="80" t="s">
        <v>24</v>
      </c>
      <c r="M57" s="228" t="s">
        <v>410</v>
      </c>
      <c r="N57" s="228"/>
      <c r="O57" s="78"/>
      <c r="P57" s="78"/>
      <c r="Q57" s="78"/>
      <c r="R57" s="78"/>
    </row>
    <row r="58" spans="1:18" s="81" customFormat="1" ht="13.5" x14ac:dyDescent="0.3">
      <c r="A58" s="84"/>
      <c r="B58" s="84"/>
      <c r="C58" s="78" t="s">
        <v>44</v>
      </c>
      <c r="D58" s="78"/>
      <c r="E58" s="78"/>
      <c r="F58" s="78"/>
      <c r="G58" s="78"/>
      <c r="H58" s="78"/>
      <c r="I58" s="78"/>
      <c r="J58" s="79">
        <f>J10/2</f>
        <v>228.6</v>
      </c>
      <c r="K58" s="80" t="s">
        <v>24</v>
      </c>
      <c r="M58" s="170" t="s">
        <v>408</v>
      </c>
      <c r="N58" s="170" t="s">
        <v>409</v>
      </c>
      <c r="O58" s="78"/>
      <c r="P58" s="78"/>
      <c r="Q58" s="78"/>
      <c r="R58" s="78"/>
    </row>
    <row r="59" spans="1:18" s="81" customFormat="1" ht="13.5" x14ac:dyDescent="0.3">
      <c r="A59" s="84"/>
      <c r="B59" s="84"/>
      <c r="C59" s="78" t="s">
        <v>46</v>
      </c>
      <c r="D59" s="78"/>
      <c r="E59" s="78"/>
      <c r="F59" s="78"/>
      <c r="G59" s="78"/>
      <c r="H59" s="78"/>
      <c r="I59" s="78"/>
      <c r="J59" s="87">
        <f>N59</f>
        <v>448.05</v>
      </c>
      <c r="K59" s="80" t="s">
        <v>47</v>
      </c>
      <c r="M59" s="171">
        <f>J58+J60</f>
        <v>453.6</v>
      </c>
      <c r="N59" s="172">
        <f>M59+IF(AND(M59*2&gt;=73,M59*2&lt;=194),-4.8,IF(AND(M59*2&gt;=194,M59*2&lt;=381),-6.4,IF(AND(M59*2&gt;=381,M59*2&lt;=533),-7.9,IF(AND(M59*2&gt;=533,M59*2&lt;=762),-9.5,IF(M59*2&gt;=762,-11.1,0)))))/2</f>
        <v>448.05</v>
      </c>
      <c r="O59" s="78"/>
      <c r="P59" s="78"/>
      <c r="Q59" s="78"/>
      <c r="R59" s="78"/>
    </row>
    <row r="60" spans="1:18" s="81" customFormat="1" ht="13.5" x14ac:dyDescent="0.3">
      <c r="A60" s="84"/>
      <c r="B60" s="84"/>
      <c r="C60" s="78"/>
      <c r="D60" s="78" t="s">
        <v>48</v>
      </c>
      <c r="E60" s="78"/>
      <c r="F60" s="78"/>
      <c r="G60" s="78"/>
      <c r="H60" s="78"/>
      <c r="I60" s="78"/>
      <c r="J60" s="87">
        <f>J19</f>
        <v>225</v>
      </c>
      <c r="K60" s="80" t="s">
        <v>24</v>
      </c>
      <c r="M60" s="72"/>
      <c r="N60" s="72"/>
      <c r="O60" s="78"/>
      <c r="P60" s="78"/>
      <c r="Q60" s="78"/>
      <c r="R60" s="78"/>
    </row>
    <row r="61" spans="1:18" s="81" customFormat="1" ht="13.5" x14ac:dyDescent="0.3">
      <c r="A61" s="84"/>
      <c r="B61" s="84"/>
      <c r="C61" s="86" t="s">
        <v>265</v>
      </c>
      <c r="D61" s="78"/>
      <c r="E61" s="78"/>
      <c r="F61" s="78"/>
      <c r="G61" s="78"/>
      <c r="H61" s="78"/>
      <c r="I61" s="78"/>
      <c r="J61" s="87"/>
      <c r="K61" s="80"/>
      <c r="M61" s="78"/>
      <c r="N61" s="78"/>
      <c r="O61" s="78"/>
      <c r="P61" s="78"/>
      <c r="Q61" s="78"/>
      <c r="R61" s="78"/>
    </row>
    <row r="62" spans="1:18" s="81" customFormat="1" ht="13.5" x14ac:dyDescent="0.3">
      <c r="A62" s="84"/>
      <c r="B62" s="84"/>
      <c r="C62" s="78" t="s">
        <v>266</v>
      </c>
      <c r="D62" s="78"/>
      <c r="E62" s="78"/>
      <c r="F62" s="78"/>
      <c r="G62" s="78"/>
      <c r="H62" s="78"/>
      <c r="I62" s="78"/>
      <c r="J62" s="87">
        <f>J20</f>
        <v>200</v>
      </c>
      <c r="K62" s="80" t="s">
        <v>267</v>
      </c>
      <c r="M62" s="78"/>
      <c r="N62" s="78"/>
      <c r="O62" s="78"/>
      <c r="P62" s="78"/>
      <c r="Q62" s="78"/>
      <c r="R62" s="78"/>
    </row>
    <row r="63" spans="1:18" s="78" customFormat="1" ht="13.5" x14ac:dyDescent="0.3">
      <c r="A63" s="84"/>
      <c r="B63" s="84"/>
      <c r="C63" s="86" t="s">
        <v>130</v>
      </c>
      <c r="J63" s="79"/>
      <c r="K63" s="80"/>
      <c r="L63" s="81"/>
    </row>
    <row r="64" spans="1:18" s="78" customFormat="1" ht="13.5" x14ac:dyDescent="0.3">
      <c r="A64" s="84"/>
      <c r="B64" s="84"/>
      <c r="C64" s="78" t="s">
        <v>51</v>
      </c>
      <c r="J64" s="79">
        <f>_xll.StmPTK(J65,J66,1)</f>
        <v>8.5392569758560397E-2</v>
      </c>
      <c r="K64" s="80" t="s">
        <v>52</v>
      </c>
      <c r="L64" s="81"/>
    </row>
    <row r="65" spans="1:18" s="78" customFormat="1" ht="13.5" x14ac:dyDescent="0.3">
      <c r="A65" s="84"/>
      <c r="B65" s="84"/>
      <c r="D65" s="78" t="s">
        <v>32</v>
      </c>
      <c r="J65" s="79">
        <f>J44</f>
        <v>127.41</v>
      </c>
      <c r="K65" s="80" t="s">
        <v>28</v>
      </c>
      <c r="L65" s="81"/>
    </row>
    <row r="66" spans="1:18" s="78" customFormat="1" ht="13.5" x14ac:dyDescent="0.3">
      <c r="A66" s="84"/>
      <c r="B66" s="84"/>
      <c r="D66" s="78" t="s">
        <v>34</v>
      </c>
      <c r="J66" s="79">
        <f>J48</f>
        <v>567.70000000000005</v>
      </c>
      <c r="K66" s="80" t="s">
        <v>18</v>
      </c>
      <c r="L66" s="81"/>
    </row>
    <row r="67" spans="1:18" s="78" customFormat="1" ht="13.5" x14ac:dyDescent="0.3">
      <c r="A67" s="84"/>
      <c r="B67" s="84"/>
      <c r="C67" s="78" t="s">
        <v>53</v>
      </c>
      <c r="J67" s="79">
        <v>51</v>
      </c>
      <c r="K67" s="80" t="s">
        <v>52</v>
      </c>
      <c r="L67" s="81" t="s">
        <v>412</v>
      </c>
    </row>
    <row r="68" spans="1:18" s="78" customFormat="1" ht="13.5" x14ac:dyDescent="0.3">
      <c r="A68" s="84"/>
      <c r="B68" s="84"/>
      <c r="C68" s="78" t="s">
        <v>55</v>
      </c>
      <c r="J68" s="79">
        <f>J148</f>
        <v>0.10617433763022484</v>
      </c>
      <c r="K68" s="80" t="s">
        <v>125</v>
      </c>
      <c r="L68" s="81"/>
    </row>
    <row r="69" spans="1:18" s="78" customFormat="1" ht="13.5" x14ac:dyDescent="0.3">
      <c r="A69" s="84"/>
      <c r="B69" s="84"/>
      <c r="C69" s="78" t="s">
        <v>128</v>
      </c>
      <c r="J69" s="79">
        <f>_xll.AirPTWK(J70,J71,_xll.AirPTRW(J70,J71,J72/100,1),1)</f>
        <v>2.5308480748583394E-2</v>
      </c>
      <c r="K69" s="80" t="s">
        <v>52</v>
      </c>
      <c r="L69" s="81"/>
    </row>
    <row r="70" spans="1:18" s="78" customFormat="1" ht="13.5" x14ac:dyDescent="0.3">
      <c r="A70" s="84"/>
      <c r="B70" s="84"/>
      <c r="D70" s="78" t="s">
        <v>35</v>
      </c>
      <c r="J70" s="79">
        <f>J46</f>
        <v>1.0129999999999999</v>
      </c>
      <c r="K70" s="80" t="s">
        <v>28</v>
      </c>
      <c r="L70" s="81"/>
    </row>
    <row r="71" spans="1:18" s="81" customFormat="1" ht="13.5" x14ac:dyDescent="0.3">
      <c r="A71" s="84"/>
      <c r="B71" s="84"/>
      <c r="C71" s="78"/>
      <c r="D71" s="78" t="s">
        <v>39</v>
      </c>
      <c r="E71" s="78"/>
      <c r="F71" s="78"/>
      <c r="G71" s="78"/>
      <c r="H71" s="78"/>
      <c r="I71" s="78"/>
      <c r="J71" s="79">
        <f>J50</f>
        <v>15</v>
      </c>
      <c r="K71" s="80" t="s">
        <v>18</v>
      </c>
      <c r="M71" s="78"/>
      <c r="N71" s="78"/>
      <c r="O71" s="78"/>
      <c r="P71" s="78"/>
      <c r="Q71" s="78"/>
      <c r="R71" s="78"/>
    </row>
    <row r="72" spans="1:18" s="81" customFormat="1" ht="13.5" x14ac:dyDescent="0.3">
      <c r="A72" s="84"/>
      <c r="B72" s="84"/>
      <c r="C72" s="78"/>
      <c r="D72" s="78" t="s">
        <v>365</v>
      </c>
      <c r="E72" s="78"/>
      <c r="F72" s="78"/>
      <c r="G72" s="78"/>
      <c r="H72" s="78"/>
      <c r="I72" s="78"/>
      <c r="J72" s="79">
        <f>J7</f>
        <v>60</v>
      </c>
      <c r="K72" s="80" t="s">
        <v>359</v>
      </c>
      <c r="M72" s="78"/>
      <c r="N72" s="78"/>
      <c r="O72" s="78"/>
      <c r="P72" s="78"/>
      <c r="Q72" s="78"/>
      <c r="R72" s="78"/>
    </row>
    <row r="73" spans="1:18" s="81" customFormat="1" ht="13.5" x14ac:dyDescent="0.3">
      <c r="A73" s="84"/>
      <c r="B73" s="84"/>
      <c r="C73" s="86" t="s">
        <v>129</v>
      </c>
      <c r="D73" s="78"/>
      <c r="E73" s="78"/>
      <c r="F73" s="78"/>
      <c r="G73" s="78"/>
      <c r="H73" s="78"/>
      <c r="I73" s="78"/>
      <c r="J73" s="79"/>
      <c r="K73" s="80"/>
      <c r="M73" s="78"/>
      <c r="N73" s="78"/>
      <c r="O73" s="78"/>
      <c r="P73" s="78"/>
      <c r="Q73" s="78"/>
      <c r="R73" s="78"/>
    </row>
    <row r="74" spans="1:18" s="81" customFormat="1" ht="13.5" x14ac:dyDescent="0.3">
      <c r="A74" s="84"/>
      <c r="B74" s="84"/>
      <c r="C74" s="78" t="s">
        <v>135</v>
      </c>
      <c r="D74" s="78"/>
      <c r="E74" s="78"/>
      <c r="F74" s="78"/>
      <c r="G74" s="78"/>
      <c r="H74" s="78"/>
      <c r="I74" s="78"/>
      <c r="J74" s="79">
        <f>J77*J75/(J76/1000)</f>
        <v>3143.5310769815069</v>
      </c>
      <c r="K74" s="80" t="s">
        <v>200</v>
      </c>
      <c r="M74" s="78"/>
      <c r="N74" s="78"/>
      <c r="O74" s="78"/>
      <c r="P74" s="78"/>
      <c r="Q74" s="78"/>
      <c r="R74" s="78"/>
    </row>
    <row r="75" spans="1:18" s="81" customFormat="1" ht="13.5" x14ac:dyDescent="0.3">
      <c r="A75" s="84"/>
      <c r="B75" s="84"/>
      <c r="C75" s="78"/>
      <c r="D75" s="78" t="s">
        <v>136</v>
      </c>
      <c r="E75" s="78"/>
      <c r="F75" s="78"/>
      <c r="G75" s="78"/>
      <c r="H75" s="78"/>
      <c r="I75" s="78"/>
      <c r="J75" s="79">
        <f>J64</f>
        <v>8.5392569758560397E-2</v>
      </c>
      <c r="K75" s="80" t="s">
        <v>52</v>
      </c>
      <c r="M75" s="78"/>
      <c r="N75" s="78"/>
      <c r="O75" s="78"/>
      <c r="P75" s="78"/>
      <c r="Q75" s="78"/>
      <c r="R75" s="78"/>
    </row>
    <row r="76" spans="1:18" s="81" customFormat="1" ht="13.5" x14ac:dyDescent="0.3">
      <c r="A76" s="84"/>
      <c r="B76" s="84"/>
      <c r="C76" s="78"/>
      <c r="D76" s="78" t="s">
        <v>137</v>
      </c>
      <c r="E76" s="78"/>
      <c r="F76" s="78"/>
      <c r="G76" s="78"/>
      <c r="H76" s="78"/>
      <c r="I76" s="78"/>
      <c r="J76" s="79">
        <f>J56*2</f>
        <v>381</v>
      </c>
      <c r="K76" s="80" t="s">
        <v>21</v>
      </c>
      <c r="M76" s="78"/>
      <c r="N76" s="78"/>
      <c r="O76" s="78"/>
      <c r="P76" s="78"/>
      <c r="Q76" s="78"/>
      <c r="R76" s="78"/>
    </row>
    <row r="77" spans="1:18" s="81" customFormat="1" ht="13.5" x14ac:dyDescent="0.3">
      <c r="A77" s="84"/>
      <c r="B77" s="84"/>
      <c r="C77" s="78"/>
      <c r="D77" s="78" t="s">
        <v>138</v>
      </c>
      <c r="E77" s="78"/>
      <c r="F77" s="78"/>
      <c r="G77" s="78"/>
      <c r="H77" s="78"/>
      <c r="I77" s="78"/>
      <c r="J77" s="79">
        <f>0.023*J78^0.8*J89^0.4</f>
        <v>14025.638808110576</v>
      </c>
      <c r="K77" s="80" t="s">
        <v>25</v>
      </c>
      <c r="M77" s="78"/>
      <c r="N77" s="78"/>
      <c r="O77" s="78"/>
      <c r="P77" s="78"/>
      <c r="Q77" s="78"/>
      <c r="R77" s="78"/>
    </row>
    <row r="78" spans="1:18" s="81" customFormat="1" ht="13.5" x14ac:dyDescent="0.3">
      <c r="A78" s="84"/>
      <c r="B78" s="84"/>
      <c r="C78" s="78"/>
      <c r="D78" s="78"/>
      <c r="E78" s="78" t="s">
        <v>139</v>
      </c>
      <c r="F78" s="78"/>
      <c r="G78" s="78"/>
      <c r="H78" s="78"/>
      <c r="I78" s="78"/>
      <c r="J78" s="79">
        <f>J80*J83*J88/J79</f>
        <v>17324548.567210246</v>
      </c>
      <c r="K78" s="80"/>
      <c r="M78" s="78"/>
      <c r="N78" s="78"/>
      <c r="O78" s="78"/>
      <c r="P78" s="78"/>
      <c r="Q78" s="78"/>
      <c r="R78" s="78"/>
    </row>
    <row r="79" spans="1:18" s="81" customFormat="1" ht="13.5" x14ac:dyDescent="0.3">
      <c r="A79" s="84"/>
      <c r="B79" s="84"/>
      <c r="C79" s="78"/>
      <c r="D79" s="78"/>
      <c r="E79" s="78"/>
      <c r="F79" s="78" t="s">
        <v>140</v>
      </c>
      <c r="G79" s="78"/>
      <c r="H79" s="78"/>
      <c r="I79" s="78"/>
      <c r="J79" s="79">
        <f>_xll.StmPTM(J81,J82,1)</f>
        <v>3.1999302680217612E-2</v>
      </c>
      <c r="K79" s="80" t="s">
        <v>145</v>
      </c>
      <c r="M79" s="78"/>
      <c r="N79" s="78"/>
      <c r="O79" s="78"/>
      <c r="P79" s="78"/>
      <c r="Q79" s="78"/>
      <c r="R79" s="78"/>
    </row>
    <row r="80" spans="1:18" s="81" customFormat="1" ht="13.5" x14ac:dyDescent="0.3">
      <c r="A80" s="84"/>
      <c r="B80" s="84"/>
      <c r="C80" s="78"/>
      <c r="D80" s="78"/>
      <c r="E80" s="78"/>
      <c r="F80" s="78" t="s">
        <v>141</v>
      </c>
      <c r="G80" s="78"/>
      <c r="H80" s="78"/>
      <c r="I80" s="78"/>
      <c r="J80" s="79">
        <f>1/_xll.StmPTV(J81,J82,1)</f>
        <v>35.384566458586228</v>
      </c>
      <c r="K80" s="80" t="s">
        <v>146</v>
      </c>
      <c r="M80" s="78"/>
      <c r="N80" s="78"/>
      <c r="O80" s="78"/>
      <c r="P80" s="78"/>
      <c r="Q80" s="78"/>
      <c r="R80" s="78"/>
    </row>
    <row r="81" spans="1:18" s="81" customFormat="1" ht="13.5" x14ac:dyDescent="0.3">
      <c r="A81" s="84"/>
      <c r="B81" s="84"/>
      <c r="C81" s="78"/>
      <c r="D81" s="78"/>
      <c r="E81" s="78"/>
      <c r="F81" s="78"/>
      <c r="G81" s="78" t="s">
        <v>32</v>
      </c>
      <c r="H81" s="78"/>
      <c r="I81" s="78"/>
      <c r="J81" s="79">
        <f>J44</f>
        <v>127.41</v>
      </c>
      <c r="K81" s="80" t="s">
        <v>28</v>
      </c>
      <c r="M81" s="78"/>
      <c r="N81" s="78"/>
      <c r="O81" s="78"/>
      <c r="P81" s="78"/>
      <c r="Q81" s="78"/>
      <c r="R81" s="78"/>
    </row>
    <row r="82" spans="1:18" s="81" customFormat="1" ht="13.5" x14ac:dyDescent="0.3">
      <c r="A82" s="84"/>
      <c r="B82" s="84"/>
      <c r="C82" s="78"/>
      <c r="D82" s="78"/>
      <c r="E82" s="78"/>
      <c r="F82" s="78"/>
      <c r="G82" s="78" t="s">
        <v>144</v>
      </c>
      <c r="H82" s="78"/>
      <c r="I82" s="78"/>
      <c r="J82" s="79">
        <f>J48</f>
        <v>567.70000000000005</v>
      </c>
      <c r="K82" s="80" t="s">
        <v>18</v>
      </c>
      <c r="M82" s="78"/>
      <c r="N82" s="78"/>
      <c r="O82" s="78"/>
      <c r="P82" s="78"/>
      <c r="Q82" s="78"/>
      <c r="R82" s="78"/>
    </row>
    <row r="83" spans="1:18" s="81" customFormat="1" ht="13.5" x14ac:dyDescent="0.3">
      <c r="A83" s="84"/>
      <c r="B83" s="84"/>
      <c r="C83" s="78"/>
      <c r="D83" s="78"/>
      <c r="E83" s="78"/>
      <c r="F83" s="78" t="s">
        <v>142</v>
      </c>
      <c r="G83" s="78"/>
      <c r="H83" s="78"/>
      <c r="I83" s="78"/>
      <c r="J83" s="79">
        <f>J87/3600/J85</f>
        <v>41.12099234896413</v>
      </c>
      <c r="K83" s="80" t="s">
        <v>19</v>
      </c>
      <c r="M83" s="78"/>
      <c r="N83" s="78"/>
      <c r="O83" s="78"/>
      <c r="P83" s="78"/>
      <c r="Q83" s="78"/>
      <c r="R83" s="78"/>
    </row>
    <row r="84" spans="1:18" s="81" customFormat="1" ht="13.5" x14ac:dyDescent="0.3">
      <c r="A84" s="84"/>
      <c r="B84" s="84"/>
      <c r="C84" s="78"/>
      <c r="D84" s="78"/>
      <c r="E84" s="78"/>
      <c r="F84" s="78"/>
      <c r="G84" s="78" t="s">
        <v>147</v>
      </c>
      <c r="H84" s="78"/>
      <c r="I84" s="78"/>
      <c r="J84" s="79">
        <f>J56*2</f>
        <v>381</v>
      </c>
      <c r="K84" s="80" t="s">
        <v>21</v>
      </c>
      <c r="M84" s="78"/>
      <c r="N84" s="78"/>
      <c r="O84" s="78"/>
      <c r="P84" s="78"/>
      <c r="Q84" s="78"/>
      <c r="R84" s="78"/>
    </row>
    <row r="85" spans="1:18" s="81" customFormat="1" ht="13.5" x14ac:dyDescent="0.3">
      <c r="A85" s="84"/>
      <c r="B85" s="84"/>
      <c r="C85" s="78"/>
      <c r="D85" s="78"/>
      <c r="E85" s="78"/>
      <c r="F85" s="78"/>
      <c r="G85" s="78" t="s">
        <v>151</v>
      </c>
      <c r="H85" s="78"/>
      <c r="I85" s="78"/>
      <c r="J85" s="79">
        <f>PI()/4*(J84/1000)^2</f>
        <v>0.114009182796937</v>
      </c>
      <c r="K85" s="80" t="s">
        <v>148</v>
      </c>
      <c r="M85" s="78"/>
      <c r="N85" s="78"/>
      <c r="O85" s="78"/>
      <c r="P85" s="78"/>
      <c r="Q85" s="78"/>
      <c r="R85" s="78"/>
    </row>
    <row r="86" spans="1:18" s="81" customFormat="1" ht="13.5" x14ac:dyDescent="0.3">
      <c r="A86" s="84"/>
      <c r="B86" s="84"/>
      <c r="C86" s="78"/>
      <c r="D86" s="78"/>
      <c r="E86" s="78"/>
      <c r="F86" s="78"/>
      <c r="G86" s="78" t="s">
        <v>152</v>
      </c>
      <c r="H86" s="78"/>
      <c r="I86" s="78"/>
      <c r="J86" s="79">
        <f>J16</f>
        <v>597.20000000000005</v>
      </c>
      <c r="K86" s="80" t="s">
        <v>149</v>
      </c>
      <c r="M86" s="78"/>
      <c r="N86" s="78"/>
      <c r="O86" s="78"/>
      <c r="P86" s="78"/>
      <c r="Q86" s="78"/>
      <c r="R86" s="78"/>
    </row>
    <row r="87" spans="1:18" s="81" customFormat="1" ht="13.5" x14ac:dyDescent="0.3">
      <c r="A87" s="84"/>
      <c r="B87" s="84"/>
      <c r="C87" s="78"/>
      <c r="D87" s="78"/>
      <c r="E87" s="78"/>
      <c r="F87" s="78"/>
      <c r="G87" s="78"/>
      <c r="H87" s="78"/>
      <c r="I87" s="78"/>
      <c r="J87" s="79">
        <f>J86*1000/J80</f>
        <v>16877.414640616196</v>
      </c>
      <c r="K87" s="80" t="s">
        <v>150</v>
      </c>
      <c r="M87" s="78"/>
      <c r="N87" s="78"/>
      <c r="O87" s="78"/>
      <c r="P87" s="78"/>
      <c r="Q87" s="78"/>
      <c r="R87" s="78"/>
    </row>
    <row r="88" spans="1:18" s="81" customFormat="1" ht="13.5" x14ac:dyDescent="0.3">
      <c r="A88" s="84"/>
      <c r="B88" s="84"/>
      <c r="C88" s="78"/>
      <c r="D88" s="78"/>
      <c r="E88" s="78"/>
      <c r="F88" s="78" t="s">
        <v>143</v>
      </c>
      <c r="G88" s="78"/>
      <c r="H88" s="78"/>
      <c r="I88" s="78"/>
      <c r="J88" s="79">
        <f>J56*2</f>
        <v>381</v>
      </c>
      <c r="K88" s="80" t="s">
        <v>24</v>
      </c>
      <c r="M88" s="78"/>
      <c r="N88" s="78"/>
      <c r="O88" s="78"/>
      <c r="P88" s="78"/>
      <c r="Q88" s="78"/>
      <c r="R88" s="78"/>
    </row>
    <row r="89" spans="1:18" s="81" customFormat="1" ht="13.5" x14ac:dyDescent="0.3">
      <c r="A89" s="84"/>
      <c r="B89" s="84"/>
      <c r="C89" s="78"/>
      <c r="D89" s="78"/>
      <c r="E89" s="78" t="s">
        <v>153</v>
      </c>
      <c r="F89" s="78"/>
      <c r="G89" s="78"/>
      <c r="H89" s="78"/>
      <c r="I89" s="78"/>
      <c r="J89" s="79">
        <f>J90*J91/J94</f>
        <v>0.96752719940506537</v>
      </c>
      <c r="K89" s="80" t="s">
        <v>117</v>
      </c>
      <c r="M89" s="78"/>
      <c r="N89" s="78"/>
      <c r="O89" s="78"/>
      <c r="P89" s="78"/>
      <c r="Q89" s="78"/>
      <c r="R89" s="78"/>
    </row>
    <row r="90" spans="1:18" s="81" customFormat="1" ht="13.5" x14ac:dyDescent="0.3">
      <c r="A90" s="84"/>
      <c r="B90" s="84"/>
      <c r="C90" s="78"/>
      <c r="D90" s="78"/>
      <c r="E90" s="78"/>
      <c r="F90" s="78" t="s">
        <v>140</v>
      </c>
      <c r="G90" s="78"/>
      <c r="H90" s="78"/>
      <c r="I90" s="78"/>
      <c r="J90" s="79">
        <f>J79</f>
        <v>3.1999302680217612E-2</v>
      </c>
      <c r="K90" s="80" t="s">
        <v>155</v>
      </c>
      <c r="M90" s="78"/>
      <c r="N90" s="78"/>
      <c r="O90" s="78"/>
      <c r="P90" s="78"/>
      <c r="Q90" s="78"/>
      <c r="R90" s="78"/>
    </row>
    <row r="91" spans="1:18" s="81" customFormat="1" ht="13.5" x14ac:dyDescent="0.3">
      <c r="A91" s="84"/>
      <c r="B91" s="84"/>
      <c r="C91" s="78"/>
      <c r="D91" s="78"/>
      <c r="E91" s="78"/>
      <c r="F91" s="78" t="s">
        <v>154</v>
      </c>
      <c r="G91" s="78"/>
      <c r="H91" s="78"/>
      <c r="I91" s="78"/>
      <c r="J91" s="79">
        <f>_xll.StmPTC(J92,J93,1)</f>
        <v>2.5819198216334307</v>
      </c>
      <c r="K91" s="80" t="s">
        <v>156</v>
      </c>
      <c r="M91" s="78"/>
      <c r="N91" s="78"/>
      <c r="O91" s="78"/>
      <c r="P91" s="78"/>
      <c r="Q91" s="78"/>
      <c r="R91" s="78"/>
    </row>
    <row r="92" spans="1:18" s="81" customFormat="1" ht="13.5" x14ac:dyDescent="0.3">
      <c r="A92" s="84"/>
      <c r="B92" s="84"/>
      <c r="C92" s="78"/>
      <c r="D92" s="78"/>
      <c r="E92" s="78"/>
      <c r="F92" s="78"/>
      <c r="G92" s="78" t="s">
        <v>32</v>
      </c>
      <c r="H92" s="78"/>
      <c r="I92" s="78"/>
      <c r="J92" s="79">
        <f>J65</f>
        <v>127.41</v>
      </c>
      <c r="K92" s="80" t="s">
        <v>17</v>
      </c>
      <c r="M92" s="78"/>
      <c r="N92" s="78"/>
      <c r="O92" s="78"/>
      <c r="P92" s="78"/>
      <c r="Q92" s="78"/>
      <c r="R92" s="78"/>
    </row>
    <row r="93" spans="1:18" s="81" customFormat="1" ht="13.5" x14ac:dyDescent="0.3">
      <c r="A93" s="84"/>
      <c r="B93" s="84"/>
      <c r="C93" s="78"/>
      <c r="D93" s="78"/>
      <c r="E93" s="78"/>
      <c r="F93" s="78"/>
      <c r="G93" s="78" t="s">
        <v>144</v>
      </c>
      <c r="H93" s="78"/>
      <c r="I93" s="78"/>
      <c r="J93" s="79">
        <f>J66</f>
        <v>567.70000000000005</v>
      </c>
      <c r="K93" s="80" t="s">
        <v>18</v>
      </c>
      <c r="M93" s="78"/>
      <c r="N93" s="78"/>
      <c r="O93" s="78"/>
      <c r="P93" s="78"/>
      <c r="Q93" s="78"/>
      <c r="R93" s="78"/>
    </row>
    <row r="94" spans="1:18" s="81" customFormat="1" ht="13.5" x14ac:dyDescent="0.3">
      <c r="A94" s="84"/>
      <c r="B94" s="84"/>
      <c r="C94" s="78"/>
      <c r="D94" s="78"/>
      <c r="E94" s="78"/>
      <c r="F94" s="78" t="s">
        <v>50</v>
      </c>
      <c r="G94" s="78"/>
      <c r="H94" s="78"/>
      <c r="I94" s="78"/>
      <c r="J94" s="79">
        <f>J64</f>
        <v>8.5392569758560397E-2</v>
      </c>
      <c r="K94" s="80" t="s">
        <v>125</v>
      </c>
      <c r="M94" s="78"/>
      <c r="N94" s="78"/>
      <c r="O94" s="78"/>
      <c r="P94" s="78"/>
      <c r="Q94" s="78"/>
      <c r="R94" s="78"/>
    </row>
    <row r="95" spans="1:18" s="81" customFormat="1" ht="13.5" x14ac:dyDescent="0.3">
      <c r="A95" s="84"/>
      <c r="B95" s="84"/>
      <c r="C95" s="78" t="s">
        <v>157</v>
      </c>
      <c r="D95" s="78"/>
      <c r="E95" s="78"/>
      <c r="F95" s="78"/>
      <c r="G95" s="78"/>
      <c r="H95" s="78"/>
      <c r="I95" s="78"/>
      <c r="J95" s="79">
        <f>J98*J97/(J96/1000)</f>
        <v>4.5606681958202735</v>
      </c>
      <c r="K95" s="80"/>
      <c r="M95" s="78"/>
      <c r="N95" s="78"/>
      <c r="O95" s="78"/>
      <c r="P95" s="78"/>
      <c r="Q95" s="78"/>
      <c r="R95" s="78"/>
    </row>
    <row r="96" spans="1:18" s="81" customFormat="1" ht="13.5" x14ac:dyDescent="0.3">
      <c r="A96" s="84"/>
      <c r="B96" s="84"/>
      <c r="C96" s="78"/>
      <c r="D96" s="78" t="s">
        <v>159</v>
      </c>
      <c r="E96" s="78"/>
      <c r="F96" s="78"/>
      <c r="G96" s="78"/>
      <c r="H96" s="78"/>
      <c r="I96" s="78"/>
      <c r="J96" s="79">
        <f>J59*2</f>
        <v>896.1</v>
      </c>
      <c r="K96" s="80" t="s">
        <v>24</v>
      </c>
      <c r="M96" s="78"/>
      <c r="N96" s="78"/>
      <c r="O96" s="78"/>
      <c r="P96" s="78"/>
      <c r="Q96" s="78"/>
      <c r="R96" s="78"/>
    </row>
    <row r="97" spans="4:18" x14ac:dyDescent="0.3">
      <c r="D97" s="78" t="s">
        <v>160</v>
      </c>
      <c r="J97" s="79">
        <f>J69</f>
        <v>2.5308480748583394E-2</v>
      </c>
      <c r="K97" s="80" t="s">
        <v>125</v>
      </c>
    </row>
    <row r="98" spans="4:18" x14ac:dyDescent="0.3">
      <c r="D98" s="78" t="s">
        <v>161</v>
      </c>
      <c r="J98" s="79">
        <f>IF(J99=0,J101,J117)</f>
        <v>161.48005132640372</v>
      </c>
      <c r="K98" s="80" t="s">
        <v>25</v>
      </c>
      <c r="L98" s="81" t="s">
        <v>167</v>
      </c>
    </row>
    <row r="99" spans="4:18" x14ac:dyDescent="0.3">
      <c r="E99" s="78" t="s">
        <v>188</v>
      </c>
      <c r="J99" s="79">
        <f>J54</f>
        <v>0</v>
      </c>
      <c r="K99" s="80" t="s">
        <v>19</v>
      </c>
    </row>
    <row r="100" spans="4:18" x14ac:dyDescent="0.3">
      <c r="D100" s="78" t="s">
        <v>210</v>
      </c>
    </row>
    <row r="101" spans="4:18" x14ac:dyDescent="0.3">
      <c r="D101" s="78" t="s">
        <v>162</v>
      </c>
      <c r="J101" s="79">
        <f>(0.6+(0.387*J106^(1/6))/(1+(0.559/J102)^(9/16))^(8/27))^2</f>
        <v>161.48005132640372</v>
      </c>
      <c r="K101" s="80" t="s">
        <v>25</v>
      </c>
      <c r="R101" s="78" t="s">
        <v>185</v>
      </c>
    </row>
    <row r="102" spans="4:18" x14ac:dyDescent="0.3">
      <c r="E102" s="78" t="s">
        <v>164</v>
      </c>
      <c r="J102" s="79">
        <f>J103*J104/J105</f>
        <v>0.71290773409229335</v>
      </c>
      <c r="K102" s="80" t="s">
        <v>25</v>
      </c>
    </row>
    <row r="103" spans="4:18" x14ac:dyDescent="0.3">
      <c r="F103" s="78" t="s">
        <v>165</v>
      </c>
      <c r="J103" s="79">
        <f>_xll.AirPTWM(J70,J71,_xll.AirPTRW(J70,J71,J72/100,1),1)</f>
        <v>1.7724376764078394E-2</v>
      </c>
      <c r="K103" s="80" t="s">
        <v>145</v>
      </c>
    </row>
    <row r="104" spans="4:18" x14ac:dyDescent="0.3">
      <c r="F104" s="78" t="s">
        <v>166</v>
      </c>
      <c r="J104" s="79">
        <f>_xll.AirPTWC(J70,J71,_xll.AirPTRW(J70,J71,J72/100,1),1)</f>
        <v>1.0179546453987358</v>
      </c>
      <c r="K104" s="80" t="s">
        <v>168</v>
      </c>
    </row>
    <row r="105" spans="4:18" x14ac:dyDescent="0.3">
      <c r="F105" s="78" t="s">
        <v>127</v>
      </c>
      <c r="J105" s="79">
        <f>J69</f>
        <v>2.5308480748583394E-2</v>
      </c>
      <c r="K105" s="80" t="s">
        <v>125</v>
      </c>
    </row>
    <row r="106" spans="4:18" x14ac:dyDescent="0.3">
      <c r="E106" s="78" t="s">
        <v>169</v>
      </c>
      <c r="J106" s="79">
        <f>J107*J115</f>
        <v>2859006996.1160078</v>
      </c>
      <c r="K106" s="80" t="s">
        <v>25</v>
      </c>
    </row>
    <row r="107" spans="4:18" x14ac:dyDescent="0.3">
      <c r="F107" s="78" t="s">
        <v>170</v>
      </c>
      <c r="J107" s="88">
        <f>ABS((J108/1000)^3*J109^2*J110*(J111-J112)*J113/(J114*10^(-3))^2)</f>
        <v>4010346443.7178903</v>
      </c>
      <c r="K107" s="80" t="s">
        <v>25</v>
      </c>
      <c r="P107" s="93"/>
    </row>
    <row r="108" spans="4:18" x14ac:dyDescent="0.3">
      <c r="G108" s="78" t="s">
        <v>158</v>
      </c>
      <c r="J108" s="79">
        <f>J59*2</f>
        <v>896.1</v>
      </c>
      <c r="K108" s="80" t="s">
        <v>24</v>
      </c>
    </row>
    <row r="109" spans="4:18" x14ac:dyDescent="0.3">
      <c r="G109" s="78" t="s">
        <v>171</v>
      </c>
      <c r="J109" s="79">
        <f>1/_xll.AirPTWV(J70,J71,_xll.AirPTRW(J70,J71,J72/100,1),1)</f>
        <v>1.2127926768181909</v>
      </c>
      <c r="K109" s="80" t="s">
        <v>146</v>
      </c>
    </row>
    <row r="110" spans="4:18" x14ac:dyDescent="0.3">
      <c r="G110" s="78" t="s">
        <v>172</v>
      </c>
      <c r="J110" s="79">
        <v>9.81</v>
      </c>
      <c r="K110" s="80" t="s">
        <v>174</v>
      </c>
    </row>
    <row r="111" spans="4:18" x14ac:dyDescent="0.3">
      <c r="G111" s="78" t="s">
        <v>36</v>
      </c>
      <c r="J111" s="79">
        <f>J49</f>
        <v>49.963573901922857</v>
      </c>
      <c r="K111" s="80" t="s">
        <v>18</v>
      </c>
    </row>
    <row r="112" spans="4:18" x14ac:dyDescent="0.3">
      <c r="G112" s="78" t="s">
        <v>38</v>
      </c>
      <c r="J112" s="79">
        <f>J50</f>
        <v>15</v>
      </c>
      <c r="K112" s="80" t="s">
        <v>18</v>
      </c>
    </row>
    <row r="113" spans="3:18" x14ac:dyDescent="0.3">
      <c r="G113" s="78" t="s">
        <v>173</v>
      </c>
      <c r="J113" s="79">
        <f>1/(J112+273.14)</f>
        <v>3.4705351565211357E-3</v>
      </c>
      <c r="K113" s="80" t="s">
        <v>175</v>
      </c>
    </row>
    <row r="114" spans="3:18" x14ac:dyDescent="0.3">
      <c r="G114" s="78" t="s">
        <v>165</v>
      </c>
      <c r="J114" s="79">
        <f>_xll.AirPTWM(J70,J71,_xll.AirPTRW(J70,J71,J72/100,1),1)</f>
        <v>1.7724376764078394E-2</v>
      </c>
      <c r="K114" s="80" t="s">
        <v>155</v>
      </c>
    </row>
    <row r="115" spans="3:18" x14ac:dyDescent="0.3">
      <c r="F115" s="78" t="s">
        <v>164</v>
      </c>
      <c r="J115" s="79">
        <f>J102</f>
        <v>0.71290773409229335</v>
      </c>
      <c r="K115" s="80" t="s">
        <v>25</v>
      </c>
    </row>
    <row r="116" spans="3:18" x14ac:dyDescent="0.3">
      <c r="D116" s="78" t="s">
        <v>211</v>
      </c>
    </row>
    <row r="117" spans="3:18" x14ac:dyDescent="0.3">
      <c r="D117" s="78" t="s">
        <v>176</v>
      </c>
      <c r="J117" s="79">
        <f>0.3+((J118-0.3)^4+(J125-0.3)^4)^(1/4)</f>
        <v>161.48005132640372</v>
      </c>
      <c r="K117" s="80" t="s">
        <v>117</v>
      </c>
      <c r="R117" s="78" t="s">
        <v>187</v>
      </c>
    </row>
    <row r="118" spans="3:18" x14ac:dyDescent="0.3">
      <c r="E118" s="78" t="s">
        <v>177</v>
      </c>
      <c r="J118" s="79">
        <f>0.3+(0.62*J119^(1/2)*J124^(1/3))/(1+(0.4/J124)^(2/3))^(1/4)*(1+(J119/282000)^(5/8))^(4/5)</f>
        <v>0.3</v>
      </c>
      <c r="K118" s="80" t="s">
        <v>25</v>
      </c>
      <c r="R118" s="78" t="s">
        <v>186</v>
      </c>
    </row>
    <row r="119" spans="3:18" x14ac:dyDescent="0.3">
      <c r="F119" s="78" t="s">
        <v>178</v>
      </c>
      <c r="J119" s="79">
        <f>J121*J122*J123/J120</f>
        <v>0</v>
      </c>
      <c r="K119" s="80" t="s">
        <v>183</v>
      </c>
    </row>
    <row r="120" spans="3:18" x14ac:dyDescent="0.3">
      <c r="G120" s="78" t="s">
        <v>165</v>
      </c>
      <c r="J120" s="79">
        <f>J103</f>
        <v>1.7724376764078394E-2</v>
      </c>
      <c r="K120" s="80" t="s">
        <v>182</v>
      </c>
    </row>
    <row r="121" spans="3:18" x14ac:dyDescent="0.3">
      <c r="G121" s="78" t="s">
        <v>171</v>
      </c>
      <c r="J121" s="79">
        <f>J109</f>
        <v>1.2127926768181909</v>
      </c>
      <c r="K121" s="80" t="s">
        <v>146</v>
      </c>
    </row>
    <row r="122" spans="3:18" x14ac:dyDescent="0.3">
      <c r="G122" s="78" t="s">
        <v>180</v>
      </c>
      <c r="J122" s="79">
        <f>J54</f>
        <v>0</v>
      </c>
      <c r="K122" s="80" t="s">
        <v>181</v>
      </c>
    </row>
    <row r="123" spans="3:18" x14ac:dyDescent="0.3">
      <c r="G123" s="78" t="s">
        <v>179</v>
      </c>
      <c r="J123" s="79">
        <f>J108</f>
        <v>896.1</v>
      </c>
      <c r="K123" s="80" t="s">
        <v>21</v>
      </c>
    </row>
    <row r="124" spans="3:18" x14ac:dyDescent="0.3">
      <c r="F124" s="78" t="s">
        <v>163</v>
      </c>
      <c r="J124" s="79">
        <f>J102</f>
        <v>0.71290773409229335</v>
      </c>
      <c r="K124" s="80" t="s">
        <v>25</v>
      </c>
    </row>
    <row r="125" spans="3:18" x14ac:dyDescent="0.3">
      <c r="E125" s="78" t="s">
        <v>184</v>
      </c>
      <c r="J125" s="79">
        <f>J101</f>
        <v>161.48005132640372</v>
      </c>
      <c r="K125" s="80" t="s">
        <v>25</v>
      </c>
    </row>
    <row r="126" spans="3:18" x14ac:dyDescent="0.3">
      <c r="C126" s="78" t="s">
        <v>189</v>
      </c>
      <c r="J126" s="79">
        <f>J127*J128*((J129+273.14)^4-(J130+273.14)^4)/(J129-J130)</f>
        <v>0.64955307132557372</v>
      </c>
      <c r="K126" s="80" t="s">
        <v>194</v>
      </c>
    </row>
    <row r="127" spans="3:18" x14ac:dyDescent="0.3">
      <c r="D127" s="78" t="s">
        <v>190</v>
      </c>
      <c r="J127" s="79">
        <f>J18</f>
        <v>0.1</v>
      </c>
      <c r="K127" s="80" t="s">
        <v>117</v>
      </c>
    </row>
    <row r="128" spans="3:18" x14ac:dyDescent="0.3">
      <c r="D128" s="78" t="s">
        <v>191</v>
      </c>
      <c r="J128" s="79">
        <f>5.67*10^(-8)</f>
        <v>5.6699999999999998E-8</v>
      </c>
      <c r="K128" s="80" t="s">
        <v>193</v>
      </c>
    </row>
    <row r="129" spans="1:12" s="78" customFormat="1" ht="13.5" x14ac:dyDescent="0.3">
      <c r="A129" s="84"/>
      <c r="B129" s="84"/>
      <c r="D129" s="78" t="s">
        <v>36</v>
      </c>
      <c r="J129" s="79">
        <f>J49</f>
        <v>49.963573901922857</v>
      </c>
      <c r="K129" s="80" t="s">
        <v>18</v>
      </c>
      <c r="L129" s="81"/>
    </row>
    <row r="130" spans="1:12" s="78" customFormat="1" ht="13.5" x14ac:dyDescent="0.3">
      <c r="A130" s="84"/>
      <c r="B130" s="84"/>
      <c r="D130" s="78" t="s">
        <v>38</v>
      </c>
      <c r="J130" s="79">
        <f>J50</f>
        <v>15</v>
      </c>
      <c r="K130" s="80" t="s">
        <v>18</v>
      </c>
      <c r="L130" s="81"/>
    </row>
    <row r="131" spans="1:12" s="78" customFormat="1" ht="13.5" x14ac:dyDescent="0.3">
      <c r="A131" s="84"/>
      <c r="B131" s="84"/>
      <c r="C131" s="78" t="s">
        <v>196</v>
      </c>
      <c r="J131" s="79">
        <f>J132+J133</f>
        <v>5.2102212671458474</v>
      </c>
      <c r="K131" s="80" t="s">
        <v>194</v>
      </c>
      <c r="L131" s="81"/>
    </row>
    <row r="132" spans="1:12" s="78" customFormat="1" ht="13.5" x14ac:dyDescent="0.3">
      <c r="A132" s="84"/>
      <c r="B132" s="84"/>
      <c r="D132" s="78" t="s">
        <v>157</v>
      </c>
      <c r="J132" s="79">
        <f>J95</f>
        <v>4.5606681958202735</v>
      </c>
      <c r="K132" s="80" t="s">
        <v>194</v>
      </c>
      <c r="L132" s="81"/>
    </row>
    <row r="133" spans="1:12" s="78" customFormat="1" ht="13.5" x14ac:dyDescent="0.3">
      <c r="A133" s="84"/>
      <c r="B133" s="84"/>
      <c r="D133" s="78" t="s">
        <v>197</v>
      </c>
      <c r="J133" s="79">
        <f>J126</f>
        <v>0.64955307132557372</v>
      </c>
      <c r="K133" s="80" t="s">
        <v>194</v>
      </c>
      <c r="L133" s="81"/>
    </row>
    <row r="135" spans="1:12" s="78" customFormat="1" ht="13.5" x14ac:dyDescent="0.3">
      <c r="A135" s="84"/>
      <c r="B135" s="77" t="s">
        <v>61</v>
      </c>
      <c r="C135" s="85" t="s">
        <v>268</v>
      </c>
      <c r="J135" s="79"/>
      <c r="K135" s="80"/>
      <c r="L135" s="81"/>
    </row>
    <row r="136" spans="1:12" s="78" customFormat="1" ht="13.5" x14ac:dyDescent="0.3">
      <c r="A136" s="84"/>
      <c r="B136" s="77"/>
      <c r="C136" s="86" t="s">
        <v>268</v>
      </c>
      <c r="J136" s="79"/>
      <c r="K136" s="80"/>
      <c r="L136" s="81"/>
    </row>
    <row r="137" spans="1:12" s="78" customFormat="1" ht="13.5" x14ac:dyDescent="0.3">
      <c r="A137" s="84"/>
      <c r="B137" s="84"/>
      <c r="C137" s="78" t="s">
        <v>198</v>
      </c>
      <c r="J137" s="79">
        <f>1/(J138*2*PI()*(J139/1000))</f>
        <v>2.6577087943323953E-4</v>
      </c>
      <c r="K137" s="80" t="s">
        <v>201</v>
      </c>
      <c r="L137" s="81"/>
    </row>
    <row r="138" spans="1:12" s="78" customFormat="1" ht="13.5" x14ac:dyDescent="0.3">
      <c r="A138" s="84"/>
      <c r="B138" s="84"/>
      <c r="D138" s="78" t="s">
        <v>135</v>
      </c>
      <c r="J138" s="79">
        <f>J74</f>
        <v>3143.5310769815069</v>
      </c>
      <c r="K138" s="80" t="s">
        <v>194</v>
      </c>
      <c r="L138" s="81"/>
    </row>
    <row r="139" spans="1:12" s="78" customFormat="1" ht="13.5" x14ac:dyDescent="0.3">
      <c r="A139" s="84"/>
      <c r="B139" s="84"/>
      <c r="D139" s="78" t="s">
        <v>199</v>
      </c>
      <c r="J139" s="79">
        <f>J56</f>
        <v>190.5</v>
      </c>
      <c r="K139" s="80" t="s">
        <v>21</v>
      </c>
      <c r="L139" s="81"/>
    </row>
    <row r="140" spans="1:12" s="78" customFormat="1" ht="13.5" x14ac:dyDescent="0.3">
      <c r="A140" s="84"/>
      <c r="B140" s="84"/>
      <c r="C140" s="78" t="s">
        <v>202</v>
      </c>
      <c r="J140" s="79">
        <f>LN(J141/J142)/(2*PI()*J143)</f>
        <v>5.6896817639152171E-4</v>
      </c>
      <c r="K140" s="80" t="s">
        <v>201</v>
      </c>
      <c r="L140" s="81"/>
    </row>
    <row r="141" spans="1:12" s="78" customFormat="1" ht="13.5" x14ac:dyDescent="0.3">
      <c r="A141" s="84"/>
      <c r="B141" s="84"/>
      <c r="D141" s="78" t="s">
        <v>44</v>
      </c>
      <c r="J141" s="79">
        <f>J58</f>
        <v>228.6</v>
      </c>
      <c r="K141" s="80" t="s">
        <v>24</v>
      </c>
      <c r="L141" s="81"/>
    </row>
    <row r="142" spans="1:12" s="78" customFormat="1" ht="13.5" x14ac:dyDescent="0.3">
      <c r="A142" s="84"/>
      <c r="B142" s="84"/>
      <c r="D142" s="78" t="s">
        <v>199</v>
      </c>
      <c r="J142" s="79">
        <f>J56</f>
        <v>190.5</v>
      </c>
      <c r="K142" s="80" t="s">
        <v>24</v>
      </c>
      <c r="L142" s="81"/>
    </row>
    <row r="143" spans="1:12" s="78" customFormat="1" ht="13.5" x14ac:dyDescent="0.3">
      <c r="A143" s="84"/>
      <c r="B143" s="84"/>
      <c r="D143" s="78" t="s">
        <v>203</v>
      </c>
      <c r="J143" s="79">
        <f>J67</f>
        <v>51</v>
      </c>
      <c r="K143" s="80" t="s">
        <v>52</v>
      </c>
      <c r="L143" s="81"/>
    </row>
    <row r="144" spans="1:12" s="78" customFormat="1" ht="13.5" x14ac:dyDescent="0.3">
      <c r="A144" s="84"/>
      <c r="B144" s="84"/>
      <c r="C144" s="78" t="s">
        <v>204</v>
      </c>
      <c r="J144" s="79">
        <f>IF(J145=0,0,LN(J146/J147)/(2*PI()*J148))</f>
        <v>1.0087212262969447</v>
      </c>
      <c r="K144" s="80" t="s">
        <v>201</v>
      </c>
      <c r="L144" s="81"/>
    </row>
    <row r="145" spans="1:16" s="78" customFormat="1" ht="13.5" x14ac:dyDescent="0.3">
      <c r="A145" s="84"/>
      <c r="B145" s="84"/>
      <c r="D145" s="78" t="s">
        <v>205</v>
      </c>
      <c r="J145" s="87">
        <f>J60</f>
        <v>225</v>
      </c>
      <c r="K145" s="80" t="s">
        <v>24</v>
      </c>
      <c r="L145" s="90"/>
    </row>
    <row r="146" spans="1:16" s="78" customFormat="1" ht="13.5" x14ac:dyDescent="0.3">
      <c r="A146" s="84"/>
      <c r="B146" s="84"/>
      <c r="D146" s="78" t="s">
        <v>45</v>
      </c>
      <c r="J146" s="87">
        <f>J59</f>
        <v>448.05</v>
      </c>
      <c r="K146" s="80" t="s">
        <v>24</v>
      </c>
      <c r="L146" s="81"/>
    </row>
    <row r="147" spans="1:16" s="78" customFormat="1" ht="13.5" x14ac:dyDescent="0.3">
      <c r="A147" s="84"/>
      <c r="B147" s="84"/>
      <c r="D147" s="78" t="s">
        <v>43</v>
      </c>
      <c r="J147" s="79">
        <f>J58</f>
        <v>228.6</v>
      </c>
      <c r="K147" s="80" t="s">
        <v>206</v>
      </c>
      <c r="L147" s="81"/>
    </row>
    <row r="148" spans="1:16" s="78" customFormat="1" ht="13.5" x14ac:dyDescent="0.3">
      <c r="A148" s="84"/>
      <c r="B148" s="84"/>
      <c r="D148" s="85" t="s">
        <v>54</v>
      </c>
      <c r="J148" s="94">
        <f>IF(J149="Calcium Silicate (ASTM C533)",J153,IF(J149="Perlite (ASTM C610)",J156,IF(J149="Glass Fiber (ASTM C1086)",J157,IF(AND(J149="Mineral Fiber (ASTM C547&amp;C592)",J158&lt;=250),J154,J155))))</f>
        <v>0.10617433763022484</v>
      </c>
      <c r="K148" s="80" t="s">
        <v>125</v>
      </c>
      <c r="L148" s="81"/>
    </row>
    <row r="149" spans="1:16" s="78" customFormat="1" ht="13.5" x14ac:dyDescent="0.3">
      <c r="A149" s="84"/>
      <c r="B149" s="84"/>
      <c r="E149" s="78" t="s">
        <v>14</v>
      </c>
      <c r="J149" s="79" t="str">
        <f>J17</f>
        <v>Mineral Fiber (ASTM C547&amp;C592)</v>
      </c>
      <c r="K149" s="80" t="s">
        <v>25</v>
      </c>
      <c r="L149" s="81"/>
    </row>
    <row r="150" spans="1:16" s="78" customFormat="1" ht="13.5" x14ac:dyDescent="0.3">
      <c r="A150" s="84"/>
      <c r="B150" s="84"/>
      <c r="E150" s="78" t="s">
        <v>121</v>
      </c>
      <c r="J150" s="79">
        <f>AVERAGE(J151:J152)</f>
        <v>308.83178695096143</v>
      </c>
      <c r="K150" s="80" t="s">
        <v>18</v>
      </c>
      <c r="L150" s="81"/>
      <c r="P150" s="95"/>
    </row>
    <row r="151" spans="1:16" s="78" customFormat="1" ht="13.5" x14ac:dyDescent="0.3">
      <c r="A151" s="84"/>
      <c r="B151" s="84"/>
      <c r="F151" s="85" t="s">
        <v>37</v>
      </c>
      <c r="J151" s="14">
        <v>49.963573901922857</v>
      </c>
      <c r="K151" s="80" t="s">
        <v>18</v>
      </c>
      <c r="L151" s="90"/>
    </row>
    <row r="152" spans="1:16" s="78" customFormat="1" ht="13.5" x14ac:dyDescent="0.3">
      <c r="A152" s="84"/>
      <c r="B152" s="84"/>
      <c r="F152" s="78" t="s">
        <v>34</v>
      </c>
      <c r="J152" s="79">
        <f>J48</f>
        <v>567.70000000000005</v>
      </c>
      <c r="K152" s="80" t="s">
        <v>18</v>
      </c>
      <c r="L152" s="81" t="s">
        <v>122</v>
      </c>
    </row>
    <row r="153" spans="1:16" s="78" customFormat="1" ht="13.5" x14ac:dyDescent="0.3">
      <c r="A153" s="84"/>
      <c r="B153" s="84"/>
      <c r="E153" s="78" t="s">
        <v>288</v>
      </c>
      <c r="J153" s="79">
        <f>spline(Data!C19:C25,Data!D19:D25,J150)</f>
        <v>9.4116782089234435E-2</v>
      </c>
      <c r="K153" s="80" t="s">
        <v>125</v>
      </c>
      <c r="L153" s="81"/>
    </row>
    <row r="154" spans="1:16" s="78" customFormat="1" ht="13.5" x14ac:dyDescent="0.3">
      <c r="A154" s="84"/>
      <c r="B154" s="84"/>
      <c r="E154" s="78" t="s">
        <v>287</v>
      </c>
      <c r="J154" s="79">
        <f>spline(Data!J19:J25,Data!L19:L25,J150)</f>
        <v>9.1647959049542829E-2</v>
      </c>
      <c r="K154" s="80" t="s">
        <v>52</v>
      </c>
      <c r="L154" s="81"/>
    </row>
    <row r="155" spans="1:16" s="78" customFormat="1" ht="13.5" x14ac:dyDescent="0.3">
      <c r="A155" s="84"/>
      <c r="B155" s="84"/>
      <c r="E155" s="78" t="s">
        <v>286</v>
      </c>
      <c r="J155" s="79">
        <f>spline(Data!Q19:Q27,Data!S19:S27,J150)</f>
        <v>0.10617433763022484</v>
      </c>
      <c r="K155" s="80" t="s">
        <v>52</v>
      </c>
      <c r="L155" s="81"/>
    </row>
    <row r="156" spans="1:16" s="78" customFormat="1" ht="13.5" x14ac:dyDescent="0.3">
      <c r="A156" s="84"/>
      <c r="B156" s="84"/>
      <c r="E156" s="78" t="s">
        <v>304</v>
      </c>
      <c r="J156" s="79">
        <f>spline(Data!Y19:Y25,Data!Z19:Z25,J150)</f>
        <v>0.10709065626246775</v>
      </c>
      <c r="K156" s="80" t="s">
        <v>52</v>
      </c>
      <c r="L156" s="81"/>
    </row>
    <row r="157" spans="1:16" s="78" customFormat="1" ht="13.5" x14ac:dyDescent="0.3">
      <c r="A157" s="84"/>
      <c r="B157" s="84"/>
      <c r="E157" s="78" t="s">
        <v>303</v>
      </c>
      <c r="J157" s="79">
        <f>spline(Data!AE19:AE22,Data!AF19:AF22,J150)</f>
        <v>8.0839095912115605E-2</v>
      </c>
      <c r="K157" s="80" t="s">
        <v>52</v>
      </c>
      <c r="L157" s="81"/>
    </row>
    <row r="158" spans="1:16" s="78" customFormat="1" ht="13.5" x14ac:dyDescent="0.3">
      <c r="A158" s="84"/>
      <c r="B158" s="84"/>
      <c r="E158" s="78" t="s">
        <v>126</v>
      </c>
      <c r="J158" s="79">
        <f>J11</f>
        <v>450</v>
      </c>
      <c r="K158" s="80" t="s">
        <v>22</v>
      </c>
      <c r="L158" s="81"/>
    </row>
    <row r="159" spans="1:16" s="78" customFormat="1" ht="13.5" x14ac:dyDescent="0.3">
      <c r="A159" s="84"/>
      <c r="B159" s="84"/>
      <c r="C159" s="84"/>
      <c r="D159" s="84"/>
      <c r="E159" s="84"/>
      <c r="F159" s="84"/>
      <c r="G159" s="84"/>
      <c r="H159" s="84"/>
      <c r="I159" s="84"/>
      <c r="J159" s="79"/>
      <c r="K159" s="80"/>
      <c r="L159" s="81"/>
    </row>
    <row r="160" spans="1:16" s="78" customFormat="1" ht="13.5" x14ac:dyDescent="0.3">
      <c r="A160" s="84"/>
      <c r="B160" s="84"/>
      <c r="E160" s="78" t="s">
        <v>225</v>
      </c>
      <c r="J160" s="79">
        <f>J168</f>
        <v>512.83578510396342</v>
      </c>
      <c r="K160" s="80" t="s">
        <v>219</v>
      </c>
      <c r="L160" s="81"/>
    </row>
    <row r="161" spans="1:18" s="78" customFormat="1" ht="13.5" x14ac:dyDescent="0.3">
      <c r="A161" s="84"/>
      <c r="B161" s="84"/>
      <c r="E161" s="78" t="s">
        <v>226</v>
      </c>
      <c r="J161" s="79">
        <f>J177</f>
        <v>512.8358016609078</v>
      </c>
      <c r="K161" s="80" t="s">
        <v>219</v>
      </c>
      <c r="L161" s="81"/>
    </row>
    <row r="162" spans="1:18" s="78" customFormat="1" ht="13.5" x14ac:dyDescent="0.3">
      <c r="A162" s="84"/>
      <c r="B162" s="84"/>
      <c r="F162" s="78" t="s">
        <v>227</v>
      </c>
      <c r="J162" s="8">
        <f>J160-J161</f>
        <v>-1.6556944387957628E-5</v>
      </c>
      <c r="K162" s="80" t="s">
        <v>228</v>
      </c>
      <c r="L162" s="81" t="s">
        <v>238</v>
      </c>
      <c r="Q162" s="95"/>
    </row>
    <row r="163" spans="1:18" s="78" customFormat="1" ht="13.5" x14ac:dyDescent="0.3">
      <c r="A163" s="84"/>
      <c r="B163" s="84"/>
      <c r="C163" s="78" t="s">
        <v>208</v>
      </c>
      <c r="J163" s="79">
        <f>1/(J164*2*PI()*(J165/1000))</f>
        <v>6.8176936533462074E-2</v>
      </c>
      <c r="K163" s="80" t="s">
        <v>201</v>
      </c>
      <c r="L163" s="81"/>
    </row>
    <row r="164" spans="1:18" s="78" customFormat="1" ht="13.5" x14ac:dyDescent="0.3">
      <c r="A164" s="84"/>
      <c r="B164" s="84"/>
      <c r="D164" s="78" t="s">
        <v>195</v>
      </c>
      <c r="J164" s="79">
        <f>J131</f>
        <v>5.2102212671458474</v>
      </c>
      <c r="K164" s="80" t="s">
        <v>200</v>
      </c>
      <c r="L164" s="81"/>
    </row>
    <row r="165" spans="1:18" s="78" customFormat="1" ht="13.5" x14ac:dyDescent="0.3">
      <c r="A165" s="84"/>
      <c r="B165" s="84"/>
      <c r="D165" s="78" t="s">
        <v>45</v>
      </c>
      <c r="J165" s="87">
        <f>J59</f>
        <v>448.05</v>
      </c>
      <c r="K165" s="80" t="s">
        <v>24</v>
      </c>
      <c r="L165" s="81"/>
    </row>
    <row r="166" spans="1:18" s="78" customFormat="1" ht="13.5" x14ac:dyDescent="0.3">
      <c r="A166" s="84"/>
      <c r="B166" s="84"/>
      <c r="C166" s="86" t="s">
        <v>273</v>
      </c>
      <c r="J166" s="79"/>
      <c r="K166" s="80"/>
      <c r="L166" s="81"/>
    </row>
    <row r="167" spans="1:18" s="78" customFormat="1" ht="13.5" x14ac:dyDescent="0.3">
      <c r="A167" s="84"/>
      <c r="B167" s="84"/>
      <c r="C167" s="78" t="s">
        <v>212</v>
      </c>
      <c r="J167" s="79"/>
      <c r="K167" s="80"/>
      <c r="L167" s="81"/>
    </row>
    <row r="168" spans="1:18" s="78" customFormat="1" ht="13.5" x14ac:dyDescent="0.3">
      <c r="A168" s="84"/>
      <c r="B168" s="84"/>
      <c r="C168" s="78" t="s">
        <v>213</v>
      </c>
      <c r="J168" s="79">
        <f>J173/J169</f>
        <v>512.83578510396342</v>
      </c>
      <c r="K168" s="80" t="s">
        <v>219</v>
      </c>
      <c r="L168" s="81"/>
    </row>
    <row r="169" spans="1:18" s="78" customFormat="1" ht="13.5" x14ac:dyDescent="0.3">
      <c r="A169" s="84"/>
      <c r="B169" s="84"/>
      <c r="D169" s="78" t="s">
        <v>214</v>
      </c>
      <c r="J169" s="79">
        <f>SUM(J170:J172)</f>
        <v>1.0095559653527695</v>
      </c>
      <c r="K169" s="80" t="s">
        <v>201</v>
      </c>
      <c r="L169" s="81"/>
    </row>
    <row r="170" spans="1:18" s="78" customFormat="1" ht="13.5" x14ac:dyDescent="0.3">
      <c r="A170" s="84"/>
      <c r="B170" s="84"/>
      <c r="E170" s="78" t="s">
        <v>198</v>
      </c>
      <c r="J170" s="79">
        <f>J137</f>
        <v>2.6577087943323953E-4</v>
      </c>
      <c r="K170" s="80" t="s">
        <v>201</v>
      </c>
      <c r="L170" s="81"/>
    </row>
    <row r="171" spans="1:18" s="78" customFormat="1" ht="13.5" x14ac:dyDescent="0.3">
      <c r="A171" s="84"/>
      <c r="B171" s="84"/>
      <c r="E171" s="78" t="s">
        <v>202</v>
      </c>
      <c r="J171" s="79">
        <f>J140</f>
        <v>5.6896817639152171E-4</v>
      </c>
      <c r="K171" s="80" t="s">
        <v>201</v>
      </c>
      <c r="L171" s="81"/>
    </row>
    <row r="172" spans="1:18" s="81" customFormat="1" ht="13.5" x14ac:dyDescent="0.3">
      <c r="A172" s="84"/>
      <c r="B172" s="84"/>
      <c r="C172" s="78"/>
      <c r="D172" s="78"/>
      <c r="E172" s="78" t="s">
        <v>216</v>
      </c>
      <c r="F172" s="78"/>
      <c r="G172" s="78"/>
      <c r="H172" s="78"/>
      <c r="I172" s="78"/>
      <c r="J172" s="79">
        <f>J144</f>
        <v>1.0087212262969447</v>
      </c>
      <c r="K172" s="80" t="s">
        <v>201</v>
      </c>
      <c r="M172" s="78"/>
      <c r="N172" s="78"/>
      <c r="O172" s="78"/>
      <c r="P172" s="78"/>
      <c r="Q172" s="78"/>
      <c r="R172" s="78"/>
    </row>
    <row r="173" spans="1:18" s="81" customFormat="1" ht="13.5" x14ac:dyDescent="0.3">
      <c r="A173" s="84"/>
      <c r="B173" s="84"/>
      <c r="C173" s="78"/>
      <c r="D173" s="78" t="s">
        <v>217</v>
      </c>
      <c r="E173" s="78"/>
      <c r="F173" s="78"/>
      <c r="G173" s="78"/>
      <c r="H173" s="78"/>
      <c r="I173" s="78"/>
      <c r="J173" s="79">
        <f>J174-J175</f>
        <v>517.73642609807723</v>
      </c>
      <c r="K173" s="80" t="s">
        <v>218</v>
      </c>
      <c r="M173" s="78"/>
      <c r="N173" s="78"/>
      <c r="O173" s="78"/>
      <c r="P173" s="78"/>
      <c r="Q173" s="78"/>
      <c r="R173" s="78"/>
    </row>
    <row r="174" spans="1:18" s="81" customFormat="1" ht="13.5" x14ac:dyDescent="0.3">
      <c r="A174" s="84"/>
      <c r="B174" s="84"/>
      <c r="C174" s="78"/>
      <c r="D174" s="78"/>
      <c r="E174" s="78" t="s">
        <v>33</v>
      </c>
      <c r="F174" s="78"/>
      <c r="G174" s="78"/>
      <c r="H174" s="78"/>
      <c r="I174" s="78"/>
      <c r="J174" s="79">
        <f>J48</f>
        <v>567.70000000000005</v>
      </c>
      <c r="K174" s="80" t="s">
        <v>18</v>
      </c>
      <c r="M174" s="78"/>
      <c r="N174" s="78"/>
      <c r="O174" s="78"/>
      <c r="P174" s="78"/>
      <c r="Q174" s="78"/>
      <c r="R174" s="78"/>
    </row>
    <row r="175" spans="1:18" s="81" customFormat="1" ht="13.5" x14ac:dyDescent="0.3">
      <c r="A175" s="84"/>
      <c r="B175" s="84"/>
      <c r="D175" s="78"/>
      <c r="E175" s="78" t="s">
        <v>36</v>
      </c>
      <c r="F175" s="78"/>
      <c r="G175" s="78"/>
      <c r="H175" s="78"/>
      <c r="I175" s="78"/>
      <c r="J175" s="79">
        <f>J49</f>
        <v>49.963573901922857</v>
      </c>
      <c r="K175" s="80" t="s">
        <v>18</v>
      </c>
      <c r="M175" s="78"/>
      <c r="N175" s="78"/>
      <c r="O175" s="78"/>
      <c r="P175" s="78"/>
      <c r="Q175" s="78"/>
      <c r="R175" s="78"/>
    </row>
    <row r="176" spans="1:18" s="81" customFormat="1" ht="13.5" x14ac:dyDescent="0.3">
      <c r="A176" s="84"/>
      <c r="B176" s="84"/>
      <c r="C176" s="78" t="s">
        <v>220</v>
      </c>
      <c r="D176" s="78"/>
      <c r="E176" s="78"/>
      <c r="F176" s="78"/>
      <c r="G176" s="78"/>
      <c r="H176" s="78"/>
      <c r="I176" s="78"/>
      <c r="J176" s="79"/>
      <c r="K176" s="80"/>
      <c r="M176" s="78"/>
      <c r="N176" s="78"/>
      <c r="O176" s="78"/>
      <c r="P176" s="78"/>
      <c r="Q176" s="78"/>
      <c r="R176" s="78"/>
    </row>
    <row r="177" spans="1:18" s="81" customFormat="1" ht="13.5" x14ac:dyDescent="0.3">
      <c r="A177" s="84"/>
      <c r="B177" s="84"/>
      <c r="C177" s="78" t="s">
        <v>221</v>
      </c>
      <c r="D177" s="78"/>
      <c r="E177" s="78"/>
      <c r="F177" s="78"/>
      <c r="G177" s="78"/>
      <c r="H177" s="78"/>
      <c r="I177" s="78"/>
      <c r="J177" s="79">
        <f>J180/J178</f>
        <v>512.8358016609078</v>
      </c>
      <c r="K177" s="80" t="s">
        <v>224</v>
      </c>
      <c r="M177" s="78"/>
      <c r="N177" s="78"/>
      <c r="O177" s="78"/>
      <c r="P177" s="78"/>
      <c r="Q177" s="78"/>
      <c r="R177" s="78"/>
    </row>
    <row r="178" spans="1:18" s="81" customFormat="1" ht="13.5" x14ac:dyDescent="0.3">
      <c r="A178" s="84"/>
      <c r="B178" s="84"/>
      <c r="C178" s="78"/>
      <c r="D178" s="78" t="s">
        <v>222</v>
      </c>
      <c r="E178" s="78"/>
      <c r="F178" s="78"/>
      <c r="G178" s="78"/>
      <c r="H178" s="78"/>
      <c r="I178" s="78"/>
      <c r="J178" s="79">
        <f>J179</f>
        <v>6.8176936533462074E-2</v>
      </c>
      <c r="K178" s="80" t="s">
        <v>201</v>
      </c>
      <c r="M178" s="78"/>
      <c r="N178" s="78"/>
      <c r="O178" s="78"/>
      <c r="P178" s="78"/>
      <c r="Q178" s="78"/>
      <c r="R178" s="78"/>
    </row>
    <row r="179" spans="1:18" s="81" customFormat="1" ht="13.5" x14ac:dyDescent="0.3">
      <c r="A179" s="84"/>
      <c r="B179" s="84"/>
      <c r="C179" s="78"/>
      <c r="D179" s="78"/>
      <c r="E179" s="78" t="s">
        <v>207</v>
      </c>
      <c r="F179" s="78"/>
      <c r="G179" s="78"/>
      <c r="H179" s="78"/>
      <c r="I179" s="78"/>
      <c r="J179" s="79">
        <f>J163</f>
        <v>6.8176936533462074E-2</v>
      </c>
      <c r="K179" s="80" t="s">
        <v>201</v>
      </c>
      <c r="M179" s="78"/>
      <c r="N179" s="78"/>
      <c r="O179" s="78"/>
      <c r="P179" s="78"/>
      <c r="Q179" s="78"/>
      <c r="R179" s="78"/>
    </row>
    <row r="180" spans="1:18" s="81" customFormat="1" ht="13.5" x14ac:dyDescent="0.3">
      <c r="A180" s="84"/>
      <c r="B180" s="84"/>
      <c r="C180" s="78"/>
      <c r="D180" s="78" t="s">
        <v>223</v>
      </c>
      <c r="E180" s="78"/>
      <c r="F180" s="78"/>
      <c r="G180" s="78"/>
      <c r="H180" s="78"/>
      <c r="I180" s="78"/>
      <c r="J180" s="79">
        <f>J181-J182</f>
        <v>34.963573901922857</v>
      </c>
      <c r="K180" s="80" t="s">
        <v>218</v>
      </c>
      <c r="M180" s="78"/>
      <c r="N180" s="78"/>
      <c r="O180" s="78"/>
      <c r="P180" s="78"/>
      <c r="Q180" s="78"/>
      <c r="R180" s="78"/>
    </row>
    <row r="181" spans="1:18" s="81" customFormat="1" ht="13.5" x14ac:dyDescent="0.3">
      <c r="A181" s="84"/>
      <c r="B181" s="84"/>
      <c r="C181" s="78"/>
      <c r="D181" s="78"/>
      <c r="E181" s="78" t="s">
        <v>36</v>
      </c>
      <c r="F181" s="78"/>
      <c r="G181" s="78"/>
      <c r="H181" s="78"/>
      <c r="I181" s="78"/>
      <c r="J181" s="79">
        <f>J49</f>
        <v>49.963573901922857</v>
      </c>
      <c r="K181" s="80" t="s">
        <v>18</v>
      </c>
      <c r="M181" s="78"/>
      <c r="N181" s="78"/>
      <c r="O181" s="78"/>
      <c r="P181" s="78"/>
      <c r="Q181" s="78"/>
      <c r="R181" s="78"/>
    </row>
    <row r="182" spans="1:18" s="81" customFormat="1" ht="13.5" x14ac:dyDescent="0.3">
      <c r="A182" s="84"/>
      <c r="B182" s="84"/>
      <c r="C182" s="78"/>
      <c r="D182" s="78"/>
      <c r="E182" s="78" t="s">
        <v>38</v>
      </c>
      <c r="F182" s="78"/>
      <c r="G182" s="78"/>
      <c r="H182" s="78"/>
      <c r="I182" s="78"/>
      <c r="J182" s="79">
        <f>J50</f>
        <v>15</v>
      </c>
      <c r="K182" s="80" t="s">
        <v>18</v>
      </c>
      <c r="M182" s="78"/>
      <c r="N182" s="78"/>
      <c r="O182" s="78"/>
      <c r="P182" s="78"/>
      <c r="Q182" s="78"/>
      <c r="R182" s="78"/>
    </row>
    <row r="183" spans="1:18" x14ac:dyDescent="0.3">
      <c r="B183" s="77" t="s">
        <v>271</v>
      </c>
      <c r="C183" s="85" t="s">
        <v>272</v>
      </c>
    </row>
    <row r="184" spans="1:18" x14ac:dyDescent="0.3">
      <c r="C184" s="85" t="s">
        <v>259</v>
      </c>
      <c r="J184" s="94">
        <f>J186*J188/1000</f>
        <v>102.56716033218156</v>
      </c>
      <c r="K184" s="80" t="s">
        <v>260</v>
      </c>
    </row>
    <row r="185" spans="1:18" x14ac:dyDescent="0.3">
      <c r="C185" s="85" t="s">
        <v>258</v>
      </c>
      <c r="J185" s="94">
        <f>J186*J188/1000/J190</f>
        <v>0.6182883074277522</v>
      </c>
      <c r="K185" s="80" t="s">
        <v>247</v>
      </c>
    </row>
    <row r="186" spans="1:18" x14ac:dyDescent="0.3">
      <c r="D186" s="78" t="s">
        <v>239</v>
      </c>
      <c r="J186" s="79">
        <f>MAX(J168,J177)</f>
        <v>512.8358016609078</v>
      </c>
      <c r="K186" s="80" t="s">
        <v>240</v>
      </c>
      <c r="L186" s="81" t="s">
        <v>413</v>
      </c>
    </row>
    <row r="187" spans="1:18" x14ac:dyDescent="0.3">
      <c r="J187" s="79">
        <f>J186/1000</f>
        <v>0.51283580166090781</v>
      </c>
      <c r="K187" s="80" t="s">
        <v>279</v>
      </c>
    </row>
    <row r="188" spans="1:18" x14ac:dyDescent="0.3">
      <c r="D188" s="78" t="s">
        <v>243</v>
      </c>
      <c r="J188" s="87">
        <f>J62</f>
        <v>200</v>
      </c>
      <c r="K188" s="80" t="s">
        <v>244</v>
      </c>
    </row>
    <row r="189" spans="1:18" x14ac:dyDescent="0.3">
      <c r="D189" s="78" t="s">
        <v>152</v>
      </c>
      <c r="J189" s="79">
        <f>J16</f>
        <v>597.20000000000005</v>
      </c>
      <c r="K189" s="80" t="s">
        <v>245</v>
      </c>
    </row>
    <row r="190" spans="1:18" x14ac:dyDescent="0.3">
      <c r="J190" s="79">
        <f>J189*1000/3600</f>
        <v>165.88888888888889</v>
      </c>
      <c r="K190" s="80" t="s">
        <v>246</v>
      </c>
    </row>
    <row r="192" spans="1:18" x14ac:dyDescent="0.3">
      <c r="C192" s="78" t="s">
        <v>248</v>
      </c>
    </row>
    <row r="193" spans="3:12" x14ac:dyDescent="0.3">
      <c r="D193" s="78" t="s">
        <v>249</v>
      </c>
      <c r="J193" s="79">
        <f>J44</f>
        <v>127.41</v>
      </c>
      <c r="K193" s="80" t="s">
        <v>28</v>
      </c>
    </row>
    <row r="194" spans="3:12" x14ac:dyDescent="0.3">
      <c r="D194" s="78" t="s">
        <v>250</v>
      </c>
      <c r="J194" s="79">
        <f>J48</f>
        <v>567.70000000000005</v>
      </c>
      <c r="K194" s="80" t="s">
        <v>251</v>
      </c>
    </row>
    <row r="195" spans="3:12" x14ac:dyDescent="0.3">
      <c r="D195" s="78" t="s">
        <v>135</v>
      </c>
      <c r="J195" s="79">
        <f>_xll.StmPTH(J193,J194,1)</f>
        <v>3520.0245619018542</v>
      </c>
      <c r="K195" s="80" t="s">
        <v>247</v>
      </c>
    </row>
    <row r="196" spans="3:12" x14ac:dyDescent="0.3">
      <c r="C196" s="78" t="s">
        <v>252</v>
      </c>
    </row>
    <row r="197" spans="3:12" x14ac:dyDescent="0.3">
      <c r="D197" s="78" t="s">
        <v>255</v>
      </c>
      <c r="J197" s="79">
        <f>J193-J198</f>
        <v>123.71</v>
      </c>
      <c r="K197" s="80" t="s">
        <v>28</v>
      </c>
    </row>
    <row r="198" spans="3:12" x14ac:dyDescent="0.3">
      <c r="E198" s="78" t="s">
        <v>270</v>
      </c>
      <c r="J198" s="79">
        <f>J45</f>
        <v>3.7</v>
      </c>
      <c r="K198" s="80" t="s">
        <v>254</v>
      </c>
    </row>
    <row r="199" spans="3:12" x14ac:dyDescent="0.3">
      <c r="D199" s="85" t="s">
        <v>256</v>
      </c>
      <c r="J199" s="94">
        <f>_xll.StmPHT(J197,J200,1)</f>
        <v>566.07718015195837</v>
      </c>
      <c r="K199" s="80" t="s">
        <v>263</v>
      </c>
    </row>
    <row r="200" spans="3:12" x14ac:dyDescent="0.3">
      <c r="D200" s="78" t="s">
        <v>257</v>
      </c>
      <c r="J200" s="79">
        <f>J201-J202</f>
        <v>3519.4062735944262</v>
      </c>
      <c r="K200" s="80" t="s">
        <v>247</v>
      </c>
      <c r="L200" s="81" t="s">
        <v>264</v>
      </c>
    </row>
    <row r="201" spans="3:12" x14ac:dyDescent="0.3">
      <c r="E201" s="78" t="s">
        <v>135</v>
      </c>
      <c r="J201" s="79">
        <f>J195</f>
        <v>3520.0245619018542</v>
      </c>
      <c r="K201" s="80" t="s">
        <v>262</v>
      </c>
    </row>
    <row r="202" spans="3:12" x14ac:dyDescent="0.3">
      <c r="E202" s="78" t="s">
        <v>261</v>
      </c>
      <c r="J202" s="79">
        <f>J185</f>
        <v>0.6182883074277522</v>
      </c>
      <c r="K202" s="80" t="s">
        <v>247</v>
      </c>
    </row>
  </sheetData>
  <mergeCells count="2">
    <mergeCell ref="M57:N57"/>
    <mergeCell ref="M56:N56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</sheetPr>
  <dimension ref="A1:R142"/>
  <sheetViews>
    <sheetView zoomScaleNormal="100" workbookViewId="0">
      <selection activeCell="G63" sqref="G63"/>
    </sheetView>
  </sheetViews>
  <sheetFormatPr defaultColWidth="9" defaultRowHeight="16.5" x14ac:dyDescent="0.3"/>
  <cols>
    <col min="1" max="2" width="5.5" style="84" customWidth="1"/>
    <col min="3" max="9" width="9" style="78"/>
    <col min="10" max="10" width="11.25" style="79" bestFit="1" customWidth="1"/>
    <col min="11" max="11" width="9" style="80"/>
    <col min="12" max="12" width="9" style="81"/>
    <col min="13" max="18" width="9" style="78"/>
    <col min="19" max="16384" width="9" style="82"/>
  </cols>
  <sheetData>
    <row r="1" spans="1:18" s="76" customFormat="1" x14ac:dyDescent="0.3">
      <c r="A1" s="71" t="s">
        <v>379</v>
      </c>
      <c r="B1" s="71"/>
      <c r="C1" s="72"/>
      <c r="D1" s="72"/>
      <c r="E1" s="72"/>
      <c r="F1" s="72"/>
      <c r="G1" s="72"/>
      <c r="H1" s="72"/>
      <c r="I1" s="72"/>
      <c r="J1" s="73"/>
      <c r="K1" s="74"/>
      <c r="L1" s="75"/>
      <c r="M1" s="72"/>
      <c r="N1" s="72"/>
      <c r="O1" s="72"/>
      <c r="P1" s="72"/>
      <c r="Q1" s="72"/>
      <c r="R1" s="72"/>
    </row>
    <row r="2" spans="1:18" x14ac:dyDescent="0.3">
      <c r="A2" s="116"/>
      <c r="B2" s="77"/>
      <c r="J2" s="79" t="s">
        <v>380</v>
      </c>
    </row>
    <row r="3" spans="1:18" x14ac:dyDescent="0.3">
      <c r="A3" s="83" t="s">
        <v>0</v>
      </c>
      <c r="B3" s="77" t="s">
        <v>1</v>
      </c>
    </row>
    <row r="4" spans="1:18" x14ac:dyDescent="0.3">
      <c r="B4" s="77" t="s">
        <v>4</v>
      </c>
      <c r="C4" s="77" t="s">
        <v>6</v>
      </c>
    </row>
    <row r="5" spans="1:18" x14ac:dyDescent="0.3">
      <c r="C5" s="78" t="s">
        <v>2</v>
      </c>
      <c r="J5" s="79">
        <f>'보온재 두께 계산기'!E7</f>
        <v>1.0129999999999999</v>
      </c>
      <c r="K5" s="80" t="s">
        <v>17</v>
      </c>
    </row>
    <row r="6" spans="1:18" x14ac:dyDescent="0.3">
      <c r="C6" s="78" t="s">
        <v>3</v>
      </c>
      <c r="J6" s="79">
        <f>'보온재 두께 계산기'!E8</f>
        <v>30</v>
      </c>
      <c r="K6" s="80" t="s">
        <v>18</v>
      </c>
    </row>
    <row r="7" spans="1:18" x14ac:dyDescent="0.3">
      <c r="C7" s="78" t="s">
        <v>362</v>
      </c>
      <c r="J7" s="79">
        <f>'보온재 두께 계산기'!E9</f>
        <v>80</v>
      </c>
      <c r="K7" s="80" t="s">
        <v>359</v>
      </c>
    </row>
    <row r="8" spans="1:18" x14ac:dyDescent="0.3">
      <c r="C8" s="78" t="s">
        <v>16</v>
      </c>
      <c r="J8" s="79">
        <f>'보온재 두께 계산기'!E10</f>
        <v>0</v>
      </c>
      <c r="K8" s="80" t="s">
        <v>19</v>
      </c>
    </row>
    <row r="9" spans="1:18" x14ac:dyDescent="0.3">
      <c r="C9" s="78" t="s">
        <v>324</v>
      </c>
      <c r="J9" s="79">
        <f>'보온재 두께 계산기'!E11</f>
        <v>60</v>
      </c>
      <c r="K9" s="80" t="s">
        <v>18</v>
      </c>
    </row>
    <row r="10" spans="1:18" x14ac:dyDescent="0.3">
      <c r="B10" s="77" t="s">
        <v>5</v>
      </c>
      <c r="C10" s="77" t="s">
        <v>7</v>
      </c>
    </row>
    <row r="11" spans="1:18" x14ac:dyDescent="0.3">
      <c r="C11" s="78" t="s">
        <v>8</v>
      </c>
      <c r="J11" s="79">
        <f>HLOOKUP(J12,Data!D5:AA6,2,FALSE)</f>
        <v>1219</v>
      </c>
      <c r="K11" s="80" t="s">
        <v>24</v>
      </c>
    </row>
    <row r="12" spans="1:18" x14ac:dyDescent="0.3">
      <c r="D12" s="78" t="s">
        <v>20</v>
      </c>
      <c r="J12" s="79">
        <v>1200</v>
      </c>
      <c r="K12" s="80" t="s">
        <v>22</v>
      </c>
      <c r="L12" s="81" t="s">
        <v>378</v>
      </c>
    </row>
    <row r="13" spans="1:18" x14ac:dyDescent="0.3">
      <c r="C13" s="78" t="s">
        <v>9</v>
      </c>
    </row>
    <row r="14" spans="1:18" x14ac:dyDescent="0.3">
      <c r="D14" s="78" t="s">
        <v>11</v>
      </c>
      <c r="J14" s="79">
        <v>650</v>
      </c>
      <c r="K14" s="80" t="s">
        <v>27</v>
      </c>
      <c r="L14" s="81" t="s">
        <v>378</v>
      </c>
    </row>
    <row r="15" spans="1:18" s="81" customFormat="1" ht="13.5" x14ac:dyDescent="0.3">
      <c r="A15" s="84"/>
      <c r="B15" s="84"/>
      <c r="C15" s="78" t="s">
        <v>14</v>
      </c>
      <c r="D15" s="78"/>
      <c r="E15" s="78"/>
      <c r="F15" s="78"/>
      <c r="G15" s="78"/>
      <c r="H15" s="78"/>
      <c r="I15" s="78"/>
      <c r="J15" s="79" t="str">
        <f>'보온재 두께 계산기'!E12</f>
        <v>Glass Fiber (ASTM C1086)</v>
      </c>
      <c r="K15" s="80" t="s">
        <v>25</v>
      </c>
      <c r="M15" s="78"/>
      <c r="N15" s="78"/>
      <c r="O15" s="78"/>
      <c r="P15" s="78"/>
      <c r="Q15" s="78"/>
      <c r="R15" s="78"/>
    </row>
    <row r="16" spans="1:18" s="81" customFormat="1" ht="13.5" x14ac:dyDescent="0.3">
      <c r="A16" s="84"/>
      <c r="B16" s="84"/>
      <c r="C16" s="78" t="s">
        <v>15</v>
      </c>
      <c r="D16" s="78"/>
      <c r="E16" s="78"/>
      <c r="F16" s="78"/>
      <c r="G16" s="78"/>
      <c r="H16" s="78"/>
      <c r="I16" s="78"/>
      <c r="J16" s="79">
        <f>'보온재 두께 계산기'!E13</f>
        <v>0.1</v>
      </c>
      <c r="K16" s="80" t="s">
        <v>25</v>
      </c>
      <c r="M16" s="78"/>
      <c r="N16" s="78"/>
      <c r="O16" s="78"/>
      <c r="P16" s="78"/>
      <c r="Q16" s="78"/>
      <c r="R16" s="78"/>
    </row>
    <row r="17" spans="1:18" x14ac:dyDescent="0.3">
      <c r="B17" s="77" t="s">
        <v>230</v>
      </c>
      <c r="C17" s="77" t="s">
        <v>381</v>
      </c>
    </row>
    <row r="18" spans="1:18" s="81" customFormat="1" ht="13.5" x14ac:dyDescent="0.3">
      <c r="A18" s="83"/>
      <c r="B18" s="77"/>
      <c r="C18" s="78" t="s">
        <v>382</v>
      </c>
      <c r="D18" s="78"/>
      <c r="E18" s="78"/>
      <c r="F18" s="78"/>
      <c r="G18" s="78"/>
      <c r="H18" s="78"/>
      <c r="I18" s="78"/>
      <c r="J18" s="173">
        <v>0</v>
      </c>
      <c r="K18" s="80" t="s">
        <v>367</v>
      </c>
      <c r="L18" s="81" t="s">
        <v>417</v>
      </c>
      <c r="M18" s="78"/>
      <c r="N18" s="78"/>
      <c r="O18" s="78"/>
      <c r="P18" s="78"/>
      <c r="Q18" s="78"/>
      <c r="R18" s="78"/>
    </row>
    <row r="30" spans="1:18" s="81" customFormat="1" ht="13.5" x14ac:dyDescent="0.3">
      <c r="A30" s="83"/>
      <c r="B30" s="77"/>
      <c r="C30" s="78"/>
      <c r="D30" s="78"/>
      <c r="E30" s="78"/>
      <c r="F30" s="78"/>
      <c r="G30" s="78"/>
      <c r="H30" s="78"/>
      <c r="I30" s="78"/>
      <c r="J30" s="79"/>
      <c r="K30" s="80"/>
      <c r="M30" s="78"/>
      <c r="N30" s="78"/>
      <c r="O30" s="78"/>
      <c r="P30" s="78"/>
      <c r="Q30" s="78"/>
      <c r="R30" s="78"/>
    </row>
    <row r="31" spans="1:18" s="81" customFormat="1" ht="13.5" x14ac:dyDescent="0.3">
      <c r="A31" s="84"/>
      <c r="B31" s="84"/>
      <c r="C31" s="78"/>
      <c r="D31" s="78"/>
      <c r="E31" s="78"/>
      <c r="F31" s="78"/>
      <c r="G31" s="78"/>
      <c r="H31" s="78"/>
      <c r="I31" s="78"/>
      <c r="J31" s="79"/>
      <c r="K31" s="80"/>
      <c r="M31" s="78"/>
      <c r="N31" s="78"/>
      <c r="O31" s="78"/>
      <c r="P31" s="78"/>
      <c r="Q31" s="78"/>
      <c r="R31" s="78"/>
    </row>
    <row r="33" spans="1:18" s="81" customFormat="1" ht="13.5" x14ac:dyDescent="0.3">
      <c r="A33" s="83" t="s">
        <v>312</v>
      </c>
      <c r="B33" s="77" t="s">
        <v>30</v>
      </c>
      <c r="C33" s="78"/>
      <c r="D33" s="78"/>
      <c r="E33" s="78"/>
      <c r="F33" s="78"/>
      <c r="G33" s="78"/>
      <c r="H33" s="78"/>
      <c r="I33" s="78"/>
      <c r="J33" s="79"/>
      <c r="K33" s="80"/>
      <c r="M33" s="78"/>
      <c r="N33" s="78"/>
      <c r="O33" s="78"/>
      <c r="P33" s="78"/>
      <c r="Q33" s="78"/>
      <c r="R33" s="78"/>
    </row>
    <row r="34" spans="1:18" s="81" customFormat="1" ht="13.5" x14ac:dyDescent="0.3">
      <c r="A34" s="84"/>
      <c r="B34" s="77" t="s">
        <v>31</v>
      </c>
      <c r="C34" s="85" t="s">
        <v>363</v>
      </c>
      <c r="D34" s="78"/>
      <c r="E34" s="78"/>
      <c r="F34" s="78"/>
      <c r="G34" s="78"/>
      <c r="H34" s="78"/>
      <c r="I34" s="78"/>
      <c r="J34" s="79"/>
      <c r="K34" s="80"/>
      <c r="M34" s="78"/>
      <c r="N34" s="78"/>
      <c r="O34" s="78"/>
      <c r="P34" s="78"/>
      <c r="Q34" s="78"/>
      <c r="R34" s="78"/>
    </row>
    <row r="35" spans="1:18" s="81" customFormat="1" ht="13.5" x14ac:dyDescent="0.3">
      <c r="A35" s="84"/>
      <c r="B35" s="77"/>
      <c r="C35" s="86" t="s">
        <v>134</v>
      </c>
      <c r="D35" s="78"/>
      <c r="E35" s="78"/>
      <c r="F35" s="78"/>
      <c r="G35" s="78"/>
      <c r="H35" s="78"/>
      <c r="I35" s="78"/>
      <c r="J35" s="79"/>
      <c r="K35" s="80"/>
      <c r="M35" s="78"/>
      <c r="N35" s="78"/>
      <c r="O35" s="78"/>
      <c r="P35" s="78"/>
      <c r="Q35" s="78"/>
      <c r="R35" s="78"/>
    </row>
    <row r="36" spans="1:18" s="81" customFormat="1" ht="13.5" x14ac:dyDescent="0.3">
      <c r="A36" s="84"/>
      <c r="B36" s="84"/>
      <c r="C36" s="78" t="s">
        <v>35</v>
      </c>
      <c r="D36" s="78"/>
      <c r="E36" s="78"/>
      <c r="F36" s="78"/>
      <c r="G36" s="78"/>
      <c r="H36" s="78"/>
      <c r="I36" s="78"/>
      <c r="J36" s="79">
        <f>J5</f>
        <v>1.0129999999999999</v>
      </c>
      <c r="K36" s="80" t="s">
        <v>28</v>
      </c>
      <c r="M36" s="78"/>
      <c r="N36" s="78"/>
      <c r="O36" s="78"/>
      <c r="P36" s="78"/>
      <c r="Q36" s="78"/>
      <c r="R36" s="78"/>
    </row>
    <row r="37" spans="1:18" s="81" customFormat="1" ht="13.5" x14ac:dyDescent="0.3">
      <c r="A37" s="84"/>
      <c r="B37" s="84"/>
      <c r="C37" s="86" t="s">
        <v>133</v>
      </c>
      <c r="D37" s="78"/>
      <c r="E37" s="78"/>
      <c r="F37" s="78"/>
      <c r="G37" s="78"/>
      <c r="H37" s="78"/>
      <c r="I37" s="78"/>
      <c r="J37" s="79"/>
      <c r="K37" s="80"/>
      <c r="M37" s="78"/>
      <c r="N37" s="78"/>
      <c r="O37" s="78"/>
      <c r="P37" s="78"/>
      <c r="Q37" s="78"/>
      <c r="R37" s="78"/>
    </row>
    <row r="38" spans="1:18" s="81" customFormat="1" ht="13.5" x14ac:dyDescent="0.3">
      <c r="A38" s="84"/>
      <c r="B38" s="84"/>
      <c r="C38" s="78" t="s">
        <v>34</v>
      </c>
      <c r="D38" s="78"/>
      <c r="E38" s="78"/>
      <c r="F38" s="78"/>
      <c r="G38" s="78"/>
      <c r="H38" s="78"/>
      <c r="I38" s="78"/>
      <c r="J38" s="79">
        <f>J14</f>
        <v>650</v>
      </c>
      <c r="K38" s="80" t="s">
        <v>27</v>
      </c>
      <c r="M38" s="78"/>
      <c r="N38" s="78"/>
      <c r="O38" s="78"/>
      <c r="P38" s="78"/>
      <c r="Q38" s="78"/>
      <c r="R38" s="78"/>
    </row>
    <row r="39" spans="1:18" s="81" customFormat="1" ht="13.5" x14ac:dyDescent="0.3">
      <c r="A39" s="84"/>
      <c r="B39" s="84"/>
      <c r="C39" s="78" t="s">
        <v>37</v>
      </c>
      <c r="D39" s="78"/>
      <c r="E39" s="78"/>
      <c r="F39" s="78"/>
      <c r="G39" s="78"/>
      <c r="H39" s="78"/>
      <c r="I39" s="78"/>
      <c r="J39" s="79">
        <f>J9</f>
        <v>60</v>
      </c>
      <c r="K39" s="80" t="s">
        <v>27</v>
      </c>
      <c r="M39" s="78"/>
      <c r="N39" s="78"/>
      <c r="O39" s="78"/>
      <c r="P39" s="78"/>
      <c r="Q39" s="78"/>
      <c r="R39" s="78"/>
    </row>
    <row r="40" spans="1:18" s="81" customFormat="1" ht="13.5" x14ac:dyDescent="0.3">
      <c r="A40" s="84"/>
      <c r="B40" s="84"/>
      <c r="C40" s="78" t="s">
        <v>39</v>
      </c>
      <c r="D40" s="78"/>
      <c r="E40" s="78"/>
      <c r="F40" s="78"/>
      <c r="G40" s="78"/>
      <c r="H40" s="78"/>
      <c r="I40" s="78"/>
      <c r="J40" s="79">
        <f>J6</f>
        <v>30</v>
      </c>
      <c r="K40" s="80" t="s">
        <v>18</v>
      </c>
      <c r="M40" s="78"/>
      <c r="N40" s="78"/>
      <c r="O40" s="78"/>
      <c r="P40" s="78"/>
      <c r="Q40" s="78"/>
      <c r="R40" s="78"/>
    </row>
    <row r="41" spans="1:18" s="81" customFormat="1" ht="13.5" x14ac:dyDescent="0.3">
      <c r="A41" s="84"/>
      <c r="B41" s="84"/>
      <c r="C41" s="86" t="s">
        <v>364</v>
      </c>
      <c r="D41" s="78"/>
      <c r="E41" s="78"/>
      <c r="F41" s="78"/>
      <c r="G41" s="78"/>
      <c r="H41" s="78"/>
      <c r="I41" s="78"/>
      <c r="J41" s="79"/>
      <c r="K41" s="80"/>
      <c r="M41" s="78"/>
      <c r="N41" s="78"/>
      <c r="O41" s="78"/>
      <c r="P41" s="78"/>
      <c r="Q41" s="78"/>
      <c r="R41" s="78"/>
    </row>
    <row r="42" spans="1:18" s="81" customFormat="1" ht="13.5" x14ac:dyDescent="0.3">
      <c r="A42" s="84"/>
      <c r="B42" s="84"/>
      <c r="C42" s="78" t="s">
        <v>365</v>
      </c>
      <c r="D42" s="78"/>
      <c r="E42" s="78"/>
      <c r="F42" s="78"/>
      <c r="G42" s="78"/>
      <c r="H42" s="78"/>
      <c r="I42" s="78"/>
      <c r="J42" s="79">
        <f>J7</f>
        <v>80</v>
      </c>
      <c r="K42" s="80" t="s">
        <v>359</v>
      </c>
      <c r="M42" s="78"/>
      <c r="N42" s="78"/>
      <c r="O42" s="78"/>
      <c r="P42" s="78"/>
      <c r="Q42" s="78"/>
      <c r="R42" s="78"/>
    </row>
    <row r="43" spans="1:18" s="81" customFormat="1" ht="13.5" x14ac:dyDescent="0.3">
      <c r="A43" s="84"/>
      <c r="B43" s="84"/>
      <c r="C43" s="86" t="s">
        <v>132</v>
      </c>
      <c r="D43" s="78"/>
      <c r="E43" s="78"/>
      <c r="F43" s="78"/>
      <c r="G43" s="78"/>
      <c r="H43" s="78"/>
      <c r="I43" s="78"/>
      <c r="J43" s="79"/>
      <c r="K43" s="80"/>
      <c r="M43" s="78"/>
      <c r="N43" s="78"/>
      <c r="O43" s="78"/>
      <c r="P43" s="78"/>
      <c r="Q43" s="78"/>
      <c r="R43" s="78"/>
    </row>
    <row r="44" spans="1:18" s="81" customFormat="1" ht="13.5" x14ac:dyDescent="0.3">
      <c r="A44" s="84"/>
      <c r="B44" s="84"/>
      <c r="C44" s="78" t="s">
        <v>40</v>
      </c>
      <c r="D44" s="78"/>
      <c r="E44" s="78"/>
      <c r="F44" s="78"/>
      <c r="G44" s="78"/>
      <c r="H44" s="78"/>
      <c r="I44" s="78"/>
      <c r="J44" s="79">
        <f>J8</f>
        <v>0</v>
      </c>
      <c r="K44" s="80" t="s">
        <v>41</v>
      </c>
      <c r="M44" s="229" t="s">
        <v>407</v>
      </c>
      <c r="N44" s="229"/>
      <c r="O44" s="78"/>
      <c r="P44" s="78"/>
      <c r="Q44" s="78"/>
      <c r="R44" s="78"/>
    </row>
    <row r="45" spans="1:18" s="78" customFormat="1" ht="13.5" x14ac:dyDescent="0.3">
      <c r="A45" s="84"/>
      <c r="B45" s="84"/>
      <c r="C45" s="86" t="s">
        <v>131</v>
      </c>
      <c r="J45" s="79"/>
      <c r="K45" s="80"/>
      <c r="L45" s="81"/>
      <c r="M45" s="228" t="s">
        <v>410</v>
      </c>
      <c r="N45" s="228"/>
    </row>
    <row r="46" spans="1:18" s="78" customFormat="1" ht="13.5" x14ac:dyDescent="0.3">
      <c r="A46" s="84"/>
      <c r="B46" s="84"/>
      <c r="C46" s="78" t="s">
        <v>44</v>
      </c>
      <c r="J46" s="87">
        <f>J11/2</f>
        <v>609.5</v>
      </c>
      <c r="K46" s="80" t="s">
        <v>24</v>
      </c>
      <c r="L46" s="81"/>
      <c r="M46" s="170" t="s">
        <v>408</v>
      </c>
      <c r="N46" s="170" t="s">
        <v>409</v>
      </c>
    </row>
    <row r="47" spans="1:18" s="78" customFormat="1" ht="13.5" x14ac:dyDescent="0.3">
      <c r="A47" s="84"/>
      <c r="B47" s="84"/>
      <c r="C47" s="78" t="s">
        <v>46</v>
      </c>
      <c r="J47" s="87">
        <f>N47</f>
        <v>913.31719202011891</v>
      </c>
      <c r="K47" s="80" t="s">
        <v>47</v>
      </c>
      <c r="L47" s="81"/>
      <c r="M47" s="171">
        <f>J46+J48</f>
        <v>918.86719202011886</v>
      </c>
      <c r="N47" s="172">
        <f>M47+IF(AND(M47*2&gt;=73,M47*2&lt;=194),-4.8,IF(AND(M47*2&gt;=194,M47*2&lt;=381),-6.4,IF(AND(M47*2&gt;=381,M47*2&lt;=533),-7.9,IF(AND(M47*2&gt;=533,M47*2&lt;=762),-9.5,IF(M47*2&gt;=762,-11.1,0)))))/2</f>
        <v>913.31719202011891</v>
      </c>
    </row>
    <row r="48" spans="1:18" s="78" customFormat="1" ht="13.5" x14ac:dyDescent="0.3">
      <c r="A48" s="84"/>
      <c r="B48" s="84"/>
      <c r="D48" s="78" t="s">
        <v>48</v>
      </c>
      <c r="J48" s="87">
        <f>J111</f>
        <v>309.36719202011881</v>
      </c>
      <c r="K48" s="80" t="s">
        <v>24</v>
      </c>
      <c r="L48" s="81"/>
    </row>
    <row r="49" spans="1:18" s="78" customFormat="1" ht="13.5" x14ac:dyDescent="0.3">
      <c r="A49" s="84"/>
      <c r="B49" s="84"/>
      <c r="C49" s="86" t="s">
        <v>130</v>
      </c>
      <c r="J49" s="79"/>
      <c r="K49" s="80"/>
      <c r="L49" s="81"/>
    </row>
    <row r="50" spans="1:18" s="78" customFormat="1" ht="13.5" x14ac:dyDescent="0.3">
      <c r="A50" s="84"/>
      <c r="B50" s="84"/>
      <c r="C50" s="78" t="s">
        <v>55</v>
      </c>
      <c r="J50" s="187">
        <f>IF(J51="Calcium Silicate (ASTM C533)",J55,IF(J51="Perlite (ASTM C610)",J58,IF(J51="Glass Fiber (ASTM C1086)",J59,IF(AND(J51="Mineral Fiber (ASTM C547&amp;C592)",J60&lt;=250),J56,J57))))</f>
        <v>9.0281664752779184E-2</v>
      </c>
      <c r="K50" s="80" t="s">
        <v>125</v>
      </c>
      <c r="L50" s="81"/>
    </row>
    <row r="51" spans="1:18" s="78" customFormat="1" ht="13.5" x14ac:dyDescent="0.3">
      <c r="A51" s="84"/>
      <c r="B51" s="84"/>
      <c r="D51" s="78" t="s">
        <v>14</v>
      </c>
      <c r="J51" s="79" t="str">
        <f>J15</f>
        <v>Glass Fiber (ASTM C1086)</v>
      </c>
      <c r="K51" s="80" t="s">
        <v>25</v>
      </c>
      <c r="L51" s="81"/>
    </row>
    <row r="52" spans="1:18" s="78" customFormat="1" ht="13.5" x14ac:dyDescent="0.3">
      <c r="A52" s="84"/>
      <c r="B52" s="84"/>
      <c r="D52" s="78" t="s">
        <v>121</v>
      </c>
      <c r="J52" s="79">
        <f>AVERAGE(J53:J54)</f>
        <v>355</v>
      </c>
      <c r="K52" s="80" t="s">
        <v>18</v>
      </c>
      <c r="L52" s="81"/>
    </row>
    <row r="53" spans="1:18" s="78" customFormat="1" ht="13.5" x14ac:dyDescent="0.3">
      <c r="A53" s="84"/>
      <c r="B53" s="84"/>
      <c r="E53" s="78" t="s">
        <v>37</v>
      </c>
      <c r="J53" s="79">
        <f>J39</f>
        <v>60</v>
      </c>
      <c r="K53" s="80" t="s">
        <v>18</v>
      </c>
      <c r="L53" s="81"/>
    </row>
    <row r="54" spans="1:18" s="78" customFormat="1" ht="13.5" x14ac:dyDescent="0.3">
      <c r="A54" s="84"/>
      <c r="B54" s="84"/>
      <c r="E54" s="78" t="s">
        <v>34</v>
      </c>
      <c r="J54" s="79">
        <f>J38</f>
        <v>650</v>
      </c>
      <c r="K54" s="80" t="s">
        <v>18</v>
      </c>
      <c r="L54" s="81" t="s">
        <v>122</v>
      </c>
    </row>
    <row r="55" spans="1:18" s="81" customFormat="1" ht="13.5" x14ac:dyDescent="0.3">
      <c r="A55" s="84"/>
      <c r="B55" s="84"/>
      <c r="C55" s="78"/>
      <c r="D55" s="78" t="s">
        <v>288</v>
      </c>
      <c r="E55" s="78"/>
      <c r="F55" s="78"/>
      <c r="G55" s="78"/>
      <c r="H55" s="78"/>
      <c r="I55" s="78"/>
      <c r="J55" s="187">
        <f>spline(Data!C19:C25,Data!D19:D25,J52)</f>
        <v>0.10037296131968443</v>
      </c>
      <c r="K55" s="80" t="s">
        <v>125</v>
      </c>
      <c r="M55" s="78"/>
      <c r="N55" s="78"/>
      <c r="O55" s="78"/>
      <c r="P55" s="78"/>
      <c r="Q55" s="78"/>
      <c r="R55" s="78"/>
    </row>
    <row r="56" spans="1:18" s="81" customFormat="1" ht="13.5" x14ac:dyDescent="0.3">
      <c r="A56" s="84"/>
      <c r="B56" s="84"/>
      <c r="C56" s="78"/>
      <c r="D56" s="78" t="s">
        <v>287</v>
      </c>
      <c r="E56" s="78"/>
      <c r="F56" s="78"/>
      <c r="G56" s="78"/>
      <c r="H56" s="78"/>
      <c r="I56" s="78"/>
      <c r="J56" s="187">
        <f>spline(Data!J19:J25,Data!L19:L25,J52)</f>
        <v>0.10591436422785601</v>
      </c>
      <c r="K56" s="80" t="s">
        <v>52</v>
      </c>
      <c r="M56" s="78"/>
      <c r="N56" s="78"/>
      <c r="O56" s="78"/>
      <c r="P56" s="78"/>
      <c r="Q56" s="78"/>
      <c r="R56" s="78"/>
    </row>
    <row r="57" spans="1:18" s="81" customFormat="1" ht="13.5" x14ac:dyDescent="0.3">
      <c r="A57" s="84"/>
      <c r="B57" s="84"/>
      <c r="C57" s="78"/>
      <c r="D57" s="78" t="s">
        <v>286</v>
      </c>
      <c r="E57" s="78"/>
      <c r="F57" s="78"/>
      <c r="G57" s="78"/>
      <c r="H57" s="78"/>
      <c r="I57" s="78"/>
      <c r="J57" s="187">
        <f>spline(Data!Q19:Q27,Data!S19:S27,J52)</f>
        <v>0.11936037709750527</v>
      </c>
      <c r="K57" s="80" t="s">
        <v>52</v>
      </c>
      <c r="M57" s="78"/>
      <c r="N57" s="78"/>
      <c r="O57" s="78"/>
      <c r="P57" s="78"/>
      <c r="Q57" s="78"/>
      <c r="R57" s="78"/>
    </row>
    <row r="58" spans="1:18" s="81" customFormat="1" ht="13.5" x14ac:dyDescent="0.3">
      <c r="A58" s="84"/>
      <c r="B58" s="84"/>
      <c r="C58" s="78"/>
      <c r="D58" s="78" t="s">
        <v>304</v>
      </c>
      <c r="E58" s="78"/>
      <c r="F58" s="78"/>
      <c r="G58" s="78"/>
      <c r="H58" s="78"/>
      <c r="I58" s="78"/>
      <c r="J58" s="187">
        <f>spline(Data!Y19:Y25,Data!Z19:Z25,J52)</f>
        <v>0.1133428227867361</v>
      </c>
      <c r="K58" s="80" t="s">
        <v>52</v>
      </c>
      <c r="M58" s="78"/>
      <c r="N58" s="78"/>
      <c r="O58" s="78"/>
      <c r="P58" s="78"/>
      <c r="Q58" s="78"/>
      <c r="R58" s="78"/>
    </row>
    <row r="59" spans="1:18" s="81" customFormat="1" ht="13.5" x14ac:dyDescent="0.3">
      <c r="A59" s="84"/>
      <c r="B59" s="84"/>
      <c r="C59" s="78"/>
      <c r="D59" s="78" t="s">
        <v>303</v>
      </c>
      <c r="E59" s="78"/>
      <c r="F59" s="78"/>
      <c r="G59" s="78"/>
      <c r="H59" s="78"/>
      <c r="I59" s="78"/>
      <c r="J59" s="187">
        <f>spline(Data!AE19:AE22,Data!AF19:AF22,J52)</f>
        <v>9.0281664752779184E-2</v>
      </c>
      <c r="K59" s="80" t="s">
        <v>52</v>
      </c>
      <c r="M59" s="78"/>
      <c r="N59" s="78"/>
      <c r="O59" s="78"/>
      <c r="P59" s="78"/>
      <c r="Q59" s="78"/>
      <c r="R59" s="78"/>
    </row>
    <row r="60" spans="1:18" s="81" customFormat="1" ht="13.5" x14ac:dyDescent="0.3">
      <c r="A60" s="84"/>
      <c r="B60" s="84"/>
      <c r="C60" s="78"/>
      <c r="D60" s="78" t="s">
        <v>126</v>
      </c>
      <c r="E60" s="78"/>
      <c r="F60" s="78"/>
      <c r="G60" s="78"/>
      <c r="H60" s="78"/>
      <c r="I60" s="78"/>
      <c r="J60" s="79">
        <f>J12</f>
        <v>1200</v>
      </c>
      <c r="K60" s="80" t="s">
        <v>22</v>
      </c>
      <c r="M60" s="78"/>
      <c r="N60" s="78"/>
      <c r="O60" s="78"/>
      <c r="P60" s="78"/>
      <c r="Q60" s="78"/>
      <c r="R60" s="78"/>
    </row>
    <row r="61" spans="1:18" s="81" customFormat="1" ht="13.5" x14ac:dyDescent="0.3">
      <c r="A61" s="84"/>
      <c r="B61" s="84"/>
      <c r="C61" s="78" t="s">
        <v>128</v>
      </c>
      <c r="D61" s="78"/>
      <c r="E61" s="78"/>
      <c r="F61" s="78"/>
      <c r="G61" s="78"/>
      <c r="H61" s="78"/>
      <c r="I61" s="78"/>
      <c r="J61" s="187">
        <f>_xll.AirPTWK(J62,J63,_xll.AirPTRW(J62,J63,J64/100,1),1)</f>
        <v>2.6281052277609001E-2</v>
      </c>
      <c r="K61" s="80" t="s">
        <v>52</v>
      </c>
      <c r="M61" s="78"/>
      <c r="N61" s="78"/>
      <c r="O61" s="78"/>
      <c r="P61" s="78"/>
      <c r="Q61" s="78"/>
      <c r="R61" s="78"/>
    </row>
    <row r="62" spans="1:18" s="81" customFormat="1" ht="13.5" x14ac:dyDescent="0.3">
      <c r="A62" s="84"/>
      <c r="B62" s="84"/>
      <c r="C62" s="78"/>
      <c r="D62" s="78" t="s">
        <v>35</v>
      </c>
      <c r="E62" s="78"/>
      <c r="F62" s="78"/>
      <c r="G62" s="78"/>
      <c r="H62" s="78"/>
      <c r="I62" s="78"/>
      <c r="J62" s="79">
        <f>J36</f>
        <v>1.0129999999999999</v>
      </c>
      <c r="K62" s="80" t="s">
        <v>28</v>
      </c>
      <c r="M62" s="78"/>
      <c r="N62" s="78"/>
      <c r="O62" s="78"/>
      <c r="P62" s="78"/>
      <c r="Q62" s="78"/>
      <c r="R62" s="78"/>
    </row>
    <row r="63" spans="1:18" s="81" customFormat="1" ht="13.5" x14ac:dyDescent="0.3">
      <c r="A63" s="84"/>
      <c r="B63" s="84"/>
      <c r="C63" s="78"/>
      <c r="D63" s="78" t="s">
        <v>39</v>
      </c>
      <c r="E63" s="78"/>
      <c r="F63" s="78"/>
      <c r="G63" s="78"/>
      <c r="H63" s="78"/>
      <c r="I63" s="78"/>
      <c r="J63" s="79">
        <f>J40</f>
        <v>30</v>
      </c>
      <c r="K63" s="80" t="s">
        <v>18</v>
      </c>
      <c r="M63" s="78"/>
      <c r="N63" s="78"/>
      <c r="O63" s="78"/>
      <c r="P63" s="78"/>
      <c r="Q63" s="78"/>
      <c r="R63" s="78"/>
    </row>
    <row r="64" spans="1:18" s="81" customFormat="1" ht="13.5" x14ac:dyDescent="0.3">
      <c r="A64" s="84"/>
      <c r="B64" s="84"/>
      <c r="C64" s="78"/>
      <c r="D64" s="78" t="s">
        <v>365</v>
      </c>
      <c r="E64" s="78"/>
      <c r="F64" s="78"/>
      <c r="G64" s="78"/>
      <c r="H64" s="78"/>
      <c r="I64" s="78"/>
      <c r="J64" s="79">
        <f>J42</f>
        <v>80</v>
      </c>
      <c r="K64" s="80" t="s">
        <v>366</v>
      </c>
      <c r="M64" s="78"/>
      <c r="N64" s="78"/>
      <c r="O64" s="78"/>
      <c r="P64" s="78"/>
      <c r="Q64" s="78"/>
      <c r="R64" s="78"/>
    </row>
    <row r="65" spans="1:18" s="81" customFormat="1" ht="13.5" x14ac:dyDescent="0.3">
      <c r="A65" s="84"/>
      <c r="B65" s="84"/>
      <c r="C65" s="86" t="s">
        <v>129</v>
      </c>
      <c r="D65" s="78"/>
      <c r="E65" s="78"/>
      <c r="F65" s="78"/>
      <c r="G65" s="78"/>
      <c r="H65" s="78"/>
      <c r="I65" s="78"/>
      <c r="J65" s="79"/>
      <c r="K65" s="80"/>
      <c r="M65" s="78"/>
      <c r="N65" s="78"/>
      <c r="O65" s="78"/>
      <c r="P65" s="78"/>
      <c r="Q65" s="78"/>
      <c r="R65" s="78"/>
    </row>
    <row r="66" spans="1:18" x14ac:dyDescent="0.3">
      <c r="C66" s="78" t="s">
        <v>157</v>
      </c>
      <c r="J66" s="87">
        <f>J69*J68/(J67/1000)</f>
        <v>4.0748149832525353</v>
      </c>
    </row>
    <row r="67" spans="1:18" x14ac:dyDescent="0.3">
      <c r="D67" s="78" t="s">
        <v>159</v>
      </c>
      <c r="J67" s="87">
        <f>J47*2</f>
        <v>1826.6343840402378</v>
      </c>
      <c r="K67" s="80" t="s">
        <v>24</v>
      </c>
    </row>
    <row r="68" spans="1:18" x14ac:dyDescent="0.3">
      <c r="D68" s="78" t="s">
        <v>160</v>
      </c>
      <c r="J68" s="187">
        <f>J61</f>
        <v>2.6281052277609001E-2</v>
      </c>
      <c r="K68" s="80" t="s">
        <v>125</v>
      </c>
    </row>
    <row r="69" spans="1:18" x14ac:dyDescent="0.3">
      <c r="D69" s="78" t="s">
        <v>161</v>
      </c>
      <c r="J69" s="87">
        <f>IF(J70=0,J72,J88)</f>
        <v>283.21534002475619</v>
      </c>
      <c r="K69" s="80" t="s">
        <v>25</v>
      </c>
      <c r="L69" s="81" t="s">
        <v>167</v>
      </c>
    </row>
    <row r="70" spans="1:18" x14ac:dyDescent="0.3">
      <c r="E70" s="78" t="s">
        <v>188</v>
      </c>
      <c r="J70" s="79">
        <f>J44</f>
        <v>0</v>
      </c>
      <c r="K70" s="80" t="s">
        <v>41</v>
      </c>
    </row>
    <row r="71" spans="1:18" x14ac:dyDescent="0.3">
      <c r="D71" s="78" t="s">
        <v>210</v>
      </c>
    </row>
    <row r="72" spans="1:18" x14ac:dyDescent="0.3">
      <c r="D72" s="78" t="s">
        <v>162</v>
      </c>
      <c r="J72" s="87">
        <f>(0.6+(0.387*J77^(1/6))/(1+(0.559/J73)^(9/16))^(8/27))^2</f>
        <v>283.21534002475619</v>
      </c>
      <c r="K72" s="80" t="s">
        <v>25</v>
      </c>
      <c r="R72" s="78" t="s">
        <v>185</v>
      </c>
    </row>
    <row r="73" spans="1:18" x14ac:dyDescent="0.3">
      <c r="E73" s="78" t="s">
        <v>164</v>
      </c>
      <c r="J73" s="87">
        <f>J74*J75/J76</f>
        <v>0.72250383994690526</v>
      </c>
      <c r="K73" s="80" t="s">
        <v>25</v>
      </c>
    </row>
    <row r="74" spans="1:18" x14ac:dyDescent="0.3">
      <c r="F74" s="78" t="s">
        <v>165</v>
      </c>
      <c r="J74" s="187">
        <f>_xll.AirPTWM(J62,J63,_xll.AirPTRW(J62,J63,J64/100,1),1)</f>
        <v>1.8124606972273846E-2</v>
      </c>
      <c r="K74" s="80" t="s">
        <v>145</v>
      </c>
    </row>
    <row r="75" spans="1:18" x14ac:dyDescent="0.3">
      <c r="F75" s="78" t="s">
        <v>166</v>
      </c>
      <c r="J75" s="87">
        <f>_xll.AirPTWC(J62,J63,_xll.AirPTRW(J62,J63,J64/100,1),1)</f>
        <v>1.0476454037025489</v>
      </c>
      <c r="K75" s="80" t="s">
        <v>156</v>
      </c>
    </row>
    <row r="76" spans="1:18" x14ac:dyDescent="0.3">
      <c r="F76" s="78" t="s">
        <v>127</v>
      </c>
      <c r="J76" s="187">
        <f>J61</f>
        <v>2.6281052277609001E-2</v>
      </c>
      <c r="K76" s="80" t="s">
        <v>125</v>
      </c>
    </row>
    <row r="77" spans="1:18" x14ac:dyDescent="0.3">
      <c r="E77" s="78" t="s">
        <v>169</v>
      </c>
      <c r="J77" s="79">
        <f>J78*J86</f>
        <v>16479497475.14015</v>
      </c>
      <c r="K77" s="80" t="s">
        <v>25</v>
      </c>
    </row>
    <row r="78" spans="1:18" x14ac:dyDescent="0.3">
      <c r="F78" s="78" t="s">
        <v>170</v>
      </c>
      <c r="J78" s="88">
        <f>(J79/1000)^3*J80^2*J81*(J82-J83)*J84/(J85*10^(-3))^2</f>
        <v>22808871820.461441</v>
      </c>
      <c r="K78" s="80" t="s">
        <v>25</v>
      </c>
    </row>
    <row r="79" spans="1:18" x14ac:dyDescent="0.3">
      <c r="G79" s="78" t="s">
        <v>158</v>
      </c>
      <c r="J79" s="87">
        <f>J47*2</f>
        <v>1826.6343840402378</v>
      </c>
      <c r="K79" s="80" t="s">
        <v>24</v>
      </c>
    </row>
    <row r="80" spans="1:18" x14ac:dyDescent="0.3">
      <c r="G80" s="78" t="s">
        <v>171</v>
      </c>
      <c r="J80" s="87">
        <f>1/_xll.AirPTWV(J62,J63,_xll.AirPTRW(J62,J63,J64/100,1),1)</f>
        <v>1.1253031887566141</v>
      </c>
      <c r="K80" s="80" t="s">
        <v>146</v>
      </c>
    </row>
    <row r="81" spans="4:18" x14ac:dyDescent="0.3">
      <c r="G81" s="78" t="s">
        <v>172</v>
      </c>
      <c r="J81" s="79">
        <v>9.81</v>
      </c>
      <c r="K81" s="80" t="s">
        <v>174</v>
      </c>
    </row>
    <row r="82" spans="4:18" x14ac:dyDescent="0.3">
      <c r="G82" s="78" t="s">
        <v>36</v>
      </c>
      <c r="J82" s="79">
        <f>J39</f>
        <v>60</v>
      </c>
      <c r="K82" s="80" t="s">
        <v>18</v>
      </c>
    </row>
    <row r="83" spans="4:18" x14ac:dyDescent="0.3">
      <c r="G83" s="78" t="s">
        <v>38</v>
      </c>
      <c r="J83" s="79">
        <f>J40</f>
        <v>30</v>
      </c>
      <c r="K83" s="80" t="s">
        <v>18</v>
      </c>
    </row>
    <row r="84" spans="4:18" x14ac:dyDescent="0.3">
      <c r="G84" s="78" t="s">
        <v>173</v>
      </c>
      <c r="J84" s="79">
        <f>1/(J83+273.14)</f>
        <v>3.2988058322887116E-3</v>
      </c>
      <c r="K84" s="80" t="s">
        <v>175</v>
      </c>
    </row>
    <row r="85" spans="4:18" x14ac:dyDescent="0.3">
      <c r="G85" s="78" t="s">
        <v>165</v>
      </c>
      <c r="J85" s="79">
        <f>_xll.AirPTWM(J62,J63,_xll.AirPTRW(J62,J63,J64/100,1),1)</f>
        <v>1.8124606972273846E-2</v>
      </c>
      <c r="K85" s="80" t="s">
        <v>155</v>
      </c>
    </row>
    <row r="86" spans="4:18" x14ac:dyDescent="0.3">
      <c r="F86" s="78" t="s">
        <v>164</v>
      </c>
      <c r="J86" s="79">
        <f>J73</f>
        <v>0.72250383994690526</v>
      </c>
      <c r="K86" s="80" t="s">
        <v>25</v>
      </c>
    </row>
    <row r="87" spans="4:18" x14ac:dyDescent="0.3">
      <c r="D87" s="78" t="s">
        <v>211</v>
      </c>
    </row>
    <row r="88" spans="4:18" x14ac:dyDescent="0.3">
      <c r="D88" s="78" t="s">
        <v>176</v>
      </c>
      <c r="J88" s="79">
        <f>0.3+((J89-0.3)^4+(J96-0.3)^4)^(1/4)</f>
        <v>283.21534002475607</v>
      </c>
      <c r="K88" s="80" t="s">
        <v>119</v>
      </c>
      <c r="R88" s="78" t="s">
        <v>187</v>
      </c>
    </row>
    <row r="89" spans="4:18" x14ac:dyDescent="0.3">
      <c r="E89" s="78" t="s">
        <v>177</v>
      </c>
      <c r="J89" s="79">
        <f>0.3+(0.62*J90^(1/2)*J95^(1/3))/(1+(0.4/J95)^(2/3))^(1/4)*(1+(J90/282000)^(5/8))^(4/5)</f>
        <v>0.3</v>
      </c>
      <c r="K89" s="80" t="s">
        <v>25</v>
      </c>
      <c r="R89" s="78" t="s">
        <v>186</v>
      </c>
    </row>
    <row r="90" spans="4:18" x14ac:dyDescent="0.3">
      <c r="F90" s="78" t="s">
        <v>178</v>
      </c>
      <c r="J90" s="79">
        <f>J92*J93*J94/J91</f>
        <v>0</v>
      </c>
      <c r="K90" s="80" t="s">
        <v>183</v>
      </c>
    </row>
    <row r="91" spans="4:18" x14ac:dyDescent="0.3">
      <c r="G91" s="78" t="s">
        <v>165</v>
      </c>
      <c r="J91" s="79">
        <f>J74</f>
        <v>1.8124606972273846E-2</v>
      </c>
      <c r="K91" s="80" t="s">
        <v>182</v>
      </c>
    </row>
    <row r="92" spans="4:18" x14ac:dyDescent="0.3">
      <c r="G92" s="78" t="s">
        <v>171</v>
      </c>
      <c r="J92" s="79">
        <f>J80</f>
        <v>1.1253031887566141</v>
      </c>
      <c r="K92" s="80" t="s">
        <v>146</v>
      </c>
    </row>
    <row r="93" spans="4:18" x14ac:dyDescent="0.3">
      <c r="G93" s="78" t="s">
        <v>180</v>
      </c>
      <c r="J93" s="79">
        <f>J44</f>
        <v>0</v>
      </c>
      <c r="K93" s="80" t="s">
        <v>181</v>
      </c>
    </row>
    <row r="94" spans="4:18" x14ac:dyDescent="0.3">
      <c r="G94" s="78" t="s">
        <v>179</v>
      </c>
      <c r="J94" s="79">
        <f>J79</f>
        <v>1826.6343840402378</v>
      </c>
      <c r="K94" s="80" t="s">
        <v>21</v>
      </c>
    </row>
    <row r="95" spans="4:18" x14ac:dyDescent="0.3">
      <c r="F95" s="78" t="s">
        <v>163</v>
      </c>
      <c r="J95" s="79">
        <f>J73</f>
        <v>0.72250383994690526</v>
      </c>
      <c r="K95" s="80" t="s">
        <v>25</v>
      </c>
    </row>
    <row r="96" spans="4:18" x14ac:dyDescent="0.3">
      <c r="E96" s="78" t="s">
        <v>184</v>
      </c>
      <c r="J96" s="79">
        <f>J72</f>
        <v>283.21534002475619</v>
      </c>
      <c r="K96" s="80" t="s">
        <v>25</v>
      </c>
    </row>
    <row r="97" spans="1:12" x14ac:dyDescent="0.3">
      <c r="C97" s="78" t="s">
        <v>189</v>
      </c>
      <c r="J97" s="79">
        <f>J98*J99*((J100+273.14)^4-(J101+273.14)^4)/(J100-J101)</f>
        <v>0.73191771709634568</v>
      </c>
      <c r="K97" s="80" t="s">
        <v>194</v>
      </c>
    </row>
    <row r="98" spans="1:12" s="78" customFormat="1" ht="13.5" x14ac:dyDescent="0.3">
      <c r="A98" s="84"/>
      <c r="B98" s="84"/>
      <c r="D98" s="78" t="s">
        <v>190</v>
      </c>
      <c r="J98" s="79">
        <f>J16</f>
        <v>0.1</v>
      </c>
      <c r="K98" s="80" t="s">
        <v>192</v>
      </c>
      <c r="L98" s="81"/>
    </row>
    <row r="99" spans="1:12" s="78" customFormat="1" ht="13.5" x14ac:dyDescent="0.3">
      <c r="A99" s="84"/>
      <c r="B99" s="84"/>
      <c r="D99" s="78" t="s">
        <v>191</v>
      </c>
      <c r="J99" s="79">
        <f>5.67*10^(-8)</f>
        <v>5.6699999999999998E-8</v>
      </c>
      <c r="K99" s="80" t="s">
        <v>193</v>
      </c>
      <c r="L99" s="81"/>
    </row>
    <row r="100" spans="1:12" s="78" customFormat="1" ht="13.5" x14ac:dyDescent="0.3">
      <c r="A100" s="84"/>
      <c r="B100" s="84"/>
      <c r="D100" s="78" t="s">
        <v>36</v>
      </c>
      <c r="J100" s="79">
        <f>J39</f>
        <v>60</v>
      </c>
      <c r="K100" s="80" t="s">
        <v>18</v>
      </c>
      <c r="L100" s="81"/>
    </row>
    <row r="101" spans="1:12" s="78" customFormat="1" ht="13.5" x14ac:dyDescent="0.3">
      <c r="A101" s="84"/>
      <c r="B101" s="84"/>
      <c r="D101" s="78" t="s">
        <v>38</v>
      </c>
      <c r="J101" s="79">
        <f>J40</f>
        <v>30</v>
      </c>
      <c r="K101" s="80" t="s">
        <v>18</v>
      </c>
      <c r="L101" s="81"/>
    </row>
    <row r="102" spans="1:12" s="78" customFormat="1" ht="13.5" x14ac:dyDescent="0.3">
      <c r="A102" s="84"/>
      <c r="B102" s="84"/>
      <c r="C102" s="78" t="s">
        <v>196</v>
      </c>
      <c r="J102" s="79">
        <f>J103+J104</f>
        <v>4.8067327003488813</v>
      </c>
      <c r="K102" s="80" t="s">
        <v>194</v>
      </c>
      <c r="L102" s="89"/>
    </row>
    <row r="103" spans="1:12" s="78" customFormat="1" ht="13.5" x14ac:dyDescent="0.3">
      <c r="A103" s="84"/>
      <c r="B103" s="84"/>
      <c r="D103" s="78" t="s">
        <v>157</v>
      </c>
      <c r="J103" s="79">
        <f>J66</f>
        <v>4.0748149832525353</v>
      </c>
      <c r="K103" s="80" t="s">
        <v>194</v>
      </c>
      <c r="L103" s="81"/>
    </row>
    <row r="104" spans="1:12" s="78" customFormat="1" ht="13.5" x14ac:dyDescent="0.3">
      <c r="A104" s="84"/>
      <c r="B104" s="84"/>
      <c r="D104" s="78" t="s">
        <v>197</v>
      </c>
      <c r="J104" s="79">
        <f>J97</f>
        <v>0.73191771709634568</v>
      </c>
      <c r="K104" s="80" t="s">
        <v>194</v>
      </c>
      <c r="L104" s="81"/>
    </row>
    <row r="106" spans="1:12" s="78" customFormat="1" ht="13.5" x14ac:dyDescent="0.3">
      <c r="A106" s="84"/>
      <c r="B106" s="77" t="s">
        <v>61</v>
      </c>
      <c r="C106" s="85" t="s">
        <v>229</v>
      </c>
      <c r="J106" s="79"/>
      <c r="K106" s="80"/>
      <c r="L106" s="81"/>
    </row>
    <row r="107" spans="1:12" s="78" customFormat="1" ht="13.5" x14ac:dyDescent="0.3">
      <c r="A107" s="84"/>
      <c r="B107" s="77"/>
      <c r="C107" s="86" t="s">
        <v>209</v>
      </c>
      <c r="J107" s="79"/>
      <c r="K107" s="80"/>
      <c r="L107" s="81"/>
    </row>
    <row r="108" spans="1:12" s="78" customFormat="1" ht="13.5" x14ac:dyDescent="0.3">
      <c r="A108" s="84"/>
      <c r="B108" s="77"/>
      <c r="C108" s="78" t="s">
        <v>215</v>
      </c>
      <c r="J108" s="79"/>
      <c r="K108" s="80"/>
      <c r="L108" s="81" t="s">
        <v>387</v>
      </c>
    </row>
    <row r="109" spans="1:12" s="78" customFormat="1" ht="13.5" x14ac:dyDescent="0.3">
      <c r="A109" s="84"/>
      <c r="B109" s="77"/>
      <c r="C109" s="78" t="s">
        <v>386</v>
      </c>
      <c r="J109" s="79"/>
      <c r="K109" s="80"/>
      <c r="L109" s="81" t="s">
        <v>388</v>
      </c>
    </row>
    <row r="110" spans="1:12" s="78" customFormat="1" ht="13.5" x14ac:dyDescent="0.3">
      <c r="A110" s="84"/>
      <c r="B110" s="84"/>
      <c r="C110" s="78" t="s">
        <v>204</v>
      </c>
      <c r="J110" s="79">
        <f>LN(J115/J116)/(2*PI()*J117)</f>
        <v>0.71298317241621423</v>
      </c>
      <c r="K110" s="80" t="s">
        <v>201</v>
      </c>
      <c r="L110" s="81"/>
    </row>
    <row r="111" spans="1:12" s="78" customFormat="1" ht="13.5" x14ac:dyDescent="0.3">
      <c r="A111" s="84"/>
      <c r="B111" s="84"/>
      <c r="D111" s="78" t="s">
        <v>205</v>
      </c>
      <c r="J111" s="189">
        <v>309.36719202011881</v>
      </c>
      <c r="K111" s="80" t="s">
        <v>24</v>
      </c>
      <c r="L111" s="90"/>
    </row>
    <row r="112" spans="1:12" s="78" customFormat="1" ht="13.5" x14ac:dyDescent="0.3">
      <c r="A112" s="84"/>
      <c r="B112" s="84"/>
      <c r="E112" s="78" t="s">
        <v>373</v>
      </c>
      <c r="J112" s="79">
        <f>J123</f>
        <v>827.50901118824584</v>
      </c>
      <c r="K112" s="80" t="s">
        <v>219</v>
      </c>
      <c r="L112" s="81"/>
    </row>
    <row r="113" spans="1:18" s="78" customFormat="1" ht="13.5" x14ac:dyDescent="0.3">
      <c r="A113" s="84"/>
      <c r="B113" s="84"/>
      <c r="E113" s="78" t="s">
        <v>226</v>
      </c>
      <c r="J113" s="79">
        <f>J130</f>
        <v>827.50900362656978</v>
      </c>
      <c r="K113" s="80" t="s">
        <v>219</v>
      </c>
      <c r="L113" s="81"/>
    </row>
    <row r="114" spans="1:18" s="78" customFormat="1" ht="13.5" x14ac:dyDescent="0.3">
      <c r="A114" s="84"/>
      <c r="B114" s="84"/>
      <c r="F114" s="78" t="s">
        <v>227</v>
      </c>
      <c r="J114" s="8">
        <f>J112-J113</f>
        <v>7.5616760568664176E-6</v>
      </c>
      <c r="K114" s="80" t="s">
        <v>228</v>
      </c>
      <c r="L114" s="81" t="s">
        <v>235</v>
      </c>
    </row>
    <row r="115" spans="1:18" s="78" customFormat="1" ht="13.5" x14ac:dyDescent="0.3">
      <c r="A115" s="84"/>
      <c r="B115" s="84"/>
      <c r="D115" s="78" t="s">
        <v>45</v>
      </c>
      <c r="J115" s="87">
        <f>J47</f>
        <v>913.31719202011891</v>
      </c>
      <c r="K115" s="80" t="s">
        <v>24</v>
      </c>
      <c r="L115" s="81"/>
    </row>
    <row r="116" spans="1:18" s="78" customFormat="1" ht="13.5" x14ac:dyDescent="0.3">
      <c r="A116" s="84"/>
      <c r="B116" s="84"/>
      <c r="D116" s="78" t="s">
        <v>43</v>
      </c>
      <c r="J116" s="79">
        <f>J46</f>
        <v>609.5</v>
      </c>
      <c r="K116" s="80" t="s">
        <v>206</v>
      </c>
      <c r="L116" s="81"/>
    </row>
    <row r="117" spans="1:18" s="78" customFormat="1" ht="13.5" x14ac:dyDescent="0.3">
      <c r="A117" s="84"/>
      <c r="B117" s="84"/>
      <c r="D117" s="78" t="s">
        <v>54</v>
      </c>
      <c r="J117" s="79">
        <f>J50</f>
        <v>9.0281664752779184E-2</v>
      </c>
      <c r="K117" s="80" t="s">
        <v>125</v>
      </c>
      <c r="L117" s="81"/>
    </row>
    <row r="118" spans="1:18" s="78" customFormat="1" ht="13.5" x14ac:dyDescent="0.3">
      <c r="A118" s="84"/>
      <c r="B118" s="84"/>
      <c r="C118" s="78" t="s">
        <v>208</v>
      </c>
      <c r="J118" s="79">
        <f>1/(J119*2*PI()*(J120/1000))</f>
        <v>3.6253381979561045E-2</v>
      </c>
      <c r="K118" s="80" t="s">
        <v>201</v>
      </c>
      <c r="L118" s="81"/>
    </row>
    <row r="119" spans="1:18" s="78" customFormat="1" ht="13.5" x14ac:dyDescent="0.3">
      <c r="A119" s="84"/>
      <c r="B119" s="84"/>
      <c r="D119" s="78" t="s">
        <v>195</v>
      </c>
      <c r="J119" s="79">
        <f>J102</f>
        <v>4.8067327003488813</v>
      </c>
      <c r="K119" s="80" t="s">
        <v>194</v>
      </c>
      <c r="L119" s="81"/>
    </row>
    <row r="120" spans="1:18" s="78" customFormat="1" ht="13.5" x14ac:dyDescent="0.3">
      <c r="A120" s="84"/>
      <c r="B120" s="84"/>
      <c r="D120" s="78" t="s">
        <v>45</v>
      </c>
      <c r="J120" s="87">
        <f>J47</f>
        <v>913.31719202011891</v>
      </c>
      <c r="K120" s="80" t="s">
        <v>24</v>
      </c>
      <c r="L120" s="81"/>
    </row>
    <row r="121" spans="1:18" s="78" customFormat="1" ht="13.5" x14ac:dyDescent="0.3">
      <c r="A121" s="84"/>
      <c r="B121" s="84"/>
      <c r="C121" s="86" t="s">
        <v>273</v>
      </c>
      <c r="J121" s="79"/>
      <c r="K121" s="80"/>
      <c r="L121" s="81"/>
    </row>
    <row r="122" spans="1:18" s="78" customFormat="1" ht="13.5" x14ac:dyDescent="0.3">
      <c r="A122" s="84"/>
      <c r="B122" s="84"/>
      <c r="C122" s="78" t="s">
        <v>212</v>
      </c>
      <c r="J122" s="79"/>
      <c r="K122" s="80"/>
      <c r="L122" s="81"/>
    </row>
    <row r="123" spans="1:18" s="78" customFormat="1" ht="13.5" x14ac:dyDescent="0.3">
      <c r="A123" s="84"/>
      <c r="B123" s="84"/>
      <c r="C123" s="78" t="s">
        <v>213</v>
      </c>
      <c r="J123" s="79">
        <f>J126/J124</f>
        <v>827.50901118824584</v>
      </c>
      <c r="K123" s="80" t="s">
        <v>219</v>
      </c>
      <c r="L123" s="81"/>
    </row>
    <row r="124" spans="1:18" s="78" customFormat="1" ht="13.5" x14ac:dyDescent="0.3">
      <c r="A124" s="84"/>
      <c r="B124" s="84"/>
      <c r="D124" s="78" t="s">
        <v>214</v>
      </c>
      <c r="J124" s="79">
        <f>SUM(J125:J125)</f>
        <v>0.71298317241621423</v>
      </c>
      <c r="K124" s="80" t="s">
        <v>201</v>
      </c>
      <c r="L124" s="81"/>
    </row>
    <row r="125" spans="1:18" s="81" customFormat="1" ht="13.5" x14ac:dyDescent="0.3">
      <c r="A125" s="84"/>
      <c r="B125" s="84"/>
      <c r="C125" s="78"/>
      <c r="D125" s="78"/>
      <c r="E125" s="78" t="s">
        <v>216</v>
      </c>
      <c r="F125" s="78"/>
      <c r="G125" s="78"/>
      <c r="H125" s="78"/>
      <c r="I125" s="78"/>
      <c r="J125" s="79">
        <f>J110</f>
        <v>0.71298317241621423</v>
      </c>
      <c r="K125" s="80" t="s">
        <v>201</v>
      </c>
      <c r="M125" s="78"/>
      <c r="N125" s="78"/>
      <c r="O125" s="78"/>
      <c r="P125" s="78"/>
      <c r="Q125" s="78"/>
      <c r="R125" s="78"/>
    </row>
    <row r="126" spans="1:18" s="81" customFormat="1" ht="13.5" x14ac:dyDescent="0.3">
      <c r="A126" s="84"/>
      <c r="B126" s="84"/>
      <c r="C126" s="78"/>
      <c r="D126" s="78" t="s">
        <v>217</v>
      </c>
      <c r="E126" s="78"/>
      <c r="F126" s="78"/>
      <c r="G126" s="78"/>
      <c r="H126" s="78"/>
      <c r="I126" s="78"/>
      <c r="J126" s="79">
        <f>J127-J128</f>
        <v>590</v>
      </c>
      <c r="K126" s="80" t="s">
        <v>218</v>
      </c>
      <c r="M126" s="78"/>
      <c r="N126" s="78"/>
      <c r="O126" s="78"/>
      <c r="P126" s="78"/>
      <c r="Q126" s="78"/>
      <c r="R126" s="78"/>
    </row>
    <row r="127" spans="1:18" s="81" customFormat="1" ht="13.5" x14ac:dyDescent="0.3">
      <c r="A127" s="84"/>
      <c r="B127" s="84"/>
      <c r="C127" s="78"/>
      <c r="D127" s="78"/>
      <c r="E127" s="78" t="s">
        <v>33</v>
      </c>
      <c r="F127" s="78"/>
      <c r="G127" s="78"/>
      <c r="H127" s="78"/>
      <c r="I127" s="78"/>
      <c r="J127" s="79">
        <f>J38</f>
        <v>650</v>
      </c>
      <c r="K127" s="80" t="s">
        <v>27</v>
      </c>
      <c r="M127" s="78"/>
      <c r="N127" s="78"/>
      <c r="O127" s="78"/>
      <c r="P127" s="78"/>
      <c r="Q127" s="78"/>
      <c r="R127" s="78"/>
    </row>
    <row r="128" spans="1:18" s="81" customFormat="1" x14ac:dyDescent="0.3">
      <c r="A128" s="84"/>
      <c r="B128" s="84"/>
      <c r="C128" s="82"/>
      <c r="D128" s="78"/>
      <c r="E128" s="78" t="s">
        <v>36</v>
      </c>
      <c r="F128" s="78"/>
      <c r="G128" s="78"/>
      <c r="H128" s="78"/>
      <c r="I128" s="78"/>
      <c r="J128" s="79">
        <f>J39</f>
        <v>60</v>
      </c>
      <c r="K128" s="80" t="s">
        <v>27</v>
      </c>
      <c r="M128" s="78"/>
      <c r="N128" s="78"/>
      <c r="O128" s="78"/>
      <c r="P128" s="78"/>
      <c r="Q128" s="78"/>
      <c r="R128" s="78"/>
    </row>
    <row r="129" spans="1:18" s="81" customFormat="1" ht="13.5" x14ac:dyDescent="0.3">
      <c r="A129" s="84"/>
      <c r="B129" s="84"/>
      <c r="C129" s="78" t="s">
        <v>220</v>
      </c>
      <c r="D129" s="78"/>
      <c r="E129" s="78"/>
      <c r="F129" s="78"/>
      <c r="G129" s="78"/>
      <c r="H129" s="78"/>
      <c r="I129" s="78"/>
      <c r="J129" s="79"/>
      <c r="K129" s="80"/>
      <c r="M129" s="78"/>
      <c r="N129" s="78"/>
      <c r="O129" s="78"/>
      <c r="P129" s="78"/>
      <c r="Q129" s="78"/>
      <c r="R129" s="78"/>
    </row>
    <row r="130" spans="1:18" s="81" customFormat="1" ht="13.5" x14ac:dyDescent="0.3">
      <c r="A130" s="84"/>
      <c r="B130" s="84"/>
      <c r="C130" s="78" t="s">
        <v>221</v>
      </c>
      <c r="D130" s="78"/>
      <c r="E130" s="78"/>
      <c r="F130" s="78"/>
      <c r="G130" s="78"/>
      <c r="H130" s="78"/>
      <c r="I130" s="78"/>
      <c r="J130" s="79">
        <f>J133/J131</f>
        <v>827.50900362656978</v>
      </c>
      <c r="K130" s="80" t="s">
        <v>224</v>
      </c>
      <c r="M130" s="78"/>
      <c r="N130" s="78"/>
      <c r="O130" s="78"/>
      <c r="P130" s="78"/>
      <c r="Q130" s="78"/>
      <c r="R130" s="78"/>
    </row>
    <row r="131" spans="1:18" s="81" customFormat="1" ht="13.5" x14ac:dyDescent="0.3">
      <c r="A131" s="84"/>
      <c r="B131" s="84"/>
      <c r="C131" s="78"/>
      <c r="D131" s="78" t="s">
        <v>222</v>
      </c>
      <c r="E131" s="78"/>
      <c r="F131" s="78"/>
      <c r="G131" s="78"/>
      <c r="H131" s="78"/>
      <c r="I131" s="78"/>
      <c r="J131" s="79">
        <f>J132</f>
        <v>3.6253381979561045E-2</v>
      </c>
      <c r="K131" s="80" t="s">
        <v>201</v>
      </c>
      <c r="M131" s="78"/>
      <c r="N131" s="78"/>
      <c r="O131" s="78"/>
      <c r="P131" s="78"/>
      <c r="Q131" s="78"/>
      <c r="R131" s="78"/>
    </row>
    <row r="132" spans="1:18" s="81" customFormat="1" ht="13.5" x14ac:dyDescent="0.3">
      <c r="A132" s="84"/>
      <c r="B132" s="84"/>
      <c r="C132" s="78"/>
      <c r="D132" s="78"/>
      <c r="E132" s="78" t="s">
        <v>207</v>
      </c>
      <c r="F132" s="78"/>
      <c r="G132" s="78"/>
      <c r="H132" s="78"/>
      <c r="I132" s="78"/>
      <c r="J132" s="79">
        <f>J118</f>
        <v>3.6253381979561045E-2</v>
      </c>
      <c r="K132" s="80" t="s">
        <v>201</v>
      </c>
      <c r="M132" s="78"/>
      <c r="N132" s="78"/>
      <c r="O132" s="78"/>
      <c r="P132" s="78"/>
      <c r="Q132" s="78"/>
      <c r="R132" s="78"/>
    </row>
    <row r="133" spans="1:18" s="81" customFormat="1" ht="13.5" x14ac:dyDescent="0.3">
      <c r="A133" s="84"/>
      <c r="B133" s="84"/>
      <c r="C133" s="78"/>
      <c r="D133" s="78" t="s">
        <v>223</v>
      </c>
      <c r="E133" s="78"/>
      <c r="F133" s="78"/>
      <c r="G133" s="78"/>
      <c r="H133" s="78"/>
      <c r="I133" s="78"/>
      <c r="J133" s="79">
        <f>J134-J135</f>
        <v>30</v>
      </c>
      <c r="K133" s="80" t="s">
        <v>218</v>
      </c>
      <c r="M133" s="78"/>
      <c r="N133" s="78"/>
      <c r="O133" s="78"/>
      <c r="P133" s="78"/>
      <c r="Q133" s="78"/>
      <c r="R133" s="78"/>
    </row>
    <row r="134" spans="1:18" s="81" customFormat="1" ht="13.5" x14ac:dyDescent="0.3">
      <c r="A134" s="84"/>
      <c r="B134" s="84"/>
      <c r="C134" s="78"/>
      <c r="D134" s="78"/>
      <c r="E134" s="78" t="s">
        <v>36</v>
      </c>
      <c r="F134" s="78"/>
      <c r="G134" s="78"/>
      <c r="H134" s="78"/>
      <c r="I134" s="78"/>
      <c r="J134" s="79">
        <f>J39</f>
        <v>60</v>
      </c>
      <c r="K134" s="80" t="s">
        <v>27</v>
      </c>
      <c r="M134" s="78"/>
      <c r="N134" s="78"/>
      <c r="O134" s="78"/>
      <c r="P134" s="78"/>
      <c r="Q134" s="78"/>
      <c r="R134" s="78"/>
    </row>
    <row r="135" spans="1:18" s="81" customFormat="1" ht="13.5" x14ac:dyDescent="0.3">
      <c r="A135" s="84"/>
      <c r="B135" s="84"/>
      <c r="C135" s="78"/>
      <c r="D135" s="78"/>
      <c r="E135" s="78" t="s">
        <v>38</v>
      </c>
      <c r="F135" s="78"/>
      <c r="G135" s="78"/>
      <c r="H135" s="78"/>
      <c r="I135" s="78"/>
      <c r="J135" s="79">
        <f>J40</f>
        <v>30</v>
      </c>
      <c r="K135" s="80" t="s">
        <v>27</v>
      </c>
      <c r="M135" s="78"/>
      <c r="N135" s="78"/>
      <c r="O135" s="78"/>
      <c r="P135" s="78"/>
      <c r="Q135" s="78"/>
      <c r="R135" s="78"/>
    </row>
    <row r="137" spans="1:18" s="81" customFormat="1" ht="13.5" x14ac:dyDescent="0.3">
      <c r="A137" s="84"/>
      <c r="B137" s="77" t="s">
        <v>230</v>
      </c>
      <c r="C137" s="85" t="s">
        <v>231</v>
      </c>
      <c r="D137" s="78"/>
      <c r="E137" s="78"/>
      <c r="F137" s="78"/>
      <c r="G137" s="78"/>
      <c r="H137" s="78"/>
      <c r="I137" s="78"/>
      <c r="J137" s="79"/>
      <c r="K137" s="80"/>
      <c r="M137" s="78"/>
      <c r="N137" s="78"/>
      <c r="O137" s="78"/>
      <c r="P137" s="78"/>
      <c r="Q137" s="78"/>
      <c r="R137" s="78"/>
    </row>
    <row r="138" spans="1:18" s="81" customFormat="1" ht="13.5" x14ac:dyDescent="0.3">
      <c r="A138" s="84"/>
      <c r="B138" s="84"/>
      <c r="C138" s="78" t="s">
        <v>384</v>
      </c>
      <c r="D138" s="78"/>
      <c r="E138" s="78"/>
      <c r="F138" s="78"/>
      <c r="G138" s="78"/>
      <c r="H138" s="78"/>
      <c r="I138" s="78"/>
      <c r="J138" s="87">
        <f>ROUNDUP(J139*(100+J140)%,0)</f>
        <v>310</v>
      </c>
      <c r="K138" s="80" t="s">
        <v>24</v>
      </c>
      <c r="M138" s="78"/>
      <c r="N138" s="78"/>
      <c r="O138" s="78"/>
      <c r="P138" s="78"/>
      <c r="Q138" s="78"/>
      <c r="R138" s="78"/>
    </row>
    <row r="139" spans="1:18" s="81" customFormat="1" ht="13.5" x14ac:dyDescent="0.3">
      <c r="A139" s="84"/>
      <c r="B139" s="84"/>
      <c r="C139" s="78"/>
      <c r="D139" s="78" t="s">
        <v>383</v>
      </c>
      <c r="E139" s="78"/>
      <c r="F139" s="78"/>
      <c r="G139" s="78"/>
      <c r="H139" s="78"/>
      <c r="I139" s="78"/>
      <c r="J139" s="87">
        <f>J111</f>
        <v>309.36719202011881</v>
      </c>
      <c r="K139" s="80" t="s">
        <v>206</v>
      </c>
      <c r="M139" s="78"/>
      <c r="N139" s="78"/>
      <c r="O139" s="78"/>
      <c r="P139" s="78"/>
      <c r="Q139" s="78"/>
      <c r="R139" s="78"/>
    </row>
    <row r="140" spans="1:18" s="81" customFormat="1" ht="13.5" x14ac:dyDescent="0.3">
      <c r="A140" s="84"/>
      <c r="B140" s="84"/>
      <c r="C140" s="78"/>
      <c r="D140" s="78" t="s">
        <v>381</v>
      </c>
      <c r="E140" s="78"/>
      <c r="F140" s="78"/>
      <c r="G140" s="78"/>
      <c r="H140" s="78"/>
      <c r="I140" s="78"/>
      <c r="J140" s="87">
        <f>J18</f>
        <v>0</v>
      </c>
      <c r="K140" s="80" t="s">
        <v>385</v>
      </c>
      <c r="M140" s="78"/>
      <c r="N140" s="78"/>
      <c r="O140" s="78"/>
      <c r="P140" s="78"/>
      <c r="Q140" s="78"/>
      <c r="R140" s="78"/>
    </row>
    <row r="141" spans="1:18" s="81" customFormat="1" ht="13.5" x14ac:dyDescent="0.3">
      <c r="A141" s="84"/>
      <c r="B141" s="84"/>
      <c r="C141" s="78" t="s">
        <v>232</v>
      </c>
      <c r="D141" s="78"/>
      <c r="E141" s="78"/>
      <c r="F141" s="78"/>
      <c r="G141" s="78"/>
      <c r="H141" s="78"/>
      <c r="I141" s="78"/>
      <c r="J141" s="188" t="str">
        <f>IF(J138&gt;Data!D66,"",IF(J138&lt;Data!AA66,15,INDEX(Data!D66:AA66,MATCH(J138,Data!D66:AA66,-1))))</f>
        <v/>
      </c>
      <c r="K141" s="80" t="s">
        <v>24</v>
      </c>
      <c r="L141" s="89" t="str">
        <f>IF(J141="","(초과)","OK")</f>
        <v>(초과)</v>
      </c>
      <c r="M141" s="78"/>
      <c r="N141" s="78"/>
      <c r="O141" s="78"/>
      <c r="P141" s="78"/>
      <c r="Q141" s="78"/>
      <c r="R141" s="78"/>
    </row>
    <row r="142" spans="1:18" x14ac:dyDescent="0.3">
      <c r="J142" s="148"/>
    </row>
  </sheetData>
  <mergeCells count="2">
    <mergeCell ref="M45:N45"/>
    <mergeCell ref="M44:N44"/>
  </mergeCells>
  <phoneticPr fontId="1" type="noConversion"/>
  <pageMargins left="0.7" right="0.7" top="0.75" bottom="0.75" header="0.3" footer="0.3"/>
  <pageSetup paperSize="9" orientation="portrait" verticalDpi="0" r:id="rId1"/>
  <ignoredErrors>
    <ignoredError sqref="J141" formulaRange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0" tint="-0.34998626667073579"/>
  </sheetPr>
  <dimension ref="A1:AF66"/>
  <sheetViews>
    <sheetView zoomScale="70" zoomScaleNormal="70" workbookViewId="0">
      <selection activeCell="N51" sqref="N51"/>
    </sheetView>
  </sheetViews>
  <sheetFormatPr defaultRowHeight="16.5" x14ac:dyDescent="0.3"/>
  <cols>
    <col min="1" max="2" width="4.375" style="1" customWidth="1"/>
  </cols>
  <sheetData>
    <row r="1" spans="1:31" ht="20.25" x14ac:dyDescent="0.3">
      <c r="A1" s="96" t="s">
        <v>58</v>
      </c>
      <c r="B1" s="2"/>
    </row>
    <row r="3" spans="1:31" x14ac:dyDescent="0.3">
      <c r="A3" s="4" t="s">
        <v>0</v>
      </c>
      <c r="B3" s="5" t="s">
        <v>56</v>
      </c>
    </row>
    <row r="4" spans="1:31" x14ac:dyDescent="0.3">
      <c r="C4" s="7" t="s">
        <v>57</v>
      </c>
      <c r="D4" s="3">
        <v>1</v>
      </c>
      <c r="E4" s="3">
        <v>2</v>
      </c>
      <c r="F4" s="3">
        <v>2.5</v>
      </c>
      <c r="G4" s="3">
        <v>3</v>
      </c>
      <c r="H4" s="3">
        <v>4</v>
      </c>
      <c r="I4" s="3">
        <v>5</v>
      </c>
      <c r="J4" s="3">
        <v>6</v>
      </c>
      <c r="K4" s="3">
        <v>8</v>
      </c>
      <c r="L4" s="3">
        <v>10</v>
      </c>
      <c r="M4" s="3">
        <v>12</v>
      </c>
      <c r="N4" s="3">
        <v>14</v>
      </c>
      <c r="O4" s="3">
        <v>16</v>
      </c>
      <c r="P4" s="3">
        <v>18</v>
      </c>
      <c r="Q4" s="3">
        <v>20</v>
      </c>
      <c r="R4" s="3">
        <v>22</v>
      </c>
      <c r="S4" s="3">
        <v>24</v>
      </c>
      <c r="T4" s="3">
        <v>26</v>
      </c>
      <c r="U4" s="3">
        <v>28</v>
      </c>
      <c r="V4" s="3">
        <v>30</v>
      </c>
      <c r="W4" s="3">
        <v>32</v>
      </c>
      <c r="X4" s="3">
        <v>34</v>
      </c>
      <c r="Y4" s="3">
        <v>36</v>
      </c>
      <c r="Z4" s="3">
        <v>42</v>
      </c>
      <c r="AA4" s="3">
        <v>48</v>
      </c>
    </row>
    <row r="5" spans="1:31" x14ac:dyDescent="0.3">
      <c r="C5" s="7" t="s">
        <v>22</v>
      </c>
      <c r="D5" s="3">
        <v>25</v>
      </c>
      <c r="E5" s="3">
        <v>50</v>
      </c>
      <c r="F5" s="3">
        <v>65</v>
      </c>
      <c r="G5" s="3">
        <v>80</v>
      </c>
      <c r="H5" s="3">
        <v>100</v>
      </c>
      <c r="I5" s="3">
        <v>125</v>
      </c>
      <c r="J5" s="3">
        <v>150</v>
      </c>
      <c r="K5" s="3">
        <v>200</v>
      </c>
      <c r="L5" s="3">
        <v>250</v>
      </c>
      <c r="M5" s="3">
        <v>300</v>
      </c>
      <c r="N5" s="3">
        <v>350</v>
      </c>
      <c r="O5" s="3">
        <v>400</v>
      </c>
      <c r="P5" s="3">
        <v>450</v>
      </c>
      <c r="Q5" s="3">
        <v>500</v>
      </c>
      <c r="R5" s="3">
        <v>550</v>
      </c>
      <c r="S5" s="3">
        <v>600</v>
      </c>
      <c r="T5" s="3">
        <v>650</v>
      </c>
      <c r="U5" s="3">
        <v>700</v>
      </c>
      <c r="V5" s="3">
        <v>750</v>
      </c>
      <c r="W5" s="3">
        <v>800</v>
      </c>
      <c r="X5" s="3">
        <v>850</v>
      </c>
      <c r="Y5" s="3">
        <v>900</v>
      </c>
      <c r="Z5" s="3">
        <v>1050</v>
      </c>
      <c r="AA5" s="3">
        <v>1200</v>
      </c>
    </row>
    <row r="6" spans="1:31" x14ac:dyDescent="0.3">
      <c r="C6" s="7" t="s">
        <v>21</v>
      </c>
      <c r="D6" s="3">
        <v>33.4</v>
      </c>
      <c r="E6" s="3">
        <v>60.3</v>
      </c>
      <c r="F6" s="3">
        <v>73</v>
      </c>
      <c r="G6" s="3">
        <v>88.9</v>
      </c>
      <c r="H6" s="3">
        <v>114.3</v>
      </c>
      <c r="I6" s="3">
        <v>141.30000000000001</v>
      </c>
      <c r="J6" s="3">
        <v>168.3</v>
      </c>
      <c r="K6" s="3">
        <v>219.1</v>
      </c>
      <c r="L6" s="3">
        <v>273.10000000000002</v>
      </c>
      <c r="M6" s="3">
        <v>323.89999999999998</v>
      </c>
      <c r="N6" s="3">
        <v>355.6</v>
      </c>
      <c r="O6" s="3">
        <v>406.4</v>
      </c>
      <c r="P6" s="3">
        <v>457.2</v>
      </c>
      <c r="Q6" s="3">
        <v>508</v>
      </c>
      <c r="R6" s="3">
        <v>559</v>
      </c>
      <c r="S6" s="3">
        <v>609.6</v>
      </c>
      <c r="T6" s="3">
        <v>660.4</v>
      </c>
      <c r="U6" s="3">
        <v>711.2</v>
      </c>
      <c r="V6" s="3">
        <v>762</v>
      </c>
      <c r="W6" s="3">
        <v>813</v>
      </c>
      <c r="X6" s="3">
        <v>864</v>
      </c>
      <c r="Y6" s="3">
        <v>914</v>
      </c>
      <c r="Z6" s="3">
        <v>1067</v>
      </c>
      <c r="AA6" s="3">
        <v>1219</v>
      </c>
    </row>
    <row r="9" spans="1:31" x14ac:dyDescent="0.3">
      <c r="A9" s="4" t="s">
        <v>29</v>
      </c>
      <c r="B9" s="5" t="s">
        <v>107</v>
      </c>
    </row>
    <row r="10" spans="1:31" x14ac:dyDescent="0.3">
      <c r="B10" s="9" t="s">
        <v>108</v>
      </c>
    </row>
    <row r="11" spans="1:31" x14ac:dyDescent="0.3">
      <c r="B11" s="15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31" x14ac:dyDescent="0.3">
      <c r="B12" t="s">
        <v>297</v>
      </c>
      <c r="C12" s="20"/>
      <c r="D12" s="20"/>
      <c r="E12" s="17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8"/>
      <c r="Q12" s="19"/>
    </row>
    <row r="13" spans="1:31" x14ac:dyDescent="0.3">
      <c r="B13" t="s">
        <v>295</v>
      </c>
      <c r="C13" s="21"/>
      <c r="D13" s="17"/>
      <c r="E13" s="17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20"/>
      <c r="Q13" s="20"/>
    </row>
    <row r="14" spans="1:31" x14ac:dyDescent="0.3">
      <c r="B14" t="s">
        <v>302</v>
      </c>
      <c r="C14" s="21"/>
      <c r="D14" s="17"/>
      <c r="E14" s="17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20"/>
      <c r="Q14" s="20"/>
    </row>
    <row r="15" spans="1:31" x14ac:dyDescent="0.3">
      <c r="B15" s="15"/>
      <c r="C15" s="21"/>
      <c r="D15" s="17"/>
      <c r="E15" s="17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20"/>
      <c r="Q15" s="20"/>
    </row>
    <row r="16" spans="1:31" x14ac:dyDescent="0.3">
      <c r="C16" t="s">
        <v>67</v>
      </c>
      <c r="H16" s="16"/>
      <c r="I16" s="16"/>
      <c r="J16" t="s">
        <v>69</v>
      </c>
      <c r="Q16" t="s">
        <v>71</v>
      </c>
      <c r="Y16" t="s">
        <v>68</v>
      </c>
      <c r="AE16" t="s">
        <v>422</v>
      </c>
    </row>
    <row r="17" spans="2:32" ht="17.25" thickBot="1" x14ac:dyDescent="0.35">
      <c r="C17" s="230" t="s">
        <v>296</v>
      </c>
      <c r="D17" s="231" t="s">
        <v>298</v>
      </c>
      <c r="E17" s="230"/>
      <c r="F17" s="230"/>
      <c r="I17" s="16"/>
      <c r="J17" s="231" t="s">
        <v>296</v>
      </c>
      <c r="K17" s="232" t="s">
        <v>298</v>
      </c>
      <c r="L17" s="233"/>
      <c r="M17" s="234"/>
      <c r="N17" s="234"/>
      <c r="O17" s="235"/>
      <c r="Q17" s="231" t="s">
        <v>296</v>
      </c>
      <c r="R17" s="230" t="s">
        <v>298</v>
      </c>
      <c r="S17" s="231"/>
      <c r="T17" s="230"/>
      <c r="U17" s="230"/>
      <c r="Y17" s="230" t="s">
        <v>296</v>
      </c>
      <c r="Z17" s="230" t="s">
        <v>298</v>
      </c>
      <c r="AE17" s="230" t="s">
        <v>296</v>
      </c>
      <c r="AF17" s="230" t="s">
        <v>298</v>
      </c>
    </row>
    <row r="18" spans="2:32" ht="17.25" thickBot="1" x14ac:dyDescent="0.35">
      <c r="C18" s="232"/>
      <c r="D18" s="25" t="s">
        <v>292</v>
      </c>
      <c r="E18" s="12" t="s">
        <v>293</v>
      </c>
      <c r="F18" s="13" t="s">
        <v>294</v>
      </c>
      <c r="I18" s="16"/>
      <c r="J18" s="236"/>
      <c r="K18" s="11" t="s">
        <v>62</v>
      </c>
      <c r="L18" s="25" t="s">
        <v>63</v>
      </c>
      <c r="M18" s="12" t="s">
        <v>64</v>
      </c>
      <c r="N18" s="13" t="s">
        <v>65</v>
      </c>
      <c r="O18" s="13" t="s">
        <v>66</v>
      </c>
      <c r="Q18" s="236"/>
      <c r="R18" s="11" t="s">
        <v>62</v>
      </c>
      <c r="S18" s="25" t="s">
        <v>63</v>
      </c>
      <c r="T18" s="12" t="s">
        <v>64</v>
      </c>
      <c r="U18" s="13" t="s">
        <v>65</v>
      </c>
      <c r="Y18" s="230"/>
      <c r="Z18" s="231"/>
      <c r="AE18" s="230"/>
      <c r="AF18" s="231"/>
    </row>
    <row r="19" spans="2:32" x14ac:dyDescent="0.3">
      <c r="C19" s="174">
        <f>(100-32)/180*100</f>
        <v>37.777777777777779</v>
      </c>
      <c r="D19" s="175">
        <f>0.41*0.1441314</f>
        <v>5.9093873999999991E-2</v>
      </c>
      <c r="E19" s="178">
        <f>0.5*0.1441314</f>
        <v>7.2065699999999996E-2</v>
      </c>
      <c r="F19" s="178">
        <f>0.5*0.1441314</f>
        <v>7.2065699999999996E-2</v>
      </c>
      <c r="I19" s="16"/>
      <c r="J19" s="174">
        <f>(100-32)/180*100</f>
        <v>37.777777777777779</v>
      </c>
      <c r="K19" s="179">
        <f>0.25*0.1441314</f>
        <v>3.6032849999999998E-2</v>
      </c>
      <c r="L19" s="175">
        <f>0.25*0.1441314</f>
        <v>3.6032849999999998E-2</v>
      </c>
      <c r="M19" s="180">
        <f>0.25*0.1441314</f>
        <v>3.6032849999999998E-2</v>
      </c>
      <c r="N19" s="181">
        <f>0.25*0.1441314</f>
        <v>3.6032849999999998E-2</v>
      </c>
      <c r="O19" s="178">
        <f>0.25*0.1441314</f>
        <v>3.6032849999999998E-2</v>
      </c>
      <c r="Q19" s="174">
        <f>(25-32)/180*100</f>
        <v>-3.8888888888888888</v>
      </c>
      <c r="R19" s="179">
        <f>0.21*0.1441314</f>
        <v>3.0267593999999998E-2</v>
      </c>
      <c r="S19" s="176">
        <f>0.21*0.1441314</f>
        <v>3.0267593999999998E-2</v>
      </c>
      <c r="T19" s="182">
        <f>0.23*0.1441314</f>
        <v>3.3150222E-2</v>
      </c>
      <c r="U19" s="182">
        <f>0.23*0.1441314</f>
        <v>3.3150222E-2</v>
      </c>
      <c r="Y19" s="174">
        <f>(100-32)/180*100</f>
        <v>37.777777777777779</v>
      </c>
      <c r="Z19" s="183">
        <f>0.48*0.1441314</f>
        <v>6.9183071999999998E-2</v>
      </c>
      <c r="AE19" s="174">
        <f>(75-32)/180*100</f>
        <v>23.888888888888889</v>
      </c>
      <c r="AF19" s="184">
        <f>0.29*0.1441314</f>
        <v>4.1798105999999995E-2</v>
      </c>
    </row>
    <row r="20" spans="2:32" x14ac:dyDescent="0.3">
      <c r="C20" s="174">
        <f>(200-32)/180*100</f>
        <v>93.333333333333329</v>
      </c>
      <c r="D20" s="176">
        <f>0.45*0.1441314</f>
        <v>6.4859130000000001E-2</v>
      </c>
      <c r="E20" s="178">
        <f>0.54*0.1441314</f>
        <v>7.7830956000000007E-2</v>
      </c>
      <c r="F20" s="178">
        <f>0.54*0.1441314</f>
        <v>7.7830956000000007E-2</v>
      </c>
      <c r="I20" s="16"/>
      <c r="J20" s="174">
        <f>(200-32)/180*100</f>
        <v>93.333333333333329</v>
      </c>
      <c r="K20" s="179">
        <f>0.31*0.1441314</f>
        <v>4.4680734E-2</v>
      </c>
      <c r="L20" s="176">
        <f>0.31*0.1441314</f>
        <v>4.4680734E-2</v>
      </c>
      <c r="M20" s="180">
        <f>0.31*0.1441314</f>
        <v>4.4680734E-2</v>
      </c>
      <c r="N20" s="181">
        <f>0.31*0.1441314</f>
        <v>4.4680734E-2</v>
      </c>
      <c r="O20" s="178">
        <f>0.31*0.1441314</f>
        <v>4.4680734E-2</v>
      </c>
      <c r="Q20" s="174">
        <f>(75-32)/180*100</f>
        <v>23.888888888888889</v>
      </c>
      <c r="R20" s="179">
        <f>0.25*0.1441314</f>
        <v>3.6032849999999998E-2</v>
      </c>
      <c r="S20" s="176">
        <f>0.25*0.1441314</f>
        <v>3.6032849999999998E-2</v>
      </c>
      <c r="T20" s="182">
        <f>0.24*0.1441314</f>
        <v>3.4591535999999999E-2</v>
      </c>
      <c r="U20" s="182">
        <f>0.24*0.1441314</f>
        <v>3.4591535999999999E-2</v>
      </c>
      <c r="Y20" s="174">
        <f>(200-32)/180*100</f>
        <v>93.333333333333329</v>
      </c>
      <c r="Z20" s="176">
        <f>0.53*0.1441314</f>
        <v>7.6389641999999994E-2</v>
      </c>
      <c r="AE20" s="174">
        <f>(300-32)/180*100</f>
        <v>148.88888888888889</v>
      </c>
      <c r="AF20" s="185">
        <f>0.4*0.1441314</f>
        <v>5.7652559999999999E-2</v>
      </c>
    </row>
    <row r="21" spans="2:32" x14ac:dyDescent="0.3">
      <c r="C21" s="174">
        <f>(300-32)/180*100</f>
        <v>148.88888888888889</v>
      </c>
      <c r="D21" s="176">
        <f>0.5*0.1441314</f>
        <v>7.2065699999999996E-2</v>
      </c>
      <c r="E21" s="178">
        <f>0.58*0.1441314</f>
        <v>8.3596211999999989E-2</v>
      </c>
      <c r="F21" s="178">
        <f>0.58*0.1441314</f>
        <v>8.3596211999999989E-2</v>
      </c>
      <c r="I21" s="16"/>
      <c r="J21" s="174">
        <f>(300-32)/180*100</f>
        <v>148.88888888888889</v>
      </c>
      <c r="K21" s="179">
        <f>0.4*0.1441314</f>
        <v>5.7652559999999999E-2</v>
      </c>
      <c r="L21" s="176">
        <f>0.37*0.1441314</f>
        <v>5.3328617999999994E-2</v>
      </c>
      <c r="M21" s="180">
        <f>0.37*0.1441314</f>
        <v>5.3328617999999994E-2</v>
      </c>
      <c r="N21" s="181">
        <f>0.37*0.1441314</f>
        <v>5.3328617999999994E-2</v>
      </c>
      <c r="O21" s="178">
        <f>0.37*0.1441314</f>
        <v>5.3328617999999994E-2</v>
      </c>
      <c r="Q21" s="174">
        <f t="shared" ref="Q21" si="0">(100-32)/180*100</f>
        <v>37.777777777777779</v>
      </c>
      <c r="R21" s="179">
        <f>0.27*0.1441314</f>
        <v>3.8915478000000003E-2</v>
      </c>
      <c r="S21" s="176">
        <f>0.27*0.1441314</f>
        <v>3.8915478000000003E-2</v>
      </c>
      <c r="T21" s="182">
        <f>0.26*0.1441314</f>
        <v>3.7474163999999997E-2</v>
      </c>
      <c r="U21" s="182">
        <f>0.26*0.1441314</f>
        <v>3.7474163999999997E-2</v>
      </c>
      <c r="Y21" s="174">
        <f>(300-32)/180*100</f>
        <v>148.88888888888889</v>
      </c>
      <c r="Z21" s="176">
        <f>0.59*0.1441314</f>
        <v>8.5037525999999988E-2</v>
      </c>
      <c r="AE21" s="174">
        <f>(500-32)/180*100</f>
        <v>260</v>
      </c>
      <c r="AF21" s="185">
        <f>0.5*0.1441314</f>
        <v>7.2065699999999996E-2</v>
      </c>
    </row>
    <row r="22" spans="2:32" ht="17.25" thickBot="1" x14ac:dyDescent="0.35">
      <c r="C22" s="174">
        <f>(400-32)/180*100</f>
        <v>204.44444444444443</v>
      </c>
      <c r="D22" s="176">
        <f>0.55*0.1441314</f>
        <v>7.9272270000000006E-2</v>
      </c>
      <c r="E22" s="178">
        <f>0.61*0.1441314</f>
        <v>8.7920154E-2</v>
      </c>
      <c r="F22" s="178">
        <f>0.61*0.1441314</f>
        <v>8.7920154E-2</v>
      </c>
      <c r="I22" s="16"/>
      <c r="J22" s="174">
        <f>(400-32)/180*100</f>
        <v>204.44444444444443</v>
      </c>
      <c r="K22" s="179">
        <f>0.51*0.1441314</f>
        <v>7.3507013999999996E-2</v>
      </c>
      <c r="L22" s="176">
        <f>0.45*0.1441314</f>
        <v>6.4859130000000001E-2</v>
      </c>
      <c r="M22" s="180">
        <f>0.45*0.1441314</f>
        <v>6.4859130000000001E-2</v>
      </c>
      <c r="N22" s="181">
        <f>0.45*0.1441314</f>
        <v>6.4859130000000001E-2</v>
      </c>
      <c r="O22" s="178">
        <f>0.45*0.1441314</f>
        <v>6.4859130000000001E-2</v>
      </c>
      <c r="Q22" s="174">
        <f>(200-32)/180*100</f>
        <v>93.333333333333329</v>
      </c>
      <c r="R22" s="179">
        <f>0.34*0.1441314</f>
        <v>4.9004676000000004E-2</v>
      </c>
      <c r="S22" s="176">
        <f>0.34*0.1441314</f>
        <v>4.9004676000000004E-2</v>
      </c>
      <c r="T22" s="182">
        <f>0.31*0.1441314</f>
        <v>4.4680734E-2</v>
      </c>
      <c r="U22" s="182">
        <f>0.31*0.1441314</f>
        <v>4.4680734E-2</v>
      </c>
      <c r="Y22" s="174">
        <f>(400-32)/180*100</f>
        <v>204.44444444444443</v>
      </c>
      <c r="Z22" s="176">
        <f>0.64*0.1441314</f>
        <v>9.2244095999999998E-2</v>
      </c>
      <c r="AE22" s="174">
        <f>(700-32)/180*100</f>
        <v>371.11111111111114</v>
      </c>
      <c r="AF22" s="186">
        <f>0.65*0.1441314</f>
        <v>9.3685409999999997E-2</v>
      </c>
    </row>
    <row r="23" spans="2:32" x14ac:dyDescent="0.3">
      <c r="C23" s="174">
        <f>(500-32)/180*100</f>
        <v>260</v>
      </c>
      <c r="D23" s="176">
        <f>0.6*0.1441314</f>
        <v>8.6478839999999987E-2</v>
      </c>
      <c r="E23" s="178">
        <f>0.64*0.1441314</f>
        <v>9.2244095999999998E-2</v>
      </c>
      <c r="F23" s="178">
        <f>0.64*0.1441314</f>
        <v>9.2244095999999998E-2</v>
      </c>
      <c r="I23" s="16"/>
      <c r="J23" s="174">
        <f>(500-32)/180*100</f>
        <v>260</v>
      </c>
      <c r="K23" s="179">
        <f>0.64*0.1441314</f>
        <v>9.2244095999999998E-2</v>
      </c>
      <c r="L23" s="176">
        <f>0.54*0.1441314</f>
        <v>7.7830956000000007E-2</v>
      </c>
      <c r="M23" s="180">
        <f>0.54*0.1441314</f>
        <v>7.7830956000000007E-2</v>
      </c>
      <c r="N23" s="181">
        <f>0.54*0.1441314</f>
        <v>7.7830956000000007E-2</v>
      </c>
      <c r="O23" s="178">
        <f>0.54*0.1441314</f>
        <v>7.7830956000000007E-2</v>
      </c>
      <c r="Q23" s="174">
        <f>(300-32)/180*100</f>
        <v>148.88888888888889</v>
      </c>
      <c r="R23" s="179">
        <f>0.43*0.1441314</f>
        <v>6.1976501999999996E-2</v>
      </c>
      <c r="S23" s="176">
        <f>0.42*0.1441314</f>
        <v>6.0535187999999997E-2</v>
      </c>
      <c r="T23" s="182">
        <f>0.37*0.1441314</f>
        <v>5.3328617999999994E-2</v>
      </c>
      <c r="U23" s="182">
        <f>0.37*0.1441314</f>
        <v>5.3328617999999994E-2</v>
      </c>
      <c r="Y23" s="174">
        <f>(500-32)/180*100</f>
        <v>260</v>
      </c>
      <c r="Z23" s="176">
        <f>0.69*0.1441314</f>
        <v>9.9450665999999993E-2</v>
      </c>
      <c r="AE23" s="13" t="s">
        <v>301</v>
      </c>
      <c r="AF23" s="22">
        <v>650</v>
      </c>
    </row>
    <row r="24" spans="2:32" x14ac:dyDescent="0.3">
      <c r="C24" s="174">
        <f>(600-32)/180*100</f>
        <v>315.55555555555554</v>
      </c>
      <c r="D24" s="176">
        <f>0.66*0.1441314</f>
        <v>9.5126723999999996E-2</v>
      </c>
      <c r="E24" s="178">
        <f>0.67*0.1441314</f>
        <v>9.6568037999999995E-2</v>
      </c>
      <c r="F24" s="178">
        <f>0.67*0.1441314</f>
        <v>9.6568037999999995E-2</v>
      </c>
      <c r="I24" s="16"/>
      <c r="J24" s="174">
        <f>(600-32)/180*100</f>
        <v>315.55555555555554</v>
      </c>
      <c r="K24" s="23"/>
      <c r="L24" s="176">
        <f>0.65*0.1441314</f>
        <v>9.3685409999999997E-2</v>
      </c>
      <c r="M24" s="180">
        <f>0.65*0.1441314</f>
        <v>9.3685409999999997E-2</v>
      </c>
      <c r="N24" s="181">
        <f>0.65*0.1441314</f>
        <v>9.3685409999999997E-2</v>
      </c>
      <c r="O24" s="178">
        <f>0.65*0.1441314</f>
        <v>9.3685409999999997E-2</v>
      </c>
      <c r="Q24" s="174">
        <f>(400-32)/180*100</f>
        <v>204.44444444444443</v>
      </c>
      <c r="R24" s="179">
        <f>0.55*0.1441314</f>
        <v>7.9272270000000006E-2</v>
      </c>
      <c r="S24" s="176">
        <f>0.53*0.1441314</f>
        <v>7.6389641999999994E-2</v>
      </c>
      <c r="T24" s="182">
        <f>0.44*0.1441314</f>
        <v>6.3417816000000002E-2</v>
      </c>
      <c r="U24" s="182">
        <f>0.44*0.1441314</f>
        <v>6.3417816000000002E-2</v>
      </c>
      <c r="Y24" s="174">
        <f>(600-32)/180*100</f>
        <v>315.55555555555554</v>
      </c>
      <c r="Z24" s="176">
        <f>0.75*0.1441314</f>
        <v>0.10809854999999999</v>
      </c>
    </row>
    <row r="25" spans="2:32" ht="16.5" customHeight="1" thickBot="1" x14ac:dyDescent="0.35">
      <c r="C25" s="174">
        <f>(700-32)/180*100</f>
        <v>371.11111111111114</v>
      </c>
      <c r="D25" s="177">
        <f>0.71*0.1441314</f>
        <v>0.10233329399999999</v>
      </c>
      <c r="E25" s="178">
        <f>0.7*0.1441314</f>
        <v>0.10089197999999999</v>
      </c>
      <c r="F25" s="178">
        <f>0.7*0.1441314</f>
        <v>0.10089197999999999</v>
      </c>
      <c r="I25" s="16"/>
      <c r="J25" s="174">
        <f>(700-32)/180*100</f>
        <v>371.11111111111114</v>
      </c>
      <c r="K25" s="23"/>
      <c r="L25" s="177">
        <f>0.77*0.1441314</f>
        <v>0.110981178</v>
      </c>
      <c r="M25" s="180">
        <f>0.77*0.1441314</f>
        <v>0.110981178</v>
      </c>
      <c r="N25" s="181">
        <f>0.77*0.1441314</f>
        <v>0.110981178</v>
      </c>
      <c r="O25" s="178">
        <f>0.77*0.1441314</f>
        <v>0.110981178</v>
      </c>
      <c r="Q25" s="174">
        <f>(500-32)/180*100</f>
        <v>260</v>
      </c>
      <c r="R25" s="179">
        <f>0.7*0.1441314</f>
        <v>0.10089197999999999</v>
      </c>
      <c r="S25" s="176">
        <f>0.64*0.1441314</f>
        <v>9.2244095999999998E-2</v>
      </c>
      <c r="T25" s="182">
        <f>0.52*0.1441314</f>
        <v>7.4948327999999995E-2</v>
      </c>
      <c r="U25" s="182">
        <f>0.52*0.1441314</f>
        <v>7.4948327999999995E-2</v>
      </c>
      <c r="Y25" s="174">
        <f>(700-32)/180*100</f>
        <v>371.11111111111114</v>
      </c>
      <c r="Z25" s="177">
        <f>0.8*0.1441314</f>
        <v>0.11530512</v>
      </c>
    </row>
    <row r="26" spans="2:32" x14ac:dyDescent="0.3">
      <c r="C26" s="174">
        <f>(800-32)/180*100</f>
        <v>426.66666666666669</v>
      </c>
      <c r="D26" s="22"/>
      <c r="E26" s="13"/>
      <c r="F26" s="6">
        <f>0.73*0.1441314</f>
        <v>0.10521592199999999</v>
      </c>
      <c r="I26" s="16"/>
      <c r="J26" s="13" t="s">
        <v>299</v>
      </c>
      <c r="K26" s="6">
        <v>454</v>
      </c>
      <c r="L26" s="24">
        <v>650</v>
      </c>
      <c r="M26" s="24">
        <v>650</v>
      </c>
      <c r="N26" s="6">
        <v>538</v>
      </c>
      <c r="O26" s="6">
        <v>760</v>
      </c>
      <c r="Q26" s="174">
        <f>(600-32)/180*100</f>
        <v>315.55555555555554</v>
      </c>
      <c r="R26" s="23"/>
      <c r="S26" s="176">
        <f>0.75*0.1441314</f>
        <v>0.10809854999999999</v>
      </c>
      <c r="T26" s="182">
        <f>0.6*0.1441314</f>
        <v>8.6478839999999987E-2</v>
      </c>
      <c r="U26" s="182">
        <f>0.6*0.1441314</f>
        <v>8.6478839999999987E-2</v>
      </c>
      <c r="Y26" s="13" t="s">
        <v>299</v>
      </c>
      <c r="Z26" s="22" t="s">
        <v>300</v>
      </c>
    </row>
    <row r="27" spans="2:32" ht="17.25" thickBot="1" x14ac:dyDescent="0.35">
      <c r="C27" s="174">
        <f>(900-32)/180*100</f>
        <v>482.22222222222217</v>
      </c>
      <c r="D27" s="13"/>
      <c r="E27" s="13"/>
      <c r="F27" s="6">
        <f>0.75*0.1441314</f>
        <v>0.10809854999999999</v>
      </c>
      <c r="I27" s="16"/>
      <c r="J27" s="16"/>
      <c r="K27" s="16"/>
      <c r="Q27" s="174">
        <f>(700-32)/180*100</f>
        <v>371.11111111111114</v>
      </c>
      <c r="R27" s="23"/>
      <c r="S27" s="177">
        <f>0.86*0.1441314</f>
        <v>0.12395300399999999</v>
      </c>
      <c r="T27" s="182">
        <f>0.7*0.1441314</f>
        <v>0.10089197999999999</v>
      </c>
      <c r="U27" s="182">
        <f>0.7*0.1441314</f>
        <v>0.10089197999999999</v>
      </c>
    </row>
    <row r="28" spans="2:32" x14ac:dyDescent="0.3">
      <c r="C28" s="174">
        <f>(1000-32)/180*100</f>
        <v>537.77777777777783</v>
      </c>
      <c r="D28" s="13"/>
      <c r="E28" s="13"/>
      <c r="F28" s="6">
        <f>0.77*0.1441314</f>
        <v>0.110981178</v>
      </c>
      <c r="I28" s="16"/>
      <c r="J28" s="16"/>
      <c r="K28" s="16"/>
      <c r="Q28" s="13" t="s">
        <v>299</v>
      </c>
      <c r="R28" s="6">
        <v>454</v>
      </c>
      <c r="S28" s="24">
        <v>649</v>
      </c>
      <c r="T28" s="6">
        <v>649</v>
      </c>
      <c r="U28" s="6">
        <v>649</v>
      </c>
    </row>
    <row r="29" spans="2:32" x14ac:dyDescent="0.3">
      <c r="C29" s="13" t="s">
        <v>299</v>
      </c>
      <c r="D29" s="13">
        <v>649</v>
      </c>
      <c r="E29" s="13">
        <v>649</v>
      </c>
      <c r="F29" s="6">
        <v>927</v>
      </c>
      <c r="I29" s="16"/>
      <c r="J29" s="16"/>
      <c r="K29" s="16"/>
      <c r="L29" s="16"/>
      <c r="M29" s="20"/>
      <c r="N29" s="20"/>
      <c r="O29" s="16"/>
      <c r="P29" s="16"/>
      <c r="Q29" s="16"/>
    </row>
    <row r="30" spans="2:32" x14ac:dyDescent="0.3">
      <c r="C30" s="15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2:32" x14ac:dyDescent="0.3">
      <c r="B31" s="15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2:32" x14ac:dyDescent="0.3">
      <c r="B32" s="15"/>
      <c r="C32" s="21"/>
      <c r="D32" s="17"/>
      <c r="E32" s="17"/>
      <c r="F32" s="16"/>
      <c r="G32" s="16"/>
      <c r="H32" s="16"/>
      <c r="I32" s="16"/>
      <c r="J32" s="16"/>
      <c r="K32" s="16"/>
      <c r="L32" s="16"/>
      <c r="M32" s="16"/>
      <c r="N32" s="16"/>
      <c r="O32" s="20"/>
      <c r="P32" s="20"/>
      <c r="Q32" s="16"/>
    </row>
    <row r="34" spans="2:10" x14ac:dyDescent="0.3">
      <c r="B34" s="9" t="s">
        <v>109</v>
      </c>
    </row>
    <row r="36" spans="2:10" x14ac:dyDescent="0.3">
      <c r="C36" s="7" t="s">
        <v>73</v>
      </c>
      <c r="D36" s="230" t="s">
        <v>74</v>
      </c>
      <c r="E36" s="230"/>
      <c r="F36" s="7" t="s">
        <v>75</v>
      </c>
      <c r="G36" s="7" t="s">
        <v>110</v>
      </c>
      <c r="H36" s="230" t="s">
        <v>80</v>
      </c>
      <c r="I36" s="230"/>
      <c r="J36" s="230"/>
    </row>
    <row r="37" spans="2:10" x14ac:dyDescent="0.3">
      <c r="C37" s="7" t="s">
        <v>72</v>
      </c>
      <c r="D37" s="7" t="s">
        <v>76</v>
      </c>
      <c r="E37" s="7" t="s">
        <v>62</v>
      </c>
      <c r="F37" s="7" t="s">
        <v>77</v>
      </c>
      <c r="G37" s="7" t="s">
        <v>78</v>
      </c>
      <c r="H37" s="230" t="s">
        <v>25</v>
      </c>
      <c r="I37" s="230"/>
      <c r="J37" s="230"/>
    </row>
    <row r="38" spans="2:10" x14ac:dyDescent="0.3">
      <c r="C38" s="7" t="s">
        <v>79</v>
      </c>
      <c r="D38" s="7" t="s">
        <v>81</v>
      </c>
      <c r="E38" s="7" t="s">
        <v>60</v>
      </c>
      <c r="F38" s="7" t="s">
        <v>77</v>
      </c>
      <c r="G38" s="7" t="s">
        <v>78</v>
      </c>
      <c r="H38" s="230" t="s">
        <v>82</v>
      </c>
      <c r="I38" s="230"/>
      <c r="J38" s="230"/>
    </row>
    <row r="39" spans="2:10" x14ac:dyDescent="0.3">
      <c r="C39" s="7" t="s">
        <v>70</v>
      </c>
      <c r="D39" s="7" t="s">
        <v>83</v>
      </c>
      <c r="E39" s="7" t="s">
        <v>60</v>
      </c>
      <c r="F39" s="7" t="s">
        <v>77</v>
      </c>
      <c r="G39" s="7" t="s">
        <v>84</v>
      </c>
      <c r="H39" s="230" t="s">
        <v>85</v>
      </c>
      <c r="I39" s="230"/>
      <c r="J39" s="230"/>
    </row>
    <row r="40" spans="2:10" x14ac:dyDescent="0.3">
      <c r="C40" s="7" t="s">
        <v>86</v>
      </c>
      <c r="D40" s="7" t="s">
        <v>87</v>
      </c>
      <c r="E40" s="7" t="s">
        <v>25</v>
      </c>
      <c r="F40" s="7" t="s">
        <v>88</v>
      </c>
      <c r="G40" s="7" t="s">
        <v>25</v>
      </c>
      <c r="H40" s="230" t="s">
        <v>91</v>
      </c>
      <c r="I40" s="230"/>
      <c r="J40" s="230"/>
    </row>
    <row r="41" spans="2:10" x14ac:dyDescent="0.3">
      <c r="C41" s="7" t="s">
        <v>89</v>
      </c>
      <c r="D41" s="7" t="s">
        <v>81</v>
      </c>
      <c r="E41" s="7" t="s">
        <v>59</v>
      </c>
      <c r="F41" s="7" t="s">
        <v>88</v>
      </c>
      <c r="G41" s="7" t="s">
        <v>25</v>
      </c>
      <c r="H41" s="230" t="s">
        <v>90</v>
      </c>
      <c r="I41" s="230"/>
      <c r="J41" s="230"/>
    </row>
    <row r="42" spans="2:10" x14ac:dyDescent="0.3">
      <c r="C42" s="7" t="s">
        <v>92</v>
      </c>
      <c r="D42" s="7" t="s">
        <v>93</v>
      </c>
      <c r="E42" s="7" t="s">
        <v>64</v>
      </c>
      <c r="F42" s="7" t="s">
        <v>88</v>
      </c>
      <c r="G42" s="7" t="s">
        <v>78</v>
      </c>
      <c r="H42" s="230" t="s">
        <v>94</v>
      </c>
      <c r="I42" s="230"/>
      <c r="J42" s="230"/>
    </row>
    <row r="43" spans="2:10" x14ac:dyDescent="0.3">
      <c r="C43" s="7" t="s">
        <v>92</v>
      </c>
      <c r="D43" s="7" t="s">
        <v>83</v>
      </c>
      <c r="E43" s="7" t="s">
        <v>95</v>
      </c>
      <c r="F43" s="7" t="s">
        <v>77</v>
      </c>
      <c r="G43" s="7" t="s">
        <v>96</v>
      </c>
      <c r="H43" s="230" t="s">
        <v>97</v>
      </c>
      <c r="I43" s="230"/>
      <c r="J43" s="230"/>
    </row>
    <row r="44" spans="2:10" x14ac:dyDescent="0.3">
      <c r="C44" s="7" t="s">
        <v>92</v>
      </c>
      <c r="D44" s="7" t="s">
        <v>98</v>
      </c>
      <c r="E44" s="7" t="s">
        <v>59</v>
      </c>
      <c r="F44" s="7" t="s">
        <v>99</v>
      </c>
      <c r="G44" s="7" t="s">
        <v>78</v>
      </c>
      <c r="H44" s="230" t="s">
        <v>100</v>
      </c>
      <c r="I44" s="230"/>
      <c r="J44" s="230"/>
    </row>
    <row r="45" spans="2:10" x14ac:dyDescent="0.3">
      <c r="C45" s="7" t="s">
        <v>101</v>
      </c>
      <c r="D45" s="7" t="s">
        <v>76</v>
      </c>
      <c r="E45" s="7" t="s">
        <v>62</v>
      </c>
      <c r="F45" s="7" t="s">
        <v>102</v>
      </c>
      <c r="G45" s="7" t="s">
        <v>103</v>
      </c>
      <c r="H45" s="230" t="s">
        <v>25</v>
      </c>
      <c r="I45" s="230"/>
      <c r="J45" s="230"/>
    </row>
    <row r="46" spans="2:10" x14ac:dyDescent="0.3">
      <c r="C46" s="10" t="s">
        <v>111</v>
      </c>
      <c r="D46" s="10" t="s">
        <v>81</v>
      </c>
      <c r="E46" s="10" t="s">
        <v>63</v>
      </c>
      <c r="F46" s="10" t="s">
        <v>77</v>
      </c>
      <c r="G46" s="10" t="s">
        <v>112</v>
      </c>
      <c r="H46" s="230" t="s">
        <v>113</v>
      </c>
      <c r="I46" s="230"/>
      <c r="J46" s="230"/>
    </row>
    <row r="47" spans="2:10" x14ac:dyDescent="0.3">
      <c r="C47" s="10" t="s">
        <v>111</v>
      </c>
      <c r="D47" s="10" t="s">
        <v>114</v>
      </c>
      <c r="E47" s="10" t="s">
        <v>63</v>
      </c>
      <c r="F47" s="10" t="s">
        <v>77</v>
      </c>
      <c r="G47" s="10" t="s">
        <v>84</v>
      </c>
      <c r="H47" s="230" t="s">
        <v>115</v>
      </c>
      <c r="I47" s="230"/>
      <c r="J47" s="230"/>
    </row>
    <row r="48" spans="2:10" x14ac:dyDescent="0.3">
      <c r="C48" s="10" t="s">
        <v>116</v>
      </c>
      <c r="D48" s="10" t="s">
        <v>76</v>
      </c>
      <c r="E48" s="10" t="s">
        <v>117</v>
      </c>
      <c r="F48" s="3"/>
      <c r="G48" s="3"/>
      <c r="H48" s="230"/>
      <c r="I48" s="230"/>
      <c r="J48" s="230"/>
    </row>
    <row r="49" spans="1:28" x14ac:dyDescent="0.3">
      <c r="C49" s="10" t="s">
        <v>116</v>
      </c>
      <c r="D49" s="10" t="s">
        <v>83</v>
      </c>
      <c r="E49" s="10" t="s">
        <v>117</v>
      </c>
      <c r="F49" s="3"/>
      <c r="G49" s="3"/>
      <c r="H49" s="230"/>
      <c r="I49" s="230"/>
      <c r="J49" s="230"/>
    </row>
    <row r="50" spans="1:28" x14ac:dyDescent="0.3">
      <c r="C50" s="10" t="s">
        <v>116</v>
      </c>
      <c r="D50" s="10" t="s">
        <v>118</v>
      </c>
      <c r="E50" s="10" t="s">
        <v>117</v>
      </c>
      <c r="F50" s="3"/>
      <c r="G50" s="3"/>
      <c r="H50" s="230"/>
      <c r="I50" s="230"/>
      <c r="J50" s="230"/>
    </row>
    <row r="53" spans="1:28" x14ac:dyDescent="0.3">
      <c r="B53" s="9" t="s">
        <v>120</v>
      </c>
    </row>
    <row r="55" spans="1:28" x14ac:dyDescent="0.3">
      <c r="C55" t="s">
        <v>104</v>
      </c>
      <c r="F55" t="s">
        <v>76</v>
      </c>
      <c r="G55" t="s">
        <v>62</v>
      </c>
    </row>
    <row r="56" spans="1:28" x14ac:dyDescent="0.3">
      <c r="C56" t="s">
        <v>105</v>
      </c>
      <c r="F56" t="s">
        <v>81</v>
      </c>
      <c r="G56" t="s">
        <v>63</v>
      </c>
      <c r="H56" t="s">
        <v>123</v>
      </c>
    </row>
    <row r="57" spans="1:28" x14ac:dyDescent="0.3">
      <c r="C57" t="s">
        <v>106</v>
      </c>
      <c r="F57" t="s">
        <v>83</v>
      </c>
      <c r="G57" t="s">
        <v>63</v>
      </c>
      <c r="H57" t="s">
        <v>124</v>
      </c>
    </row>
    <row r="58" spans="1:28" x14ac:dyDescent="0.3">
      <c r="C58" t="s">
        <v>289</v>
      </c>
      <c r="F58" t="s">
        <v>290</v>
      </c>
      <c r="G58" t="s">
        <v>291</v>
      </c>
    </row>
    <row r="59" spans="1:28" x14ac:dyDescent="0.3">
      <c r="C59" t="s">
        <v>305</v>
      </c>
      <c r="F59" t="s">
        <v>306</v>
      </c>
      <c r="G59" t="s">
        <v>307</v>
      </c>
    </row>
    <row r="63" spans="1:28" x14ac:dyDescent="0.3">
      <c r="A63" s="4" t="s">
        <v>233</v>
      </c>
      <c r="B63" s="5" t="s">
        <v>234</v>
      </c>
    </row>
    <row r="64" spans="1:28" x14ac:dyDescent="0.3">
      <c r="C64" s="167" t="s">
        <v>414</v>
      </c>
      <c r="D64" s="167">
        <v>12</v>
      </c>
      <c r="E64" s="167">
        <v>11.5</v>
      </c>
      <c r="F64" s="167">
        <v>11</v>
      </c>
      <c r="G64" s="167">
        <v>10.5</v>
      </c>
      <c r="H64" s="167">
        <v>10</v>
      </c>
      <c r="I64" s="167">
        <v>9.5</v>
      </c>
      <c r="J64" s="167">
        <v>9</v>
      </c>
      <c r="K64" s="167">
        <v>8.5</v>
      </c>
      <c r="L64" s="167">
        <v>8</v>
      </c>
      <c r="M64" s="167">
        <v>7.5</v>
      </c>
      <c r="N64" s="167">
        <v>7</v>
      </c>
      <c r="O64" s="167">
        <v>6.5</v>
      </c>
      <c r="P64" s="167">
        <v>6</v>
      </c>
      <c r="Q64" s="167">
        <v>5.5</v>
      </c>
      <c r="R64" s="167">
        <v>5</v>
      </c>
      <c r="S64" s="167">
        <v>4.5</v>
      </c>
      <c r="T64" s="167">
        <v>4</v>
      </c>
      <c r="U64" s="167">
        <v>3.5</v>
      </c>
      <c r="V64" s="167">
        <v>3</v>
      </c>
      <c r="W64" s="167">
        <v>2.5</v>
      </c>
      <c r="X64" s="167">
        <v>2</v>
      </c>
      <c r="Y64" s="167">
        <v>1.5</v>
      </c>
      <c r="Z64" s="167">
        <v>1</v>
      </c>
      <c r="AA64" s="167">
        <v>0.5</v>
      </c>
      <c r="AB64" s="167">
        <v>0</v>
      </c>
    </row>
    <row r="65" spans="3:28" x14ac:dyDescent="0.3">
      <c r="C65" s="167" t="s">
        <v>415</v>
      </c>
      <c r="D65" s="167">
        <f t="shared" ref="D65:AA65" si="1">D64*25.4</f>
        <v>304.79999999999995</v>
      </c>
      <c r="E65" s="167">
        <f t="shared" si="1"/>
        <v>292.09999999999997</v>
      </c>
      <c r="F65" s="167">
        <f t="shared" si="1"/>
        <v>279.39999999999998</v>
      </c>
      <c r="G65" s="167">
        <f t="shared" si="1"/>
        <v>266.7</v>
      </c>
      <c r="H65" s="167">
        <f t="shared" si="1"/>
        <v>254</v>
      </c>
      <c r="I65" s="167">
        <f t="shared" si="1"/>
        <v>241.29999999999998</v>
      </c>
      <c r="J65" s="167">
        <f t="shared" si="1"/>
        <v>228.6</v>
      </c>
      <c r="K65" s="167">
        <f t="shared" si="1"/>
        <v>215.89999999999998</v>
      </c>
      <c r="L65" s="167">
        <f t="shared" si="1"/>
        <v>203.2</v>
      </c>
      <c r="M65" s="167">
        <f t="shared" si="1"/>
        <v>190.5</v>
      </c>
      <c r="N65" s="167">
        <f t="shared" si="1"/>
        <v>177.79999999999998</v>
      </c>
      <c r="O65" s="167">
        <f t="shared" si="1"/>
        <v>165.1</v>
      </c>
      <c r="P65" s="167">
        <f t="shared" si="1"/>
        <v>152.39999999999998</v>
      </c>
      <c r="Q65" s="167">
        <f t="shared" si="1"/>
        <v>139.69999999999999</v>
      </c>
      <c r="R65" s="167">
        <f t="shared" si="1"/>
        <v>127</v>
      </c>
      <c r="S65" s="167">
        <f t="shared" si="1"/>
        <v>114.3</v>
      </c>
      <c r="T65" s="167">
        <f t="shared" si="1"/>
        <v>101.6</v>
      </c>
      <c r="U65" s="167">
        <f t="shared" si="1"/>
        <v>88.899999999999991</v>
      </c>
      <c r="V65" s="167">
        <f t="shared" si="1"/>
        <v>76.199999999999989</v>
      </c>
      <c r="W65" s="167">
        <f t="shared" si="1"/>
        <v>63.5</v>
      </c>
      <c r="X65" s="167">
        <f t="shared" si="1"/>
        <v>50.8</v>
      </c>
      <c r="Y65" s="167">
        <f t="shared" si="1"/>
        <v>38.099999999999994</v>
      </c>
      <c r="Z65" s="167">
        <f t="shared" si="1"/>
        <v>25.4</v>
      </c>
      <c r="AA65" s="167">
        <f t="shared" si="1"/>
        <v>12.7</v>
      </c>
      <c r="AB65" s="167">
        <f>AB64*25.4</f>
        <v>0</v>
      </c>
    </row>
    <row r="66" spans="3:28" x14ac:dyDescent="0.3">
      <c r="C66" s="167" t="s">
        <v>416</v>
      </c>
      <c r="D66" s="167">
        <v>300</v>
      </c>
      <c r="E66" s="167">
        <v>290</v>
      </c>
      <c r="F66" s="167">
        <v>275</v>
      </c>
      <c r="G66" s="167">
        <v>265</v>
      </c>
      <c r="H66" s="167">
        <v>250</v>
      </c>
      <c r="I66" s="167">
        <v>240</v>
      </c>
      <c r="J66" s="167">
        <v>225</v>
      </c>
      <c r="K66" s="167">
        <v>215</v>
      </c>
      <c r="L66" s="167">
        <v>200</v>
      </c>
      <c r="M66" s="167">
        <v>190</v>
      </c>
      <c r="N66" s="167">
        <v>175</v>
      </c>
      <c r="O66" s="167">
        <v>165</v>
      </c>
      <c r="P66" s="167">
        <v>150</v>
      </c>
      <c r="Q66" s="167">
        <v>140</v>
      </c>
      <c r="R66" s="167">
        <v>125</v>
      </c>
      <c r="S66" s="167">
        <v>115</v>
      </c>
      <c r="T66" s="167">
        <v>100</v>
      </c>
      <c r="U66" s="167">
        <v>90</v>
      </c>
      <c r="V66" s="167">
        <v>80</v>
      </c>
      <c r="W66" s="167">
        <v>65</v>
      </c>
      <c r="X66" s="167">
        <v>50</v>
      </c>
      <c r="Y66" s="167">
        <v>40</v>
      </c>
      <c r="Z66" s="167">
        <v>25</v>
      </c>
      <c r="AA66" s="167">
        <v>15</v>
      </c>
      <c r="AB66" s="167">
        <v>0</v>
      </c>
    </row>
  </sheetData>
  <mergeCells count="26">
    <mergeCell ref="AF17:AF18"/>
    <mergeCell ref="K17:O17"/>
    <mergeCell ref="J17:J18"/>
    <mergeCell ref="Q17:Q18"/>
    <mergeCell ref="R17:U17"/>
    <mergeCell ref="AE17:AE18"/>
    <mergeCell ref="D17:F17"/>
    <mergeCell ref="C17:C18"/>
    <mergeCell ref="Y17:Y18"/>
    <mergeCell ref="Z17:Z18"/>
    <mergeCell ref="H45:J45"/>
    <mergeCell ref="D36:E36"/>
    <mergeCell ref="H36:J36"/>
    <mergeCell ref="H37:J37"/>
    <mergeCell ref="H38:J38"/>
    <mergeCell ref="H39:J39"/>
    <mergeCell ref="H40:J40"/>
    <mergeCell ref="H41:J41"/>
    <mergeCell ref="H42:J42"/>
    <mergeCell ref="H43:J43"/>
    <mergeCell ref="H44:J44"/>
    <mergeCell ref="H46:J46"/>
    <mergeCell ref="H47:J47"/>
    <mergeCell ref="H48:J48"/>
    <mergeCell ref="H49:J49"/>
    <mergeCell ref="H50:J50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열 손실 계산기</vt:lpstr>
      <vt:lpstr>보온재 두께 계산기</vt:lpstr>
      <vt:lpstr>계산과정 - 열손실</vt:lpstr>
      <vt:lpstr>계산과정 - 보온재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hec</dc:creator>
  <cp:lastModifiedBy>HEC</cp:lastModifiedBy>
  <dcterms:created xsi:type="dcterms:W3CDTF">2022-06-09T04:00:35Z</dcterms:created>
  <dcterms:modified xsi:type="dcterms:W3CDTF">2022-12-21T04:35:42Z</dcterms:modified>
</cp:coreProperties>
</file>