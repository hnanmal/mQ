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현재_통합_문서"/>
  <mc:AlternateContent xmlns:mc="http://schemas.openxmlformats.org/markup-compatibility/2006">
    <mc:Choice Requires="x15">
      <x15ac:absPath xmlns:x15ac="http://schemas.microsoft.com/office/spreadsheetml/2010/11/ac" url="C:\MK\mQ\etc\2024_물량산출 마무리\"/>
    </mc:Choice>
  </mc:AlternateContent>
  <xr:revisionPtr revIDLastSave="0" documentId="13_ncr:1_{597E96AF-7321-4DC6-867E-2CE56AAD8B63}" xr6:coauthVersionLast="47" xr6:coauthVersionMax="47" xr10:uidLastSave="{00000000-0000-0000-0000-000000000000}"/>
  <bookViews>
    <workbookView xWindow="-120" yWindow="-120" windowWidth="29040" windowHeight="15720" tabRatio="688" firstSheet="2" activeTab="2"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7" i="13" l="1"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L12" i="13" a="1"/>
  <c r="L12" i="13" s="1"/>
  <c r="K12" i="13" s="1"/>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D2071" i="3" s="1"/>
  <c r="F2071" i="3"/>
  <c r="G2070" i="3" a="1"/>
  <c r="G2070" i="3" s="1"/>
  <c r="D2070" i="3" s="1"/>
  <c r="F2070" i="3"/>
  <c r="G2069" i="3" a="1"/>
  <c r="G2069" i="3" s="1"/>
  <c r="D2069" i="3" s="1"/>
  <c r="F2069" i="3"/>
  <c r="G2068" i="3" a="1"/>
  <c r="G2068" i="3" s="1"/>
  <c r="D2068" i="3" s="1"/>
  <c r="F2068" i="3"/>
  <c r="G2067" i="3" a="1"/>
  <c r="G2067" i="3" s="1"/>
  <c r="D2067" i="3" s="1"/>
  <c r="F2067" i="3"/>
  <c r="G2066" i="3" a="1"/>
  <c r="G2066" i="3" s="1"/>
  <c r="D2066" i="3" s="1"/>
  <c r="F2066" i="3"/>
  <c r="G2065" i="3" a="1"/>
  <c r="G2065" i="3" s="1"/>
  <c r="D2065" i="3" s="1"/>
  <c r="F2065" i="3"/>
  <c r="G2064" i="3" a="1"/>
  <c r="G2064" i="3" s="1"/>
  <c r="D2064" i="3" s="1"/>
  <c r="F2064" i="3"/>
  <c r="G2063" i="3" a="1"/>
  <c r="G2063" i="3" s="1"/>
  <c r="D2063" i="3" s="1"/>
  <c r="F2063" i="3"/>
  <c r="G2062" i="3" a="1"/>
  <c r="G2062" i="3" s="1"/>
  <c r="D2062" i="3" s="1"/>
  <c r="F2062" i="3"/>
  <c r="G2061" i="3" a="1"/>
  <c r="G2061" i="3" s="1"/>
  <c r="D2061" i="3" s="1"/>
  <c r="F2061" i="3"/>
  <c r="G2060" i="3" a="1"/>
  <c r="G2060" i="3" s="1"/>
  <c r="D2060" i="3" s="1"/>
  <c r="F2060" i="3"/>
  <c r="G2059" i="3" a="1"/>
  <c r="G2059" i="3" s="1"/>
  <c r="D2059" i="3" s="1"/>
  <c r="F2059" i="3"/>
  <c r="G2058" i="3" a="1"/>
  <c r="G2058" i="3" s="1"/>
  <c r="D2058" i="3" s="1"/>
  <c r="F2058" i="3"/>
  <c r="G2057" i="3" a="1"/>
  <c r="G2057" i="3" s="1"/>
  <c r="D2057" i="3" s="1"/>
  <c r="F2057" i="3"/>
  <c r="G2056" i="3" a="1"/>
  <c r="G2056" i="3" s="1"/>
  <c r="D2056" i="3" s="1"/>
  <c r="F2056" i="3"/>
  <c r="G2055" i="3" a="1"/>
  <c r="G2055" i="3" s="1"/>
  <c r="D2055" i="3" s="1"/>
  <c r="F2055" i="3"/>
  <c r="G2054" i="3" a="1"/>
  <c r="G2054" i="3" s="1"/>
  <c r="D2054" i="3" s="1"/>
  <c r="F2054" i="3"/>
  <c r="G2053" i="3" a="1"/>
  <c r="G2053" i="3" s="1"/>
  <c r="D2053" i="3" s="1"/>
  <c r="F2053" i="3"/>
  <c r="G2052" i="3" a="1"/>
  <c r="G2052" i="3" s="1"/>
  <c r="D2052" i="3" s="1"/>
  <c r="F2052" i="3"/>
  <c r="G2051" i="3" a="1"/>
  <c r="G2051" i="3" s="1"/>
  <c r="D2051" i="3" s="1"/>
  <c r="F2051" i="3"/>
  <c r="G2050" i="3" a="1"/>
  <c r="G2050" i="3" s="1"/>
  <c r="D2050" i="3" s="1"/>
  <c r="F2050" i="3"/>
  <c r="G2049" i="3" a="1"/>
  <c r="G2049" i="3" s="1"/>
  <c r="D2049" i="3" s="1"/>
  <c r="F2049" i="3"/>
  <c r="G2048" i="3" a="1"/>
  <c r="G2048" i="3" s="1"/>
  <c r="D2048" i="3" s="1"/>
  <c r="F2048" i="3"/>
  <c r="G2047" i="3" a="1"/>
  <c r="G2047" i="3" s="1"/>
  <c r="D2047" i="3" s="1"/>
  <c r="F2047" i="3"/>
  <c r="G2046" i="3" a="1"/>
  <c r="G2046" i="3" s="1"/>
  <c r="D2046" i="3" s="1"/>
  <c r="F2046" i="3"/>
  <c r="G2045" i="3" a="1"/>
  <c r="G2045" i="3" s="1"/>
  <c r="D2045" i="3" s="1"/>
  <c r="F2045" i="3"/>
  <c r="G2044" i="3" a="1"/>
  <c r="G2044" i="3" s="1"/>
  <c r="D2044" i="3" s="1"/>
  <c r="F2044" i="3"/>
  <c r="G2043" i="3" a="1"/>
  <c r="G2043" i="3" s="1"/>
  <c r="D2043" i="3" s="1"/>
  <c r="F2043" i="3"/>
  <c r="G2042" i="3" a="1"/>
  <c r="G2042" i="3" s="1"/>
  <c r="D2042" i="3" s="1"/>
  <c r="F2042" i="3"/>
  <c r="G2041" i="3" a="1"/>
  <c r="G2041" i="3" s="1"/>
  <c r="D2041" i="3" s="1"/>
  <c r="F2041" i="3"/>
  <c r="G2040" i="3" a="1"/>
  <c r="G2040" i="3" s="1"/>
  <c r="D2040" i="3" s="1"/>
  <c r="F2040" i="3"/>
  <c r="G2039" i="3" a="1"/>
  <c r="G2039" i="3" s="1"/>
  <c r="D2039" i="3" s="1"/>
  <c r="F2039" i="3"/>
  <c r="G2038" i="3" a="1"/>
  <c r="G2038" i="3" s="1"/>
  <c r="D2038" i="3" s="1"/>
  <c r="F2038" i="3"/>
  <c r="G2037" i="3" a="1"/>
  <c r="G2037" i="3" s="1"/>
  <c r="D2037" i="3" s="1"/>
  <c r="F2037" i="3"/>
  <c r="G2036" i="3" a="1"/>
  <c r="G2036" i="3" s="1"/>
  <c r="D2036" i="3" s="1"/>
  <c r="F2036" i="3"/>
  <c r="G2035" i="3" a="1"/>
  <c r="G2035" i="3" s="1"/>
  <c r="D2035" i="3" s="1"/>
  <c r="F2035" i="3"/>
  <c r="G2034" i="3" a="1"/>
  <c r="G2034" i="3" s="1"/>
  <c r="D2034" i="3" s="1"/>
  <c r="F2034" i="3"/>
  <c r="G2033" i="3" a="1"/>
  <c r="G2033" i="3" s="1"/>
  <c r="D2033" i="3" s="1"/>
  <c r="F2033" i="3"/>
  <c r="G2032" i="3" a="1"/>
  <c r="G2032" i="3" s="1"/>
  <c r="D2032" i="3" s="1"/>
  <c r="F2032" i="3"/>
  <c r="G2031" i="3" a="1"/>
  <c r="G2031" i="3" s="1"/>
  <c r="D2031" i="3" s="1"/>
  <c r="F2031" i="3"/>
  <c r="G2030" i="3" a="1"/>
  <c r="G2030" i="3" s="1"/>
  <c r="D2030" i="3" s="1"/>
  <c r="F2030" i="3"/>
  <c r="G2029" i="3" a="1"/>
  <c r="G2029" i="3" s="1"/>
  <c r="D2029" i="3" s="1"/>
  <c r="F2029" i="3"/>
  <c r="G2028" i="3" a="1"/>
  <c r="G2028" i="3" s="1"/>
  <c r="D2028" i="3" s="1"/>
  <c r="F2028" i="3"/>
  <c r="G2027" i="3" a="1"/>
  <c r="G2027" i="3" s="1"/>
  <c r="D2027" i="3" s="1"/>
  <c r="F2027" i="3"/>
  <c r="G2026" i="3" a="1"/>
  <c r="G2026" i="3" s="1"/>
  <c r="D2026" i="3" s="1"/>
  <c r="F2026" i="3"/>
  <c r="G2025" i="3" a="1"/>
  <c r="G2025" i="3" s="1"/>
  <c r="D2025" i="3" s="1"/>
  <c r="F2025" i="3"/>
  <c r="G2024" i="3" a="1"/>
  <c r="G2024" i="3" s="1"/>
  <c r="D2024" i="3" s="1"/>
  <c r="F2024" i="3"/>
  <c r="G2023" i="3" a="1"/>
  <c r="G2023" i="3" s="1"/>
  <c r="D2023" i="3" s="1"/>
  <c r="F2023" i="3"/>
  <c r="G2022" i="3" a="1"/>
  <c r="G2022" i="3" s="1"/>
  <c r="D2022" i="3" s="1"/>
  <c r="F2022" i="3"/>
  <c r="G2021" i="3" a="1"/>
  <c r="G2021" i="3" s="1"/>
  <c r="D2021" i="3" s="1"/>
  <c r="F2021" i="3"/>
  <c r="G2020" i="3" a="1"/>
  <c r="G2020" i="3" s="1"/>
  <c r="D2020" i="3" s="1"/>
  <c r="F2020" i="3"/>
  <c r="G2019" i="3" a="1"/>
  <c r="G2019" i="3" s="1"/>
  <c r="D2019" i="3" s="1"/>
  <c r="F2019" i="3"/>
  <c r="G2018" i="3" a="1"/>
  <c r="G2018" i="3" s="1"/>
  <c r="D2018" i="3" s="1"/>
  <c r="F2018" i="3"/>
  <c r="G2017" i="3" a="1"/>
  <c r="G2017" i="3" s="1"/>
  <c r="D2017" i="3" s="1"/>
  <c r="F2017" i="3"/>
  <c r="G2016" i="3" a="1"/>
  <c r="G2016" i="3" s="1"/>
  <c r="D2016" i="3" s="1"/>
  <c r="F2016" i="3"/>
  <c r="G2015" i="3" a="1"/>
  <c r="G2015" i="3" s="1"/>
  <c r="D2015" i="3" s="1"/>
  <c r="F2015" i="3"/>
  <c r="G2014" i="3" a="1"/>
  <c r="G2014" i="3" s="1"/>
  <c r="D2014" i="3" s="1"/>
  <c r="F2014" i="3"/>
  <c r="G2013" i="3" a="1"/>
  <c r="G2013" i="3" s="1"/>
  <c r="D2013" i="3" s="1"/>
  <c r="F2013" i="3"/>
  <c r="G2012" i="3" a="1"/>
  <c r="G2012" i="3" s="1"/>
  <c r="D2012" i="3" s="1"/>
  <c r="F2012" i="3"/>
  <c r="G2011" i="3" a="1"/>
  <c r="G2011" i="3" s="1"/>
  <c r="D2011" i="3" s="1"/>
  <c r="F2011" i="3"/>
  <c r="G2010" i="3" a="1"/>
  <c r="G2010" i="3" s="1"/>
  <c r="D2010" i="3" s="1"/>
  <c r="F2010" i="3"/>
  <c r="G2009" i="3" a="1"/>
  <c r="G2009" i="3" s="1"/>
  <c r="D2009" i="3" s="1"/>
  <c r="F2009" i="3"/>
  <c r="G2008" i="3" a="1"/>
  <c r="G2008" i="3" s="1"/>
  <c r="D2008" i="3" s="1"/>
  <c r="F2008" i="3"/>
  <c r="G2007" i="3" a="1"/>
  <c r="G2007" i="3" s="1"/>
  <c r="D2007" i="3" s="1"/>
  <c r="F2007" i="3"/>
  <c r="G2006" i="3" a="1"/>
  <c r="G2006" i="3" s="1"/>
  <c r="D2006" i="3" s="1"/>
  <c r="F2006" i="3"/>
  <c r="G2005" i="3" a="1"/>
  <c r="G2005" i="3" s="1"/>
  <c r="D2005" i="3" s="1"/>
  <c r="F2005" i="3"/>
  <c r="G2004" i="3" a="1"/>
  <c r="G2004" i="3" s="1"/>
  <c r="D2004" i="3" s="1"/>
  <c r="F2004" i="3"/>
  <c r="G2003" i="3" a="1"/>
  <c r="G2003" i="3" s="1"/>
  <c r="D2003" i="3" s="1"/>
  <c r="F2003" i="3"/>
  <c r="G2002" i="3" a="1"/>
  <c r="G2002" i="3" s="1"/>
  <c r="D2002" i="3" s="1"/>
  <c r="F2002" i="3"/>
  <c r="G2001" i="3" a="1"/>
  <c r="G2001" i="3" s="1"/>
  <c r="D2001" i="3" s="1"/>
  <c r="F2001" i="3"/>
  <c r="G2000" i="3" a="1"/>
  <c r="G2000" i="3" s="1"/>
  <c r="D2000" i="3" s="1"/>
  <c r="F2000" i="3"/>
  <c r="G1999" i="3" a="1"/>
  <c r="G1999" i="3" s="1"/>
  <c r="D1999" i="3" s="1"/>
  <c r="F1999" i="3"/>
  <c r="G1998" i="3" a="1"/>
  <c r="G1998" i="3" s="1"/>
  <c r="D1998" i="3" s="1"/>
  <c r="F1998" i="3"/>
  <c r="G1997" i="3" a="1"/>
  <c r="G1997" i="3" s="1"/>
  <c r="D1997" i="3" s="1"/>
  <c r="F1997" i="3"/>
  <c r="G1996" i="3" a="1"/>
  <c r="G1996" i="3" s="1"/>
  <c r="D1996" i="3" s="1"/>
  <c r="F1996" i="3"/>
  <c r="G1995" i="3" a="1"/>
  <c r="G1995" i="3" s="1"/>
  <c r="D1995" i="3" s="1"/>
  <c r="F1995" i="3"/>
  <c r="G1994" i="3" a="1"/>
  <c r="G1994" i="3" s="1"/>
  <c r="D1994" i="3" s="1"/>
  <c r="F1994" i="3"/>
  <c r="G1993" i="3" a="1"/>
  <c r="G1993" i="3" s="1"/>
  <c r="D1993" i="3" s="1"/>
  <c r="F1993" i="3"/>
  <c r="G1992" i="3" a="1"/>
  <c r="G1992" i="3" s="1"/>
  <c r="D1992" i="3" s="1"/>
  <c r="F1992" i="3"/>
  <c r="G1991" i="3" a="1"/>
  <c r="G1991" i="3" s="1"/>
  <c r="D1991" i="3" s="1"/>
  <c r="F1991" i="3"/>
  <c r="G1990" i="3" a="1"/>
  <c r="G1990" i="3" s="1"/>
  <c r="D1990" i="3" s="1"/>
  <c r="F1990" i="3"/>
  <c r="G1989" i="3" a="1"/>
  <c r="G1989" i="3" s="1"/>
  <c r="D1989" i="3" s="1"/>
  <c r="F1989" i="3"/>
  <c r="G1988" i="3" a="1"/>
  <c r="G1988" i="3" s="1"/>
  <c r="D1988" i="3" s="1"/>
  <c r="F1988" i="3"/>
  <c r="G1987" i="3" a="1"/>
  <c r="G1987" i="3" s="1"/>
  <c r="D1987" i="3" s="1"/>
  <c r="F1987" i="3"/>
  <c r="G1986" i="3" a="1"/>
  <c r="G1986" i="3" s="1"/>
  <c r="D1986" i="3" s="1"/>
  <c r="F1986" i="3"/>
  <c r="G1985" i="3" a="1"/>
  <c r="G1985" i="3" s="1"/>
  <c r="D1985" i="3" s="1"/>
  <c r="F1985" i="3"/>
  <c r="G1984" i="3" a="1"/>
  <c r="G1984" i="3" s="1"/>
  <c r="D1984" i="3" s="1"/>
  <c r="F1984" i="3"/>
  <c r="G1983" i="3" a="1"/>
  <c r="G1983" i="3" s="1"/>
  <c r="D1983" i="3" s="1"/>
  <c r="F1983" i="3"/>
  <c r="G1982" i="3" a="1"/>
  <c r="G1982" i="3" s="1"/>
  <c r="D1982" i="3" s="1"/>
  <c r="F1982" i="3"/>
  <c r="G1981" i="3" a="1"/>
  <c r="G1981" i="3" s="1"/>
  <c r="D1981" i="3" s="1"/>
  <c r="F1981" i="3"/>
  <c r="G1980" i="3" a="1"/>
  <c r="G1980" i="3" s="1"/>
  <c r="D1980" i="3" s="1"/>
  <c r="F1980" i="3"/>
  <c r="G1979" i="3" a="1"/>
  <c r="G1979" i="3" s="1"/>
  <c r="D1979" i="3" s="1"/>
  <c r="F1979" i="3"/>
  <c r="G1978" i="3" a="1"/>
  <c r="G1978" i="3" s="1"/>
  <c r="D1978" i="3" s="1"/>
  <c r="F1978" i="3"/>
  <c r="G1977" i="3" a="1"/>
  <c r="G1977" i="3" s="1"/>
  <c r="D1977" i="3" s="1"/>
  <c r="F1977" i="3"/>
  <c r="G1976" i="3" a="1"/>
  <c r="G1976" i="3" s="1"/>
  <c r="D1976" i="3" s="1"/>
  <c r="F1976" i="3"/>
  <c r="G1975" i="3" a="1"/>
  <c r="G1975" i="3" s="1"/>
  <c r="D1975" i="3" s="1"/>
  <c r="F1975" i="3"/>
  <c r="G1974" i="3" a="1"/>
  <c r="G1974" i="3" s="1"/>
  <c r="D1974" i="3" s="1"/>
  <c r="F1974" i="3"/>
  <c r="G1973" i="3" a="1"/>
  <c r="G1973" i="3" s="1"/>
  <c r="D1973" i="3" s="1"/>
  <c r="F1973" i="3"/>
  <c r="G1972" i="3" a="1"/>
  <c r="G1972" i="3" s="1"/>
  <c r="D1972" i="3" s="1"/>
  <c r="F1972" i="3"/>
  <c r="G1971" i="3" a="1"/>
  <c r="G1971" i="3" s="1"/>
  <c r="D1971" i="3" s="1"/>
  <c r="F1971" i="3"/>
  <c r="G1970" i="3" a="1"/>
  <c r="G1970" i="3" s="1"/>
  <c r="D1970" i="3" s="1"/>
  <c r="F1970" i="3"/>
  <c r="G1969" i="3" a="1"/>
  <c r="G1969" i="3" s="1"/>
  <c r="D1969" i="3" s="1"/>
  <c r="F1969" i="3"/>
  <c r="G1968" i="3" a="1"/>
  <c r="G1968" i="3" s="1"/>
  <c r="D1968" i="3" s="1"/>
  <c r="F1968" i="3"/>
  <c r="G1967" i="3" a="1"/>
  <c r="G1967" i="3" s="1"/>
  <c r="D1967" i="3" s="1"/>
  <c r="F1967" i="3"/>
  <c r="G1966" i="3" a="1"/>
  <c r="G1966" i="3" s="1"/>
  <c r="D1966" i="3" s="1"/>
  <c r="F1966" i="3"/>
  <c r="G1965" i="3" a="1"/>
  <c r="G1965" i="3" s="1"/>
  <c r="D1965" i="3" s="1"/>
  <c r="F1965" i="3"/>
  <c r="G1964" i="3" a="1"/>
  <c r="G1964" i="3" s="1"/>
  <c r="D1964" i="3" s="1"/>
  <c r="F1964" i="3"/>
  <c r="G1963" i="3" a="1"/>
  <c r="G1963" i="3" s="1"/>
  <c r="D1963" i="3" s="1"/>
  <c r="F1963" i="3"/>
  <c r="G1962" i="3" a="1"/>
  <c r="G1962" i="3" s="1"/>
  <c r="D1962" i="3" s="1"/>
  <c r="F1962" i="3"/>
  <c r="G1961" i="3" a="1"/>
  <c r="G1961" i="3" s="1"/>
  <c r="D1961" i="3" s="1"/>
  <c r="F1961" i="3"/>
  <c r="G1960" i="3" a="1"/>
  <c r="G1960" i="3" s="1"/>
  <c r="D1960" i="3" s="1"/>
  <c r="F1960" i="3"/>
  <c r="G1959" i="3" a="1"/>
  <c r="G1959" i="3" s="1"/>
  <c r="D1959" i="3" s="1"/>
  <c r="F1959" i="3"/>
  <c r="G1958" i="3" a="1"/>
  <c r="G1958" i="3" s="1"/>
  <c r="D1958" i="3" s="1"/>
  <c r="F1958" i="3"/>
  <c r="G1957" i="3" a="1"/>
  <c r="G1957" i="3" s="1"/>
  <c r="D1957" i="3" s="1"/>
  <c r="F1957" i="3"/>
  <c r="G1956" i="3" a="1"/>
  <c r="G1956" i="3" s="1"/>
  <c r="D1956" i="3" s="1"/>
  <c r="F1956" i="3"/>
  <c r="G1955" i="3" a="1"/>
  <c r="G1955" i="3" s="1"/>
  <c r="D1955" i="3" s="1"/>
  <c r="F1955" i="3"/>
  <c r="G1954" i="3" a="1"/>
  <c r="G1954" i="3" s="1"/>
  <c r="D1954" i="3" s="1"/>
  <c r="F1954" i="3"/>
  <c r="G1953" i="3" a="1"/>
  <c r="G1953" i="3" s="1"/>
  <c r="D1953" i="3" s="1"/>
  <c r="F1953" i="3"/>
  <c r="G1952" i="3" a="1"/>
  <c r="G1952" i="3" s="1"/>
  <c r="D1952" i="3" s="1"/>
  <c r="F1952" i="3"/>
  <c r="G1951" i="3" a="1"/>
  <c r="G1951" i="3" s="1"/>
  <c r="D1951" i="3" s="1"/>
  <c r="F1951" i="3"/>
  <c r="G1950" i="3" a="1"/>
  <c r="G1950" i="3" s="1"/>
  <c r="D1950" i="3" s="1"/>
  <c r="F1950" i="3"/>
  <c r="G1949" i="3" a="1"/>
  <c r="G1949" i="3" s="1"/>
  <c r="D1949" i="3" s="1"/>
  <c r="F1949" i="3"/>
  <c r="G1948" i="3" a="1"/>
  <c r="G1948" i="3" s="1"/>
  <c r="D1948" i="3" s="1"/>
  <c r="F1948" i="3"/>
  <c r="G1947" i="3" a="1"/>
  <c r="G1947" i="3" s="1"/>
  <c r="D1947" i="3" s="1"/>
  <c r="F1947" i="3"/>
  <c r="G1946" i="3" a="1"/>
  <c r="G1946" i="3" s="1"/>
  <c r="D1946" i="3" s="1"/>
  <c r="F1946" i="3"/>
  <c r="G1945" i="3" a="1"/>
  <c r="G1945" i="3" s="1"/>
  <c r="D1945" i="3" s="1"/>
  <c r="F1945" i="3"/>
  <c r="G1944" i="3" a="1"/>
  <c r="G1944" i="3" s="1"/>
  <c r="D1944" i="3" s="1"/>
  <c r="F1944" i="3"/>
  <c r="G1943" i="3" a="1"/>
  <c r="G1943" i="3" s="1"/>
  <c r="D1943" i="3" s="1"/>
  <c r="F1943" i="3"/>
  <c r="G1942" i="3" a="1"/>
  <c r="G1942" i="3" s="1"/>
  <c r="D1942" i="3" s="1"/>
  <c r="F1942" i="3"/>
  <c r="G1941" i="3" a="1"/>
  <c r="G1941" i="3" s="1"/>
  <c r="D1941" i="3" s="1"/>
  <c r="F1941" i="3"/>
  <c r="G1940" i="3" a="1"/>
  <c r="G1940" i="3" s="1"/>
  <c r="D1940" i="3" s="1"/>
  <c r="F1940" i="3"/>
  <c r="G1939" i="3" a="1"/>
  <c r="G1939" i="3" s="1"/>
  <c r="D1939" i="3" s="1"/>
  <c r="F1939" i="3"/>
  <c r="G1938" i="3" a="1"/>
  <c r="G1938" i="3" s="1"/>
  <c r="D1938" i="3" s="1"/>
  <c r="F1938" i="3"/>
  <c r="G1937" i="3" a="1"/>
  <c r="G1937" i="3" s="1"/>
  <c r="D1937" i="3" s="1"/>
  <c r="F1937" i="3"/>
  <c r="G1936" i="3" a="1"/>
  <c r="G1936" i="3" s="1"/>
  <c r="D1936" i="3" s="1"/>
  <c r="F1936" i="3"/>
  <c r="G1935" i="3" a="1"/>
  <c r="G1935" i="3" s="1"/>
  <c r="D1935" i="3" s="1"/>
  <c r="F1935" i="3"/>
  <c r="G1934" i="3" a="1"/>
  <c r="G1934" i="3" s="1"/>
  <c r="D1934" i="3" s="1"/>
  <c r="F1934" i="3"/>
  <c r="G1933" i="3" a="1"/>
  <c r="G1933" i="3" s="1"/>
  <c r="D1933" i="3" s="1"/>
  <c r="F1933" i="3"/>
  <c r="G1932" i="3" a="1"/>
  <c r="G1932" i="3" s="1"/>
  <c r="D1932" i="3" s="1"/>
  <c r="F1932" i="3"/>
  <c r="G1931" i="3" a="1"/>
  <c r="G1931" i="3" s="1"/>
  <c r="D1931" i="3" s="1"/>
  <c r="F1931" i="3"/>
  <c r="G1930" i="3" a="1"/>
  <c r="G1930" i="3" s="1"/>
  <c r="D1930" i="3" s="1"/>
  <c r="F1930" i="3"/>
  <c r="G1929" i="3" a="1"/>
  <c r="G1929" i="3" s="1"/>
  <c r="D1929" i="3" s="1"/>
  <c r="F1929" i="3"/>
  <c r="G1928" i="3" a="1"/>
  <c r="G1928" i="3" s="1"/>
  <c r="D1928" i="3" s="1"/>
  <c r="F1928" i="3"/>
  <c r="G1927" i="3" a="1"/>
  <c r="G1927" i="3" s="1"/>
  <c r="D1927" i="3" s="1"/>
  <c r="F1927" i="3"/>
  <c r="G1926" i="3" a="1"/>
  <c r="G1926" i="3" s="1"/>
  <c r="D1926" i="3" s="1"/>
  <c r="F1926" i="3"/>
  <c r="G1925" i="3" a="1"/>
  <c r="G1925" i="3" s="1"/>
  <c r="D1925" i="3" s="1"/>
  <c r="F1925" i="3"/>
  <c r="G1924" i="3" a="1"/>
  <c r="G1924" i="3" s="1"/>
  <c r="D1924" i="3" s="1"/>
  <c r="F1924" i="3"/>
  <c r="G1923" i="3" a="1"/>
  <c r="G1923" i="3" s="1"/>
  <c r="D1923" i="3" s="1"/>
  <c r="F1923" i="3"/>
  <c r="G1922" i="3" a="1"/>
  <c r="G1922" i="3" s="1"/>
  <c r="D1922" i="3" s="1"/>
  <c r="F1922" i="3"/>
  <c r="G1921" i="3" a="1"/>
  <c r="G1921" i="3" s="1"/>
  <c r="D1921" i="3" s="1"/>
  <c r="F1921" i="3"/>
  <c r="G1920" i="3" a="1"/>
  <c r="G1920" i="3" s="1"/>
  <c r="D1920" i="3" s="1"/>
  <c r="F1920" i="3"/>
  <c r="G1919" i="3" a="1"/>
  <c r="G1919" i="3" s="1"/>
  <c r="D1919" i="3" s="1"/>
  <c r="F1919" i="3"/>
  <c r="G1918" i="3" a="1"/>
  <c r="G1918" i="3" s="1"/>
  <c r="D1918" i="3" s="1"/>
  <c r="F1918" i="3"/>
  <c r="G1917" i="3" a="1"/>
  <c r="G1917" i="3" s="1"/>
  <c r="D1917" i="3" s="1"/>
  <c r="F1917" i="3"/>
  <c r="G1916" i="3" a="1"/>
  <c r="G1916" i="3" s="1"/>
  <c r="D1916" i="3" s="1"/>
  <c r="F1916" i="3"/>
  <c r="G1915" i="3" a="1"/>
  <c r="G1915" i="3" s="1"/>
  <c r="D1915" i="3" s="1"/>
  <c r="F1915" i="3"/>
  <c r="G1914" i="3" a="1"/>
  <c r="G1914" i="3" s="1"/>
  <c r="D1914" i="3" s="1"/>
  <c r="F1914" i="3"/>
  <c r="G1913" i="3" a="1"/>
  <c r="G1913" i="3" s="1"/>
  <c r="D1913" i="3" s="1"/>
  <c r="F1913" i="3"/>
  <c r="G1912" i="3" a="1"/>
  <c r="G1912" i="3" s="1"/>
  <c r="D1912" i="3" s="1"/>
  <c r="F1912" i="3"/>
  <c r="G1911" i="3" a="1"/>
  <c r="G1911" i="3" s="1"/>
  <c r="D1911" i="3" s="1"/>
  <c r="F1911" i="3"/>
  <c r="G1910" i="3" a="1"/>
  <c r="G1910" i="3" s="1"/>
  <c r="D1910" i="3" s="1"/>
  <c r="F1910" i="3"/>
  <c r="G1909" i="3" a="1"/>
  <c r="G1909" i="3" s="1"/>
  <c r="D1909" i="3" s="1"/>
  <c r="F1909" i="3"/>
  <c r="G1908" i="3" a="1"/>
  <c r="G1908" i="3" s="1"/>
  <c r="D1908" i="3" s="1"/>
  <c r="F1908" i="3"/>
  <c r="G1907" i="3" a="1"/>
  <c r="G1907" i="3" s="1"/>
  <c r="D1907" i="3" s="1"/>
  <c r="F1907" i="3"/>
  <c r="G1906" i="3" a="1"/>
  <c r="G1906" i="3" s="1"/>
  <c r="D1906" i="3" s="1"/>
  <c r="F1906" i="3"/>
  <c r="G1905" i="3" a="1"/>
  <c r="G1905" i="3" s="1"/>
  <c r="D1905" i="3" s="1"/>
  <c r="F1905" i="3"/>
  <c r="G1904" i="3" a="1"/>
  <c r="G1904" i="3" s="1"/>
  <c r="D1904" i="3" s="1"/>
  <c r="F1904" i="3"/>
  <c r="G1903" i="3" a="1"/>
  <c r="G1903" i="3" s="1"/>
  <c r="D1903" i="3" s="1"/>
  <c r="F1903" i="3"/>
  <c r="G1902" i="3" a="1"/>
  <c r="G1902" i="3" s="1"/>
  <c r="D1902" i="3" s="1"/>
  <c r="F1902" i="3"/>
  <c r="G1901" i="3" a="1"/>
  <c r="G1901" i="3" s="1"/>
  <c r="D1901" i="3" s="1"/>
  <c r="F1901" i="3"/>
  <c r="G1900" i="3" a="1"/>
  <c r="G1900" i="3" s="1"/>
  <c r="D1900" i="3" s="1"/>
  <c r="F1900" i="3"/>
  <c r="G1899" i="3" a="1"/>
  <c r="G1899" i="3" s="1"/>
  <c r="D1899" i="3" s="1"/>
  <c r="F1899" i="3"/>
  <c r="G1898" i="3" a="1"/>
  <c r="G1898" i="3" s="1"/>
  <c r="D1898" i="3" s="1"/>
  <c r="F1898" i="3"/>
  <c r="G1897" i="3" a="1"/>
  <c r="G1897" i="3" s="1"/>
  <c r="D1897" i="3" s="1"/>
  <c r="F1897" i="3"/>
  <c r="G1896" i="3" a="1"/>
  <c r="G1896" i="3" s="1"/>
  <c r="D1896" i="3" s="1"/>
  <c r="F1896" i="3"/>
  <c r="G1895" i="3" a="1"/>
  <c r="G1895" i="3" s="1"/>
  <c r="D1895" i="3" s="1"/>
  <c r="F1895" i="3"/>
  <c r="G1894" i="3" a="1"/>
  <c r="G1894" i="3" s="1"/>
  <c r="D1894" i="3" s="1"/>
  <c r="F1894" i="3"/>
  <c r="G1893" i="3" a="1"/>
  <c r="G1893" i="3" s="1"/>
  <c r="D1893" i="3" s="1"/>
  <c r="F1893" i="3"/>
  <c r="G1892" i="3" a="1"/>
  <c r="G1892" i="3" s="1"/>
  <c r="D1892" i="3" s="1"/>
  <c r="F1892" i="3"/>
  <c r="G1891" i="3" a="1"/>
  <c r="G1891" i="3" s="1"/>
  <c r="D1891" i="3" s="1"/>
  <c r="F1891" i="3"/>
  <c r="G1890" i="3" a="1"/>
  <c r="G1890" i="3" s="1"/>
  <c r="D1890" i="3" s="1"/>
  <c r="F1890" i="3"/>
  <c r="G1889" i="3" a="1"/>
  <c r="G1889" i="3" s="1"/>
  <c r="D1889" i="3" s="1"/>
  <c r="F1889" i="3"/>
  <c r="G1888" i="3" a="1"/>
  <c r="G1888" i="3" s="1"/>
  <c r="D1888" i="3" s="1"/>
  <c r="F1888" i="3"/>
  <c r="G1887" i="3" a="1"/>
  <c r="G1887" i="3" s="1"/>
  <c r="D1887" i="3" s="1"/>
  <c r="F1887" i="3"/>
  <c r="G1886" i="3" a="1"/>
  <c r="G1886" i="3" s="1"/>
  <c r="D1886" i="3" s="1"/>
  <c r="F1886" i="3"/>
  <c r="G1885" i="3" a="1"/>
  <c r="G1885" i="3" s="1"/>
  <c r="D1885" i="3" s="1"/>
  <c r="F1885" i="3"/>
  <c r="G1884" i="3" a="1"/>
  <c r="G1884" i="3" s="1"/>
  <c r="D1884" i="3" s="1"/>
  <c r="F1884" i="3"/>
  <c r="G1883" i="3" a="1"/>
  <c r="G1883" i="3" s="1"/>
  <c r="D1883" i="3" s="1"/>
  <c r="F1883" i="3"/>
  <c r="G1882" i="3" a="1"/>
  <c r="G1882" i="3" s="1"/>
  <c r="D1882" i="3" s="1"/>
  <c r="F1882" i="3"/>
  <c r="G1881" i="3" a="1"/>
  <c r="G1881" i="3" s="1"/>
  <c r="D1881" i="3" s="1"/>
  <c r="F1881" i="3"/>
  <c r="G1880" i="3" a="1"/>
  <c r="G1880" i="3" s="1"/>
  <c r="D1880" i="3" s="1"/>
  <c r="F1880" i="3"/>
  <c r="G1879" i="3" a="1"/>
  <c r="G1879" i="3" s="1"/>
  <c r="D1879" i="3" s="1"/>
  <c r="F1879" i="3"/>
  <c r="G1878" i="3" a="1"/>
  <c r="G1878" i="3" s="1"/>
  <c r="D1878" i="3" s="1"/>
  <c r="F1878" i="3"/>
  <c r="G1877" i="3" a="1"/>
  <c r="G1877" i="3" s="1"/>
  <c r="D1877" i="3" s="1"/>
  <c r="F1877" i="3"/>
  <c r="G1876" i="3" a="1"/>
  <c r="G1876" i="3" s="1"/>
  <c r="D1876" i="3" s="1"/>
  <c r="F1876" i="3"/>
  <c r="G1875" i="3" a="1"/>
  <c r="G1875" i="3" s="1"/>
  <c r="D1875" i="3" s="1"/>
  <c r="F1875" i="3"/>
  <c r="G1874" i="3" a="1"/>
  <c r="G1874" i="3" s="1"/>
  <c r="D1874" i="3" s="1"/>
  <c r="F1874" i="3"/>
  <c r="G1873" i="3" a="1"/>
  <c r="G1873" i="3" s="1"/>
  <c r="D1873" i="3" s="1"/>
  <c r="F1873" i="3"/>
  <c r="G1872" i="3" a="1"/>
  <c r="G1872" i="3" s="1"/>
  <c r="D1872" i="3" s="1"/>
  <c r="F1872" i="3"/>
  <c r="G1871" i="3" a="1"/>
  <c r="G1871" i="3" s="1"/>
  <c r="D1871" i="3" s="1"/>
  <c r="F1871" i="3"/>
  <c r="G1870" i="3" a="1"/>
  <c r="G1870" i="3" s="1"/>
  <c r="D1870" i="3" s="1"/>
  <c r="F1870" i="3"/>
  <c r="G1869" i="3" a="1"/>
  <c r="G1869" i="3" s="1"/>
  <c r="D1869" i="3" s="1"/>
  <c r="F1869" i="3"/>
  <c r="G1868" i="3" a="1"/>
  <c r="G1868" i="3" s="1"/>
  <c r="D1868" i="3" s="1"/>
  <c r="F1868" i="3"/>
  <c r="G1867" i="3" a="1"/>
  <c r="G1867" i="3" s="1"/>
  <c r="D1867" i="3" s="1"/>
  <c r="F1867" i="3"/>
  <c r="G1866" i="3" a="1"/>
  <c r="G1866" i="3" s="1"/>
  <c r="D1866" i="3" s="1"/>
  <c r="F1866" i="3"/>
  <c r="G1865" i="3" a="1"/>
  <c r="G1865" i="3" s="1"/>
  <c r="D1865" i="3" s="1"/>
  <c r="F1865" i="3"/>
  <c r="G1864" i="3" a="1"/>
  <c r="G1864" i="3" s="1"/>
  <c r="D1864" i="3" s="1"/>
  <c r="F1864" i="3"/>
  <c r="G1863" i="3" a="1"/>
  <c r="G1863" i="3" s="1"/>
  <c r="D1863" i="3" s="1"/>
  <c r="F1863" i="3"/>
  <c r="G1862" i="3" a="1"/>
  <c r="G1862" i="3" s="1"/>
  <c r="D1862" i="3" s="1"/>
  <c r="F1862" i="3"/>
  <c r="G1861" i="3" a="1"/>
  <c r="G1861" i="3" s="1"/>
  <c r="D1861" i="3" s="1"/>
  <c r="F1861" i="3"/>
  <c r="G1860" i="3" a="1"/>
  <c r="G1860" i="3" s="1"/>
  <c r="D1860" i="3" s="1"/>
  <c r="F1860" i="3"/>
  <c r="G1859" i="3" a="1"/>
  <c r="G1859" i="3" s="1"/>
  <c r="D1859" i="3" s="1"/>
  <c r="F1859" i="3"/>
  <c r="G1858" i="3" a="1"/>
  <c r="G1858" i="3" s="1"/>
  <c r="D1858" i="3" s="1"/>
  <c r="F1858" i="3"/>
  <c r="G1857" i="3" a="1"/>
  <c r="G1857" i="3" s="1"/>
  <c r="D1857" i="3" s="1"/>
  <c r="F1857" i="3"/>
  <c r="G1856" i="3" a="1"/>
  <c r="G1856" i="3" s="1"/>
  <c r="D1856" i="3" s="1"/>
  <c r="F1856" i="3"/>
  <c r="G1855" i="3" a="1"/>
  <c r="G1855" i="3" s="1"/>
  <c r="D1855" i="3" s="1"/>
  <c r="F1855" i="3"/>
  <c r="G1854" i="3" a="1"/>
  <c r="G1854" i="3" s="1"/>
  <c r="D1854" i="3" s="1"/>
  <c r="F1854" i="3"/>
  <c r="G1853" i="3" a="1"/>
  <c r="G1853" i="3" s="1"/>
  <c r="D1853" i="3" s="1"/>
  <c r="F1853" i="3"/>
  <c r="G1852" i="3" a="1"/>
  <c r="G1852" i="3" s="1"/>
  <c r="D1852" i="3" s="1"/>
  <c r="F1852" i="3"/>
  <c r="G1851" i="3" a="1"/>
  <c r="G1851" i="3" s="1"/>
  <c r="D1851" i="3" s="1"/>
  <c r="F1851" i="3"/>
  <c r="G1850" i="3" a="1"/>
  <c r="G1850" i="3" s="1"/>
  <c r="D1850" i="3" s="1"/>
  <c r="F1850" i="3"/>
  <c r="G1849" i="3" a="1"/>
  <c r="G1849" i="3" s="1"/>
  <c r="D1849" i="3" s="1"/>
  <c r="F1849" i="3"/>
  <c r="G1848" i="3" a="1"/>
  <c r="G1848" i="3" s="1"/>
  <c r="D1848" i="3" s="1"/>
  <c r="F1848" i="3"/>
  <c r="G1847" i="3" a="1"/>
  <c r="G1847" i="3" s="1"/>
  <c r="D1847" i="3" s="1"/>
  <c r="F1847" i="3"/>
  <c r="G1846" i="3" a="1"/>
  <c r="G1846" i="3" s="1"/>
  <c r="D1846" i="3" s="1"/>
  <c r="F1846" i="3"/>
  <c r="G1845" i="3" a="1"/>
  <c r="G1845" i="3" s="1"/>
  <c r="D1845" i="3" s="1"/>
  <c r="F1845" i="3"/>
  <c r="G1844" i="3" a="1"/>
  <c r="G1844" i="3" s="1"/>
  <c r="D1844" i="3" s="1"/>
  <c r="F1844" i="3"/>
  <c r="G1843" i="3" a="1"/>
  <c r="G1843" i="3" s="1"/>
  <c r="D1843" i="3" s="1"/>
  <c r="F1843" i="3"/>
  <c r="G1842" i="3" a="1"/>
  <c r="G1842" i="3" s="1"/>
  <c r="D1842" i="3" s="1"/>
  <c r="F1842" i="3"/>
  <c r="G1841" i="3" a="1"/>
  <c r="G1841" i="3" s="1"/>
  <c r="D1841" i="3" s="1"/>
  <c r="F1841" i="3"/>
  <c r="G1840" i="3" a="1"/>
  <c r="G1840" i="3" s="1"/>
  <c r="D1840" i="3" s="1"/>
  <c r="F1840" i="3"/>
  <c r="G1839" i="3" a="1"/>
  <c r="G1839" i="3" s="1"/>
  <c r="D1839" i="3" s="1"/>
  <c r="F1839" i="3"/>
  <c r="G1838" i="3" a="1"/>
  <c r="G1838" i="3" s="1"/>
  <c r="D1838" i="3" s="1"/>
  <c r="F1838" i="3"/>
  <c r="G1837" i="3" a="1"/>
  <c r="G1837" i="3" s="1"/>
  <c r="D1837" i="3" s="1"/>
  <c r="F1837" i="3"/>
  <c r="G1836" i="3" a="1"/>
  <c r="G1836" i="3" s="1"/>
  <c r="D1836" i="3" s="1"/>
  <c r="F1836" i="3"/>
  <c r="G1835" i="3" a="1"/>
  <c r="G1835" i="3" s="1"/>
  <c r="D1835" i="3" s="1"/>
  <c r="F1835" i="3"/>
  <c r="G1834" i="3" a="1"/>
  <c r="G1834" i="3" s="1"/>
  <c r="D1834" i="3" s="1"/>
  <c r="F1834" i="3"/>
  <c r="G1833" i="3" a="1"/>
  <c r="G1833" i="3" s="1"/>
  <c r="D1833" i="3" s="1"/>
  <c r="F1833" i="3"/>
  <c r="G1832" i="3" a="1"/>
  <c r="G1832" i="3" s="1"/>
  <c r="D1832" i="3" s="1"/>
  <c r="F1832" i="3"/>
  <c r="G1831" i="3" a="1"/>
  <c r="G1831" i="3" s="1"/>
  <c r="D1831" i="3" s="1"/>
  <c r="F1831" i="3"/>
  <c r="G1830" i="3" a="1"/>
  <c r="G1830" i="3" s="1"/>
  <c r="D1830" i="3" s="1"/>
  <c r="F1830" i="3"/>
  <c r="G1829" i="3" a="1"/>
  <c r="G1829" i="3" s="1"/>
  <c r="D1829" i="3" s="1"/>
  <c r="F1829" i="3"/>
  <c r="G1828" i="3" a="1"/>
  <c r="G1828" i="3" s="1"/>
  <c r="D1828" i="3" s="1"/>
  <c r="F1828" i="3"/>
  <c r="G1827" i="3" a="1"/>
  <c r="G1827" i="3" s="1"/>
  <c r="D1827" i="3" s="1"/>
  <c r="F1827" i="3"/>
  <c r="G1826" i="3" a="1"/>
  <c r="G1826" i="3" s="1"/>
  <c r="D1826" i="3" s="1"/>
  <c r="F1826" i="3"/>
  <c r="G1825" i="3" a="1"/>
  <c r="G1825" i="3" s="1"/>
  <c r="D1825" i="3" s="1"/>
  <c r="F1825" i="3"/>
  <c r="G1824" i="3" a="1"/>
  <c r="G1824" i="3" s="1"/>
  <c r="D1824" i="3" s="1"/>
  <c r="F1824" i="3"/>
  <c r="G1823" i="3" a="1"/>
  <c r="G1823" i="3" s="1"/>
  <c r="D1823" i="3" s="1"/>
  <c r="F1823" i="3"/>
  <c r="G1822" i="3" a="1"/>
  <c r="G1822" i="3" s="1"/>
  <c r="D1822" i="3" s="1"/>
  <c r="F1822" i="3"/>
  <c r="G1821" i="3" a="1"/>
  <c r="G1821" i="3" s="1"/>
  <c r="D1821" i="3" s="1"/>
  <c r="F1821" i="3"/>
  <c r="G1820" i="3" a="1"/>
  <c r="G1820" i="3" s="1"/>
  <c r="D1820" i="3" s="1"/>
  <c r="F1820" i="3"/>
  <c r="G1819" i="3" a="1"/>
  <c r="G1819" i="3" s="1"/>
  <c r="D1819" i="3" s="1"/>
  <c r="F1819" i="3"/>
  <c r="G1818" i="3" a="1"/>
  <c r="G1818" i="3" s="1"/>
  <c r="D1818" i="3" s="1"/>
  <c r="F1818" i="3"/>
  <c r="G1817" i="3" a="1"/>
  <c r="G1817" i="3" s="1"/>
  <c r="D1817" i="3" s="1"/>
  <c r="F1817" i="3"/>
  <c r="G1816" i="3" a="1"/>
  <c r="G1816" i="3" s="1"/>
  <c r="D1816" i="3" s="1"/>
  <c r="F1816" i="3"/>
  <c r="G1815" i="3" a="1"/>
  <c r="G1815" i="3" s="1"/>
  <c r="D1815" i="3" s="1"/>
  <c r="F1815" i="3"/>
  <c r="G1814" i="3" a="1"/>
  <c r="G1814" i="3" s="1"/>
  <c r="D1814" i="3" s="1"/>
  <c r="F1814" i="3"/>
  <c r="G1813" i="3" a="1"/>
  <c r="G1813" i="3" s="1"/>
  <c r="D1813" i="3" s="1"/>
  <c r="F1813" i="3"/>
  <c r="G1812" i="3" a="1"/>
  <c r="G1812" i="3" s="1"/>
  <c r="D1812" i="3" s="1"/>
  <c r="F1812" i="3"/>
  <c r="G1811" i="3" a="1"/>
  <c r="G1811" i="3" s="1"/>
  <c r="D1811" i="3" s="1"/>
  <c r="F1811" i="3"/>
  <c r="G1810" i="3" a="1"/>
  <c r="G1810" i="3" s="1"/>
  <c r="D1810" i="3" s="1"/>
  <c r="F1810" i="3"/>
  <c r="G1809" i="3" a="1"/>
  <c r="G1809" i="3" s="1"/>
  <c r="D1809" i="3" s="1"/>
  <c r="F1809" i="3"/>
  <c r="G1808" i="3" a="1"/>
  <c r="G1808" i="3" s="1"/>
  <c r="D1808" i="3" s="1"/>
  <c r="F1808" i="3"/>
  <c r="G1807" i="3" a="1"/>
  <c r="G1807" i="3" s="1"/>
  <c r="D1807" i="3" s="1"/>
  <c r="F1807" i="3"/>
  <c r="G1806" i="3" a="1"/>
  <c r="G1806" i="3" s="1"/>
  <c r="D1806" i="3" s="1"/>
  <c r="F1806" i="3"/>
  <c r="G1805" i="3" a="1"/>
  <c r="G1805" i="3" s="1"/>
  <c r="D1805" i="3" s="1"/>
  <c r="F1805" i="3"/>
  <c r="G1804" i="3" a="1"/>
  <c r="G1804" i="3" s="1"/>
  <c r="D1804" i="3" s="1"/>
  <c r="F1804" i="3"/>
  <c r="G1803" i="3" a="1"/>
  <c r="G1803" i="3" s="1"/>
  <c r="D1803" i="3" s="1"/>
  <c r="F1803" i="3"/>
  <c r="G1802" i="3" a="1"/>
  <c r="G1802" i="3" s="1"/>
  <c r="D1802" i="3" s="1"/>
  <c r="F1802" i="3"/>
  <c r="G1801" i="3" a="1"/>
  <c r="G1801" i="3" s="1"/>
  <c r="D1801" i="3" s="1"/>
  <c r="F1801" i="3"/>
  <c r="G1800" i="3" a="1"/>
  <c r="G1800" i="3" s="1"/>
  <c r="D1800" i="3" s="1"/>
  <c r="F1800" i="3"/>
  <c r="G1799" i="3" a="1"/>
  <c r="G1799" i="3" s="1"/>
  <c r="D1799" i="3" s="1"/>
  <c r="F1799" i="3"/>
  <c r="G1798" i="3" a="1"/>
  <c r="G1798" i="3" s="1"/>
  <c r="D1798" i="3" s="1"/>
  <c r="F1798" i="3"/>
  <c r="G1797" i="3" a="1"/>
  <c r="G1797" i="3" s="1"/>
  <c r="D1797" i="3" s="1"/>
  <c r="F1797" i="3"/>
  <c r="G1796" i="3" a="1"/>
  <c r="G1796" i="3" s="1"/>
  <c r="D1796" i="3" s="1"/>
  <c r="F1796" i="3"/>
  <c r="G1795" i="3" a="1"/>
  <c r="G1795" i="3" s="1"/>
  <c r="D1795" i="3" s="1"/>
  <c r="F1795" i="3"/>
  <c r="G1794" i="3" a="1"/>
  <c r="G1794" i="3" s="1"/>
  <c r="D1794" i="3" s="1"/>
  <c r="F1794" i="3"/>
  <c r="G1793" i="3" a="1"/>
  <c r="G1793" i="3" s="1"/>
  <c r="D1793" i="3" s="1"/>
  <c r="F1793" i="3"/>
  <c r="G1792" i="3" a="1"/>
  <c r="G1792" i="3" s="1"/>
  <c r="D1792" i="3" s="1"/>
  <c r="F1792" i="3"/>
  <c r="G1791" i="3" a="1"/>
  <c r="G1791" i="3" s="1"/>
  <c r="D1791" i="3" s="1"/>
  <c r="F1791" i="3"/>
  <c r="G1790" i="3" a="1"/>
  <c r="G1790" i="3" s="1"/>
  <c r="D1790" i="3" s="1"/>
  <c r="F1790" i="3"/>
  <c r="G1789" i="3" a="1"/>
  <c r="G1789" i="3" s="1"/>
  <c r="D1789" i="3" s="1"/>
  <c r="F1789" i="3"/>
  <c r="G1788" i="3" a="1"/>
  <c r="G1788" i="3" s="1"/>
  <c r="D1788" i="3" s="1"/>
  <c r="F1788" i="3"/>
  <c r="G1787" i="3" a="1"/>
  <c r="G1787" i="3" s="1"/>
  <c r="D1787" i="3" s="1"/>
  <c r="F1787" i="3"/>
  <c r="G1786" i="3" a="1"/>
  <c r="G1786" i="3" s="1"/>
  <c r="D1786" i="3" s="1"/>
  <c r="F1786" i="3"/>
  <c r="G1785" i="3" a="1"/>
  <c r="G1785" i="3" s="1"/>
  <c r="D1785" i="3" s="1"/>
  <c r="F1785" i="3"/>
  <c r="G1784" i="3" a="1"/>
  <c r="G1784" i="3" s="1"/>
  <c r="D1784" i="3" s="1"/>
  <c r="F1784" i="3"/>
  <c r="G1783" i="3" a="1"/>
  <c r="G1783" i="3" s="1"/>
  <c r="D1783" i="3" s="1"/>
  <c r="F1783" i="3"/>
  <c r="G1782" i="3" a="1"/>
  <c r="G1782" i="3" s="1"/>
  <c r="D1782" i="3" s="1"/>
  <c r="F1782" i="3"/>
  <c r="G1781" i="3" a="1"/>
  <c r="G1781" i="3" s="1"/>
  <c r="D1781" i="3" s="1"/>
  <c r="F1781" i="3"/>
  <c r="G1780" i="3" a="1"/>
  <c r="G1780" i="3" s="1"/>
  <c r="D1780" i="3" s="1"/>
  <c r="F1780" i="3"/>
  <c r="G1779" i="3" a="1"/>
  <c r="G1779" i="3" s="1"/>
  <c r="D1779" i="3" s="1"/>
  <c r="F1779" i="3"/>
  <c r="G1778" i="3" a="1"/>
  <c r="G1778" i="3" s="1"/>
  <c r="D1778" i="3" s="1"/>
  <c r="F1778" i="3"/>
  <c r="G1777" i="3" a="1"/>
  <c r="G1777" i="3" s="1"/>
  <c r="D1777" i="3" s="1"/>
  <c r="F1777" i="3"/>
  <c r="G1776" i="3" a="1"/>
  <c r="G1776" i="3" s="1"/>
  <c r="D1776" i="3" s="1"/>
  <c r="F1776" i="3"/>
  <c r="G1775" i="3" a="1"/>
  <c r="G1775" i="3" s="1"/>
  <c r="D1775" i="3" s="1"/>
  <c r="F1775" i="3"/>
  <c r="G1774" i="3" a="1"/>
  <c r="G1774" i="3" s="1"/>
  <c r="D1774" i="3" s="1"/>
  <c r="F1774" i="3"/>
  <c r="G1773" i="3" a="1"/>
  <c r="G1773" i="3" s="1"/>
  <c r="D1773" i="3" s="1"/>
  <c r="F1773" i="3"/>
  <c r="G1772" i="3" a="1"/>
  <c r="G1772" i="3" s="1"/>
  <c r="D1772" i="3" s="1"/>
  <c r="F1772" i="3"/>
  <c r="G1771" i="3" a="1"/>
  <c r="G1771" i="3" s="1"/>
  <c r="D1771" i="3" s="1"/>
  <c r="F1771" i="3"/>
  <c r="G1770" i="3" a="1"/>
  <c r="G1770" i="3" s="1"/>
  <c r="D1770" i="3" s="1"/>
  <c r="F1770" i="3"/>
  <c r="G1769" i="3" a="1"/>
  <c r="G1769" i="3" s="1"/>
  <c r="D1769" i="3" s="1"/>
  <c r="F1769" i="3"/>
  <c r="G1768" i="3" a="1"/>
  <c r="G1768" i="3" s="1"/>
  <c r="D1768" i="3" s="1"/>
  <c r="F1768" i="3"/>
  <c r="G1767" i="3" a="1"/>
  <c r="G1767" i="3" s="1"/>
  <c r="D1767" i="3" s="1"/>
  <c r="F1767" i="3"/>
  <c r="G1766" i="3" a="1"/>
  <c r="G1766" i="3" s="1"/>
  <c r="D1766" i="3" s="1"/>
  <c r="F1766" i="3"/>
  <c r="G1765" i="3" a="1"/>
  <c r="G1765" i="3" s="1"/>
  <c r="D1765" i="3" s="1"/>
  <c r="F1765" i="3"/>
  <c r="G1764" i="3" a="1"/>
  <c r="G1764" i="3" s="1"/>
  <c r="D1764" i="3" s="1"/>
  <c r="F1764" i="3"/>
  <c r="G1763" i="3" a="1"/>
  <c r="G1763" i="3" s="1"/>
  <c r="D1763" i="3" s="1"/>
  <c r="F1763" i="3"/>
  <c r="G1762" i="3" a="1"/>
  <c r="G1762" i="3" s="1"/>
  <c r="D1762" i="3" s="1"/>
  <c r="F1762" i="3"/>
  <c r="G1761" i="3" a="1"/>
  <c r="G1761" i="3" s="1"/>
  <c r="D1761" i="3" s="1"/>
  <c r="F1761" i="3"/>
  <c r="G1760" i="3" a="1"/>
  <c r="G1760" i="3" s="1"/>
  <c r="D1760" i="3" s="1"/>
  <c r="F1760" i="3"/>
  <c r="G1759" i="3" a="1"/>
  <c r="G1759" i="3" s="1"/>
  <c r="D1759" i="3" s="1"/>
  <c r="F1759" i="3"/>
  <c r="G1758" i="3" a="1"/>
  <c r="G1758" i="3" s="1"/>
  <c r="D1758" i="3" s="1"/>
  <c r="F1758" i="3"/>
  <c r="G1757" i="3" a="1"/>
  <c r="G1757" i="3" s="1"/>
  <c r="D1757" i="3" s="1"/>
  <c r="F1757" i="3"/>
  <c r="G1756" i="3" a="1"/>
  <c r="G1756" i="3" s="1"/>
  <c r="D1756" i="3" s="1"/>
  <c r="F1756" i="3"/>
  <c r="G1755" i="3" a="1"/>
  <c r="G1755" i="3" s="1"/>
  <c r="D1755" i="3" s="1"/>
  <c r="F1755" i="3"/>
  <c r="G1754" i="3" a="1"/>
  <c r="G1754" i="3" s="1"/>
  <c r="D1754" i="3" s="1"/>
  <c r="F1754" i="3"/>
  <c r="G1753" i="3" a="1"/>
  <c r="G1753" i="3" s="1"/>
  <c r="D1753" i="3" s="1"/>
  <c r="F1753" i="3"/>
  <c r="G1752" i="3" a="1"/>
  <c r="G1752" i="3" s="1"/>
  <c r="D1752" i="3" s="1"/>
  <c r="F1752" i="3"/>
  <c r="G1751" i="3" a="1"/>
  <c r="G1751" i="3" s="1"/>
  <c r="D1751" i="3" s="1"/>
  <c r="F1751" i="3"/>
  <c r="G1750" i="3" a="1"/>
  <c r="G1750" i="3" s="1"/>
  <c r="D1750" i="3" s="1"/>
  <c r="F1750" i="3"/>
  <c r="G1749" i="3" a="1"/>
  <c r="G1749" i="3" s="1"/>
  <c r="D1749" i="3" s="1"/>
  <c r="F1749" i="3"/>
  <c r="G1748" i="3" a="1"/>
  <c r="G1748" i="3" s="1"/>
  <c r="D1748" i="3" s="1"/>
  <c r="F1748" i="3"/>
  <c r="G1747" i="3" a="1"/>
  <c r="G1747" i="3" s="1"/>
  <c r="D1747" i="3" s="1"/>
  <c r="F1747" i="3"/>
  <c r="G1746" i="3" a="1"/>
  <c r="G1746" i="3" s="1"/>
  <c r="D1746" i="3" s="1"/>
  <c r="F1746" i="3"/>
  <c r="G1745" i="3" a="1"/>
  <c r="G1745" i="3" s="1"/>
  <c r="D1745" i="3" s="1"/>
  <c r="F1745" i="3"/>
  <c r="G1744" i="3" a="1"/>
  <c r="G1744" i="3" s="1"/>
  <c r="D1744" i="3" s="1"/>
  <c r="F1744" i="3"/>
  <c r="G1743" i="3" a="1"/>
  <c r="G1743" i="3" s="1"/>
  <c r="D1743" i="3" s="1"/>
  <c r="F1743" i="3"/>
  <c r="G1742" i="3" a="1"/>
  <c r="G1742" i="3" s="1"/>
  <c r="D1742" i="3" s="1"/>
  <c r="F1742" i="3"/>
  <c r="G1741" i="3" a="1"/>
  <c r="G1741" i="3" s="1"/>
  <c r="D1741" i="3" s="1"/>
  <c r="F1741" i="3"/>
  <c r="G1740" i="3" a="1"/>
  <c r="G1740" i="3" s="1"/>
  <c r="D1740" i="3" s="1"/>
  <c r="F1740" i="3"/>
  <c r="G1739" i="3" a="1"/>
  <c r="G1739" i="3" s="1"/>
  <c r="D1739" i="3" s="1"/>
  <c r="F1739" i="3"/>
  <c r="G1738" i="3" a="1"/>
  <c r="G1738" i="3" s="1"/>
  <c r="D1738" i="3" s="1"/>
  <c r="F1738" i="3"/>
  <c r="G1737" i="3" a="1"/>
  <c r="G1737" i="3" s="1"/>
  <c r="D1737" i="3" s="1"/>
  <c r="F1737" i="3"/>
  <c r="G1736" i="3" a="1"/>
  <c r="G1736" i="3" s="1"/>
  <c r="D1736" i="3" s="1"/>
  <c r="F1736" i="3"/>
  <c r="G1735" i="3" a="1"/>
  <c r="G1735" i="3" s="1"/>
  <c r="D1735" i="3" s="1"/>
  <c r="F1735" i="3"/>
  <c r="G1734" i="3" a="1"/>
  <c r="G1734" i="3" s="1"/>
  <c r="D1734" i="3" s="1"/>
  <c r="F1734" i="3"/>
  <c r="G1733" i="3" a="1"/>
  <c r="G1733" i="3" s="1"/>
  <c r="D1733" i="3" s="1"/>
  <c r="F1733" i="3"/>
  <c r="G1732" i="3" a="1"/>
  <c r="G1732" i="3" s="1"/>
  <c r="D1732" i="3" s="1"/>
  <c r="F1732" i="3"/>
  <c r="G1731" i="3" a="1"/>
  <c r="G1731" i="3" s="1"/>
  <c r="D1731" i="3" s="1"/>
  <c r="F1731" i="3"/>
  <c r="G1730" i="3" a="1"/>
  <c r="G1730" i="3" s="1"/>
  <c r="D1730" i="3" s="1"/>
  <c r="F1730" i="3"/>
  <c r="G1729" i="3" a="1"/>
  <c r="G1729" i="3" s="1"/>
  <c r="D1729" i="3" s="1"/>
  <c r="F1729" i="3"/>
  <c r="G1728" i="3" a="1"/>
  <c r="G1728" i="3" s="1"/>
  <c r="D1728" i="3" s="1"/>
  <c r="F1728" i="3"/>
  <c r="G1727" i="3" a="1"/>
  <c r="G1727" i="3" s="1"/>
  <c r="D1727" i="3" s="1"/>
  <c r="F1727" i="3"/>
  <c r="G1726" i="3" a="1"/>
  <c r="G1726" i="3" s="1"/>
  <c r="D1726" i="3" s="1"/>
  <c r="F1726" i="3"/>
  <c r="G1725" i="3" a="1"/>
  <c r="G1725" i="3" s="1"/>
  <c r="D1725" i="3" s="1"/>
  <c r="F1725" i="3"/>
  <c r="G1724" i="3" a="1"/>
  <c r="G1724" i="3" s="1"/>
  <c r="D1724" i="3" s="1"/>
  <c r="F1724" i="3"/>
  <c r="G1723" i="3" a="1"/>
  <c r="G1723" i="3" s="1"/>
  <c r="D1723" i="3" s="1"/>
  <c r="F1723" i="3"/>
  <c r="G1722" i="3" a="1"/>
  <c r="G1722" i="3" s="1"/>
  <c r="D1722" i="3" s="1"/>
  <c r="F1722" i="3"/>
  <c r="G1721" i="3" a="1"/>
  <c r="G1721" i="3" s="1"/>
  <c r="D1721" i="3" s="1"/>
  <c r="F1721" i="3"/>
  <c r="G1720" i="3" a="1"/>
  <c r="G1720" i="3" s="1"/>
  <c r="D1720" i="3" s="1"/>
  <c r="F1720" i="3"/>
  <c r="G1719" i="3" a="1"/>
  <c r="G1719" i="3" s="1"/>
  <c r="D1719" i="3" s="1"/>
  <c r="F1719" i="3"/>
  <c r="G1718" i="3" a="1"/>
  <c r="G1718" i="3" s="1"/>
  <c r="D1718" i="3" s="1"/>
  <c r="F1718" i="3"/>
  <c r="G1717" i="3" a="1"/>
  <c r="G1717" i="3" s="1"/>
  <c r="D1717" i="3" s="1"/>
  <c r="F1717" i="3"/>
  <c r="G1716" i="3" a="1"/>
  <c r="G1716" i="3" s="1"/>
  <c r="D1716" i="3" s="1"/>
  <c r="F1716" i="3"/>
  <c r="G1715" i="3" a="1"/>
  <c r="G1715" i="3" s="1"/>
  <c r="D1715" i="3" s="1"/>
  <c r="F1715" i="3"/>
  <c r="G1714" i="3" a="1"/>
  <c r="G1714" i="3" s="1"/>
  <c r="D1714" i="3" s="1"/>
  <c r="F1714" i="3"/>
  <c r="G1713" i="3" a="1"/>
  <c r="G1713" i="3" s="1"/>
  <c r="D1713" i="3" s="1"/>
  <c r="F1713" i="3"/>
  <c r="G1712" i="3" a="1"/>
  <c r="G1712" i="3" s="1"/>
  <c r="D1712" i="3" s="1"/>
  <c r="F1712" i="3"/>
  <c r="G1711" i="3" a="1"/>
  <c r="G1711" i="3" s="1"/>
  <c r="D1711" i="3" s="1"/>
  <c r="F1711" i="3"/>
  <c r="G1710" i="3" a="1"/>
  <c r="G1710" i="3" s="1"/>
  <c r="D1710" i="3" s="1"/>
  <c r="F1710" i="3"/>
  <c r="G1709" i="3" a="1"/>
  <c r="G1709" i="3" s="1"/>
  <c r="D1709" i="3" s="1"/>
  <c r="F1709" i="3"/>
  <c r="G1708" i="3" a="1"/>
  <c r="G1708" i="3" s="1"/>
  <c r="D1708" i="3" s="1"/>
  <c r="F1708" i="3"/>
  <c r="G1707" i="3" a="1"/>
  <c r="G1707" i="3" s="1"/>
  <c r="D1707" i="3" s="1"/>
  <c r="F1707" i="3"/>
  <c r="G1706" i="3" a="1"/>
  <c r="G1706" i="3" s="1"/>
  <c r="D1706" i="3" s="1"/>
  <c r="F1706" i="3"/>
  <c r="G1705" i="3" a="1"/>
  <c r="G1705" i="3" s="1"/>
  <c r="D1705" i="3" s="1"/>
  <c r="F1705" i="3"/>
  <c r="G1704" i="3" a="1"/>
  <c r="G1704" i="3" s="1"/>
  <c r="D1704" i="3" s="1"/>
  <c r="F1704" i="3"/>
  <c r="G1703" i="3" a="1"/>
  <c r="G1703" i="3" s="1"/>
  <c r="D1703" i="3" s="1"/>
  <c r="F1703" i="3"/>
  <c r="G1702" i="3" a="1"/>
  <c r="G1702" i="3" s="1"/>
  <c r="D1702" i="3" s="1"/>
  <c r="F1702" i="3"/>
  <c r="G1701" i="3" a="1"/>
  <c r="G1701" i="3" s="1"/>
  <c r="D1701" i="3" s="1"/>
  <c r="F1701" i="3"/>
  <c r="G1700" i="3" a="1"/>
  <c r="G1700" i="3" s="1"/>
  <c r="D1700" i="3" s="1"/>
  <c r="F1700" i="3"/>
  <c r="G1699" i="3" a="1"/>
  <c r="G1699" i="3" s="1"/>
  <c r="D1699" i="3" s="1"/>
  <c r="F1699" i="3"/>
  <c r="G1698" i="3" a="1"/>
  <c r="G1698" i="3" s="1"/>
  <c r="D1698" i="3" s="1"/>
  <c r="F1698" i="3"/>
  <c r="G1697" i="3" a="1"/>
  <c r="G1697" i="3" s="1"/>
  <c r="D1697" i="3" s="1"/>
  <c r="F1697" i="3"/>
  <c r="G1696" i="3" a="1"/>
  <c r="G1696" i="3" s="1"/>
  <c r="D1696" i="3" s="1"/>
  <c r="F1696" i="3"/>
  <c r="G1695" i="3" a="1"/>
  <c r="G1695" i="3" s="1"/>
  <c r="D1695" i="3" s="1"/>
  <c r="F1695" i="3"/>
  <c r="G1694" i="3" a="1"/>
  <c r="G1694" i="3" s="1"/>
  <c r="D1694" i="3" s="1"/>
  <c r="F1694" i="3"/>
  <c r="G1693" i="3" a="1"/>
  <c r="G1693" i="3" s="1"/>
  <c r="D1693" i="3" s="1"/>
  <c r="F1693" i="3"/>
  <c r="G1692" i="3" a="1"/>
  <c r="G1692" i="3" s="1"/>
  <c r="D1692" i="3" s="1"/>
  <c r="F1692" i="3"/>
  <c r="G1691" i="3" a="1"/>
  <c r="G1691" i="3" s="1"/>
  <c r="D1691" i="3" s="1"/>
  <c r="F1691" i="3"/>
  <c r="G1690" i="3" a="1"/>
  <c r="G1690" i="3" s="1"/>
  <c r="D1690" i="3" s="1"/>
  <c r="F1690" i="3"/>
  <c r="G1689" i="3" a="1"/>
  <c r="G1689" i="3" s="1"/>
  <c r="D1689" i="3" s="1"/>
  <c r="F1689" i="3"/>
  <c r="G1688" i="3" a="1"/>
  <c r="G1688" i="3" s="1"/>
  <c r="D1688" i="3" s="1"/>
  <c r="F1688" i="3"/>
  <c r="G1687" i="3" a="1"/>
  <c r="G1687" i="3" s="1"/>
  <c r="D1687" i="3" s="1"/>
  <c r="F1687" i="3"/>
  <c r="G1686" i="3" a="1"/>
  <c r="G1686" i="3" s="1"/>
  <c r="D1686" i="3" s="1"/>
  <c r="F1686" i="3"/>
  <c r="G1685" i="3" a="1"/>
  <c r="G1685" i="3" s="1"/>
  <c r="D1685" i="3" s="1"/>
  <c r="F1685" i="3"/>
  <c r="G1684" i="3" a="1"/>
  <c r="G1684" i="3" s="1"/>
  <c r="D1684" i="3" s="1"/>
  <c r="F1684" i="3"/>
  <c r="G1683" i="3" a="1"/>
  <c r="G1683" i="3" s="1"/>
  <c r="D1683" i="3" s="1"/>
  <c r="F1683" i="3"/>
  <c r="G1682" i="3" a="1"/>
  <c r="G1682" i="3" s="1"/>
  <c r="D1682" i="3" s="1"/>
  <c r="F1682" i="3"/>
  <c r="G1681" i="3" a="1"/>
  <c r="G1681" i="3" s="1"/>
  <c r="D1681" i="3" s="1"/>
  <c r="F1681" i="3"/>
  <c r="G1680" i="3" a="1"/>
  <c r="G1680" i="3" s="1"/>
  <c r="D1680" i="3" s="1"/>
  <c r="F1680" i="3"/>
  <c r="G1679" i="3" a="1"/>
  <c r="G1679" i="3" s="1"/>
  <c r="D1679" i="3" s="1"/>
  <c r="F1679" i="3"/>
  <c r="G1678" i="3" a="1"/>
  <c r="G1678" i="3" s="1"/>
  <c r="D1678" i="3" s="1"/>
  <c r="F1678" i="3"/>
  <c r="G1677" i="3" a="1"/>
  <c r="G1677" i="3" s="1"/>
  <c r="D1677" i="3" s="1"/>
  <c r="F1677" i="3"/>
  <c r="G1676" i="3" a="1"/>
  <c r="G1676" i="3" s="1"/>
  <c r="D1676" i="3" s="1"/>
  <c r="F1676" i="3"/>
  <c r="G1675" i="3" a="1"/>
  <c r="G1675" i="3" s="1"/>
  <c r="D1675" i="3" s="1"/>
  <c r="F1675" i="3"/>
  <c r="G1674" i="3" a="1"/>
  <c r="G1674" i="3" s="1"/>
  <c r="D1674" i="3" s="1"/>
  <c r="F1674" i="3"/>
  <c r="G1673" i="3" a="1"/>
  <c r="G1673" i="3" s="1"/>
  <c r="D1673" i="3" s="1"/>
  <c r="F1673" i="3"/>
  <c r="G1672" i="3" a="1"/>
  <c r="G1672" i="3" s="1"/>
  <c r="D1672" i="3" s="1"/>
  <c r="F1672" i="3"/>
  <c r="G1671" i="3" a="1"/>
  <c r="G1671" i="3" s="1"/>
  <c r="D1671" i="3" s="1"/>
  <c r="F1671" i="3"/>
  <c r="G1670" i="3" a="1"/>
  <c r="G1670" i="3" s="1"/>
  <c r="D1670" i="3" s="1"/>
  <c r="F1670" i="3"/>
  <c r="G1669" i="3" a="1"/>
  <c r="G1669" i="3" s="1"/>
  <c r="D1669" i="3" s="1"/>
  <c r="F1669" i="3"/>
  <c r="G1668" i="3" a="1"/>
  <c r="G1668" i="3" s="1"/>
  <c r="D1668" i="3" s="1"/>
  <c r="F1668" i="3"/>
  <c r="G1667" i="3" a="1"/>
  <c r="G1667" i="3" s="1"/>
  <c r="D1667" i="3" s="1"/>
  <c r="F1667" i="3"/>
  <c r="G1666" i="3" a="1"/>
  <c r="G1666" i="3" s="1"/>
  <c r="D1666" i="3" s="1"/>
  <c r="F1666" i="3"/>
  <c r="G1665" i="3" a="1"/>
  <c r="G1665" i="3" s="1"/>
  <c r="D1665" i="3" s="1"/>
  <c r="F1665" i="3"/>
  <c r="G1664" i="3" a="1"/>
  <c r="G1664" i="3" s="1"/>
  <c r="D1664" i="3" s="1"/>
  <c r="F1664" i="3"/>
  <c r="G1663" i="3" a="1"/>
  <c r="G1663" i="3" s="1"/>
  <c r="D1663" i="3" s="1"/>
  <c r="F1663" i="3"/>
  <c r="G1662" i="3" a="1"/>
  <c r="G1662" i="3" s="1"/>
  <c r="D1662" i="3" s="1"/>
  <c r="F1662" i="3"/>
  <c r="G1661" i="3" a="1"/>
  <c r="G1661" i="3" s="1"/>
  <c r="D1661" i="3" s="1"/>
  <c r="F1661" i="3"/>
  <c r="G1660" i="3" a="1"/>
  <c r="G1660" i="3" s="1"/>
  <c r="D1660" i="3" s="1"/>
  <c r="F1660" i="3"/>
  <c r="G1659" i="3" a="1"/>
  <c r="G1659" i="3" s="1"/>
  <c r="D1659" i="3" s="1"/>
  <c r="F1659" i="3"/>
  <c r="G1658" i="3" a="1"/>
  <c r="G1658" i="3" s="1"/>
  <c r="D1658" i="3" s="1"/>
  <c r="F1658" i="3"/>
  <c r="G1657" i="3" a="1"/>
  <c r="G1657" i="3" s="1"/>
  <c r="D1657" i="3" s="1"/>
  <c r="F1657" i="3"/>
  <c r="G1656" i="3" a="1"/>
  <c r="G1656" i="3" s="1"/>
  <c r="D1656" i="3" s="1"/>
  <c r="F1656" i="3"/>
  <c r="G1655" i="3" a="1"/>
  <c r="G1655" i="3" s="1"/>
  <c r="D1655" i="3" s="1"/>
  <c r="F1655" i="3"/>
  <c r="G1654" i="3" a="1"/>
  <c r="G1654" i="3" s="1"/>
  <c r="D1654" i="3" s="1"/>
  <c r="F1654" i="3"/>
  <c r="G1653" i="3" a="1"/>
  <c r="G1653" i="3" s="1"/>
  <c r="D1653" i="3" s="1"/>
  <c r="F1653" i="3"/>
  <c r="G1652" i="3" a="1"/>
  <c r="G1652" i="3" s="1"/>
  <c r="D1652" i="3" s="1"/>
  <c r="F1652" i="3"/>
  <c r="G1651" i="3" a="1"/>
  <c r="G1651" i="3" s="1"/>
  <c r="D1651" i="3" s="1"/>
  <c r="F1651" i="3"/>
  <c r="G1650" i="3" a="1"/>
  <c r="G1650" i="3" s="1"/>
  <c r="D1650" i="3" s="1"/>
  <c r="F1650" i="3"/>
  <c r="G1649" i="3" a="1"/>
  <c r="G1649" i="3" s="1"/>
  <c r="D1649" i="3" s="1"/>
  <c r="F1649" i="3"/>
  <c r="G1648" i="3" a="1"/>
  <c r="G1648" i="3" s="1"/>
  <c r="D1648" i="3" s="1"/>
  <c r="F1648" i="3"/>
  <c r="G1647" i="3" a="1"/>
  <c r="G1647" i="3" s="1"/>
  <c r="D1647" i="3" s="1"/>
  <c r="F1647" i="3"/>
  <c r="G1646" i="3" a="1"/>
  <c r="G1646" i="3" s="1"/>
  <c r="D1646" i="3" s="1"/>
  <c r="F1646" i="3"/>
  <c r="G1645" i="3" a="1"/>
  <c r="G1645" i="3" s="1"/>
  <c r="D1645" i="3" s="1"/>
  <c r="F1645" i="3"/>
  <c r="G1644" i="3" a="1"/>
  <c r="G1644" i="3" s="1"/>
  <c r="D1644" i="3" s="1"/>
  <c r="F1644" i="3"/>
  <c r="G1643" i="3" a="1"/>
  <c r="G1643" i="3" s="1"/>
  <c r="D1643" i="3" s="1"/>
  <c r="F1643" i="3"/>
  <c r="G1642" i="3" a="1"/>
  <c r="G1642" i="3" s="1"/>
  <c r="D1642" i="3" s="1"/>
  <c r="F1642" i="3"/>
  <c r="G1641" i="3" a="1"/>
  <c r="G1641" i="3" s="1"/>
  <c r="D1641" i="3" s="1"/>
  <c r="F1641" i="3"/>
  <c r="G1640" i="3" a="1"/>
  <c r="G1640" i="3" s="1"/>
  <c r="D1640" i="3" s="1"/>
  <c r="F1640" i="3"/>
  <c r="G1639" i="3" a="1"/>
  <c r="G1639" i="3" s="1"/>
  <c r="D1639" i="3" s="1"/>
  <c r="F1639" i="3"/>
  <c r="G1638" i="3" a="1"/>
  <c r="G1638" i="3" s="1"/>
  <c r="D1638" i="3" s="1"/>
  <c r="F1638" i="3"/>
  <c r="G1637" i="3" a="1"/>
  <c r="G1637" i="3" s="1"/>
  <c r="D1637" i="3" s="1"/>
  <c r="F1637" i="3"/>
  <c r="G1636" i="3" a="1"/>
  <c r="G1636" i="3" s="1"/>
  <c r="D1636" i="3" s="1"/>
  <c r="F1636" i="3"/>
  <c r="G1635" i="3" a="1"/>
  <c r="G1635" i="3" s="1"/>
  <c r="D1635" i="3" s="1"/>
  <c r="F1635" i="3"/>
  <c r="G1634" i="3" a="1"/>
  <c r="G1634" i="3" s="1"/>
  <c r="D1634" i="3" s="1"/>
  <c r="F1634" i="3"/>
  <c r="G1633" i="3" a="1"/>
  <c r="G1633" i="3" s="1"/>
  <c r="D1633" i="3" s="1"/>
  <c r="F1633" i="3"/>
  <c r="G1632" i="3" a="1"/>
  <c r="G1632" i="3" s="1"/>
  <c r="D1632" i="3" s="1"/>
  <c r="F1632" i="3"/>
  <c r="G1631" i="3" a="1"/>
  <c r="G1631" i="3" s="1"/>
  <c r="D1631" i="3" s="1"/>
  <c r="F1631" i="3"/>
  <c r="G1630" i="3" a="1"/>
  <c r="G1630" i="3" s="1"/>
  <c r="D1630" i="3" s="1"/>
  <c r="F1630" i="3"/>
  <c r="G1629" i="3" a="1"/>
  <c r="G1629" i="3" s="1"/>
  <c r="D1629" i="3" s="1"/>
  <c r="F1629" i="3"/>
  <c r="G1628" i="3" a="1"/>
  <c r="G1628" i="3" s="1"/>
  <c r="D1628" i="3" s="1"/>
  <c r="F1628" i="3"/>
  <c r="G1627" i="3" a="1"/>
  <c r="G1627" i="3" s="1"/>
  <c r="D1627" i="3" s="1"/>
  <c r="F1627" i="3"/>
  <c r="G1626" i="3" a="1"/>
  <c r="G1626" i="3" s="1"/>
  <c r="D1626" i="3" s="1"/>
  <c r="F1626" i="3"/>
  <c r="G1625" i="3" a="1"/>
  <c r="G1625" i="3" s="1"/>
  <c r="D1625" i="3" s="1"/>
  <c r="F1625" i="3"/>
  <c r="G1624" i="3" a="1"/>
  <c r="G1624" i="3" s="1"/>
  <c r="D1624" i="3" s="1"/>
  <c r="F1624" i="3"/>
  <c r="G1623" i="3" a="1"/>
  <c r="G1623" i="3" s="1"/>
  <c r="D1623" i="3" s="1"/>
  <c r="F1623" i="3"/>
  <c r="G1622" i="3" a="1"/>
  <c r="G1622" i="3" s="1"/>
  <c r="D1622" i="3" s="1"/>
  <c r="F1622" i="3"/>
  <c r="G1621" i="3" a="1"/>
  <c r="G1621" i="3" s="1"/>
  <c r="D1621" i="3" s="1"/>
  <c r="F1621" i="3"/>
  <c r="G1620" i="3" a="1"/>
  <c r="G1620" i="3" s="1"/>
  <c r="D1620" i="3" s="1"/>
  <c r="F1620" i="3"/>
  <c r="G1619" i="3" a="1"/>
  <c r="G1619" i="3" s="1"/>
  <c r="D1619" i="3" s="1"/>
  <c r="F1619" i="3"/>
  <c r="G1618" i="3" a="1"/>
  <c r="G1618" i="3" s="1"/>
  <c r="D1618" i="3" s="1"/>
  <c r="F1618" i="3"/>
  <c r="G1617" i="3" a="1"/>
  <c r="G1617" i="3" s="1"/>
  <c r="D1617" i="3" s="1"/>
  <c r="F1617" i="3"/>
  <c r="G1616" i="3" a="1"/>
  <c r="G1616" i="3" s="1"/>
  <c r="D1616" i="3" s="1"/>
  <c r="F1616" i="3"/>
  <c r="G1615" i="3" a="1"/>
  <c r="G1615" i="3" s="1"/>
  <c r="D1615" i="3" s="1"/>
  <c r="F1615" i="3"/>
  <c r="G1614" i="3" a="1"/>
  <c r="G1614" i="3" s="1"/>
  <c r="D1614" i="3" s="1"/>
  <c r="F1614" i="3"/>
  <c r="G1613" i="3" a="1"/>
  <c r="G1613" i="3" s="1"/>
  <c r="D1613" i="3" s="1"/>
  <c r="F1613" i="3"/>
  <c r="G1612" i="3" a="1"/>
  <c r="G1612" i="3" s="1"/>
  <c r="D1612" i="3" s="1"/>
  <c r="F1612" i="3"/>
  <c r="G1611" i="3" a="1"/>
  <c r="G1611" i="3" s="1"/>
  <c r="D1611" i="3" s="1"/>
  <c r="F1611" i="3"/>
  <c r="G1610" i="3" a="1"/>
  <c r="G1610" i="3" s="1"/>
  <c r="D1610" i="3" s="1"/>
  <c r="F1610" i="3"/>
  <c r="G1609" i="3" a="1"/>
  <c r="G1609" i="3" s="1"/>
  <c r="D1609" i="3" s="1"/>
  <c r="F1609" i="3"/>
  <c r="G1608" i="3" a="1"/>
  <c r="G1608" i="3" s="1"/>
  <c r="D1608" i="3" s="1"/>
  <c r="F1608" i="3"/>
  <c r="G1607" i="3" a="1"/>
  <c r="G1607" i="3" s="1"/>
  <c r="D1607" i="3" s="1"/>
  <c r="F1607" i="3"/>
  <c r="G1606" i="3" a="1"/>
  <c r="G1606" i="3" s="1"/>
  <c r="D1606" i="3" s="1"/>
  <c r="F1606" i="3"/>
  <c r="G1605" i="3" a="1"/>
  <c r="G1605" i="3" s="1"/>
  <c r="D1605" i="3" s="1"/>
  <c r="F1605" i="3"/>
  <c r="G1604" i="3" a="1"/>
  <c r="G1604" i="3" s="1"/>
  <c r="D1604" i="3" s="1"/>
  <c r="F1604" i="3"/>
  <c r="G1603" i="3" a="1"/>
  <c r="G1603" i="3" s="1"/>
  <c r="D1603" i="3" s="1"/>
  <c r="F1603" i="3"/>
  <c r="G1602" i="3" a="1"/>
  <c r="G1602" i="3" s="1"/>
  <c r="D1602" i="3" s="1"/>
  <c r="F1602" i="3"/>
  <c r="G1601" i="3" a="1"/>
  <c r="G1601" i="3" s="1"/>
  <c r="D1601" i="3" s="1"/>
  <c r="F1601" i="3"/>
  <c r="G1600" i="3" a="1"/>
  <c r="G1600" i="3" s="1"/>
  <c r="D1600" i="3" s="1"/>
  <c r="F1600" i="3"/>
  <c r="G1599" i="3" a="1"/>
  <c r="G1599" i="3" s="1"/>
  <c r="D1599" i="3" s="1"/>
  <c r="F1599" i="3"/>
  <c r="G1598" i="3" a="1"/>
  <c r="G1598" i="3" s="1"/>
  <c r="D1598" i="3" s="1"/>
  <c r="F1598" i="3"/>
  <c r="G1597" i="3" a="1"/>
  <c r="G1597" i="3" s="1"/>
  <c r="D1597" i="3" s="1"/>
  <c r="F1597" i="3"/>
  <c r="G1596" i="3" a="1"/>
  <c r="G1596" i="3" s="1"/>
  <c r="D1596" i="3" s="1"/>
  <c r="F1596" i="3"/>
  <c r="G1595" i="3" a="1"/>
  <c r="G1595" i="3" s="1"/>
  <c r="D1595" i="3" s="1"/>
  <c r="F1595" i="3"/>
  <c r="G1594" i="3" a="1"/>
  <c r="G1594" i="3" s="1"/>
  <c r="D1594" i="3" s="1"/>
  <c r="F1594" i="3"/>
  <c r="G1593" i="3" a="1"/>
  <c r="G1593" i="3" s="1"/>
  <c r="D1593" i="3" s="1"/>
  <c r="F1593" i="3"/>
  <c r="G1592" i="3" a="1"/>
  <c r="G1592" i="3" s="1"/>
  <c r="D1592" i="3" s="1"/>
  <c r="F1592" i="3"/>
  <c r="G1591" i="3" a="1"/>
  <c r="G1591" i="3" s="1"/>
  <c r="D1591" i="3" s="1"/>
  <c r="F1591" i="3"/>
  <c r="G1590" i="3" a="1"/>
  <c r="G1590" i="3" s="1"/>
  <c r="D1590" i="3" s="1"/>
  <c r="F1590" i="3"/>
  <c r="G1589" i="3" a="1"/>
  <c r="G1589" i="3" s="1"/>
  <c r="D1589" i="3" s="1"/>
  <c r="F1589" i="3"/>
  <c r="G1588" i="3" a="1"/>
  <c r="G1588" i="3" s="1"/>
  <c r="D1588" i="3" s="1"/>
  <c r="F1588" i="3"/>
  <c r="G1587" i="3" a="1"/>
  <c r="G1587" i="3" s="1"/>
  <c r="D1587" i="3" s="1"/>
  <c r="F1587" i="3"/>
  <c r="G1586" i="3" a="1"/>
  <c r="G1586" i="3" s="1"/>
  <c r="D1586" i="3" s="1"/>
  <c r="F1586" i="3"/>
  <c r="G1585" i="3" a="1"/>
  <c r="G1585" i="3" s="1"/>
  <c r="D1585" i="3" s="1"/>
  <c r="F1585" i="3"/>
  <c r="G1584" i="3" a="1"/>
  <c r="G1584" i="3" s="1"/>
  <c r="D1584" i="3" s="1"/>
  <c r="F1584" i="3"/>
  <c r="G1583" i="3" a="1"/>
  <c r="G1583" i="3" s="1"/>
  <c r="D1583" i="3" s="1"/>
  <c r="F1583" i="3"/>
  <c r="G1582" i="3" a="1"/>
  <c r="G1582" i="3" s="1"/>
  <c r="D1582" i="3" s="1"/>
  <c r="F1582" i="3"/>
  <c r="G1581" i="3" a="1"/>
  <c r="G1581" i="3" s="1"/>
  <c r="D1581" i="3" s="1"/>
  <c r="F1581" i="3"/>
  <c r="G1580" i="3" a="1"/>
  <c r="G1580" i="3" s="1"/>
  <c r="D1580" i="3" s="1"/>
  <c r="F1580" i="3"/>
  <c r="G1579" i="3" a="1"/>
  <c r="G1579" i="3" s="1"/>
  <c r="D1579" i="3" s="1"/>
  <c r="F1579" i="3"/>
  <c r="G1578" i="3" a="1"/>
  <c r="G1578" i="3" s="1"/>
  <c r="D1578" i="3" s="1"/>
  <c r="F1578" i="3"/>
  <c r="G1577" i="3" a="1"/>
  <c r="G1577" i="3" s="1"/>
  <c r="D1577" i="3" s="1"/>
  <c r="F1577" i="3"/>
  <c r="G1576" i="3" a="1"/>
  <c r="G1576" i="3" s="1"/>
  <c r="D1576" i="3" s="1"/>
  <c r="F1576" i="3"/>
  <c r="G1575" i="3" a="1"/>
  <c r="G1575" i="3" s="1"/>
  <c r="D1575" i="3" s="1"/>
  <c r="F1575" i="3"/>
  <c r="G1574" i="3" a="1"/>
  <c r="G1574" i="3" s="1"/>
  <c r="D1574" i="3" s="1"/>
  <c r="F1574" i="3"/>
  <c r="G1573" i="3" a="1"/>
  <c r="G1573" i="3" s="1"/>
  <c r="D1573" i="3" s="1"/>
  <c r="F1573" i="3"/>
  <c r="G1572" i="3" a="1"/>
  <c r="G1572" i="3" s="1"/>
  <c r="D1572" i="3" s="1"/>
  <c r="F1572" i="3"/>
  <c r="G1571" i="3" a="1"/>
  <c r="G1571" i="3" s="1"/>
  <c r="D1571" i="3" s="1"/>
  <c r="F1571" i="3"/>
  <c r="G1570" i="3" a="1"/>
  <c r="G1570" i="3" s="1"/>
  <c r="D1570" i="3" s="1"/>
  <c r="F1570" i="3"/>
  <c r="G1569" i="3" a="1"/>
  <c r="G1569" i="3" s="1"/>
  <c r="D1569" i="3" s="1"/>
  <c r="F1569" i="3"/>
  <c r="G1568" i="3" a="1"/>
  <c r="G1568" i="3" s="1"/>
  <c r="D1568" i="3" s="1"/>
  <c r="F1568" i="3"/>
  <c r="G1567" i="3" a="1"/>
  <c r="G1567" i="3" s="1"/>
  <c r="D1567" i="3" s="1"/>
  <c r="F1567" i="3"/>
  <c r="G1566" i="3" a="1"/>
  <c r="G1566" i="3" s="1"/>
  <c r="D1566" i="3" s="1"/>
  <c r="F1566" i="3"/>
  <c r="G1565" i="3" a="1"/>
  <c r="G1565" i="3" s="1"/>
  <c r="D1565" i="3" s="1"/>
  <c r="F1565" i="3"/>
  <c r="G1564" i="3" a="1"/>
  <c r="G1564" i="3" s="1"/>
  <c r="D1564" i="3" s="1"/>
  <c r="F1564" i="3"/>
  <c r="G1563" i="3" a="1"/>
  <c r="G1563" i="3" s="1"/>
  <c r="D1563" i="3" s="1"/>
  <c r="F1563" i="3"/>
  <c r="G1562" i="3" a="1"/>
  <c r="G1562" i="3" s="1"/>
  <c r="D1562" i="3" s="1"/>
  <c r="F1562" i="3"/>
  <c r="G1561" i="3" a="1"/>
  <c r="G1561" i="3" s="1"/>
  <c r="D1561" i="3" s="1"/>
  <c r="F1561" i="3"/>
  <c r="G1560" i="3" a="1"/>
  <c r="G1560" i="3" s="1"/>
  <c r="D1560" i="3" s="1"/>
  <c r="F1560" i="3"/>
  <c r="G1559" i="3" a="1"/>
  <c r="G1559" i="3" s="1"/>
  <c r="D1559" i="3" s="1"/>
  <c r="F1559" i="3"/>
  <c r="G1558" i="3" a="1"/>
  <c r="G1558" i="3" s="1"/>
  <c r="D1558" i="3" s="1"/>
  <c r="F1558" i="3"/>
  <c r="G1557" i="3" a="1"/>
  <c r="G1557" i="3" s="1"/>
  <c r="D1557" i="3" s="1"/>
  <c r="F1557" i="3"/>
  <c r="G1556" i="3" a="1"/>
  <c r="G1556" i="3" s="1"/>
  <c r="D1556" i="3" s="1"/>
  <c r="F1556" i="3"/>
  <c r="G1555" i="3" a="1"/>
  <c r="G1555" i="3" s="1"/>
  <c r="D1555" i="3" s="1"/>
  <c r="F1555" i="3"/>
  <c r="G1554" i="3" a="1"/>
  <c r="G1554" i="3" s="1"/>
  <c r="D1554" i="3" s="1"/>
  <c r="F1554" i="3"/>
  <c r="G1553" i="3" a="1"/>
  <c r="G1553" i="3" s="1"/>
  <c r="D1553" i="3" s="1"/>
  <c r="F1553" i="3"/>
  <c r="G1552" i="3" a="1"/>
  <c r="G1552" i="3" s="1"/>
  <c r="D1552" i="3" s="1"/>
  <c r="F1552" i="3"/>
  <c r="G1551" i="3" a="1"/>
  <c r="G1551" i="3" s="1"/>
  <c r="D1551" i="3" s="1"/>
  <c r="F1551" i="3"/>
  <c r="G1550" i="3" a="1"/>
  <c r="G1550" i="3" s="1"/>
  <c r="D1550" i="3" s="1"/>
  <c r="F1550" i="3"/>
  <c r="G1549" i="3" a="1"/>
  <c r="G1549" i="3" s="1"/>
  <c r="D1549" i="3" s="1"/>
  <c r="F1549" i="3"/>
  <c r="G1548" i="3" a="1"/>
  <c r="G1548" i="3" s="1"/>
  <c r="D1548" i="3" s="1"/>
  <c r="F1548" i="3"/>
  <c r="G1547" i="3" a="1"/>
  <c r="G1547" i="3" s="1"/>
  <c r="D1547" i="3" s="1"/>
  <c r="F1547" i="3"/>
  <c r="G1546" i="3" a="1"/>
  <c r="G1546" i="3" s="1"/>
  <c r="D1546" i="3" s="1"/>
  <c r="F1546" i="3"/>
  <c r="G1545" i="3" a="1"/>
  <c r="G1545" i="3" s="1"/>
  <c r="D1545" i="3" s="1"/>
  <c r="F1545" i="3"/>
  <c r="G1544" i="3" a="1"/>
  <c r="G1544" i="3" s="1"/>
  <c r="D1544" i="3" s="1"/>
  <c r="F1544" i="3"/>
  <c r="G1543" i="3" a="1"/>
  <c r="G1543" i="3" s="1"/>
  <c r="D1543" i="3" s="1"/>
  <c r="F1543" i="3"/>
  <c r="G1542" i="3" a="1"/>
  <c r="G1542" i="3" s="1"/>
  <c r="D1542" i="3" s="1"/>
  <c r="F1542" i="3"/>
  <c r="G1541" i="3" a="1"/>
  <c r="G1541" i="3" s="1"/>
  <c r="D1541" i="3" s="1"/>
  <c r="F1541" i="3"/>
  <c r="G1540" i="3" a="1"/>
  <c r="G1540" i="3" s="1"/>
  <c r="D1540" i="3" s="1"/>
  <c r="F1540" i="3"/>
  <c r="G1539" i="3" a="1"/>
  <c r="G1539" i="3" s="1"/>
  <c r="D1539" i="3" s="1"/>
  <c r="F1539" i="3"/>
  <c r="G1538" i="3" a="1"/>
  <c r="G1538" i="3" s="1"/>
  <c r="D1538" i="3" s="1"/>
  <c r="F1538" i="3"/>
  <c r="G1537" i="3" a="1"/>
  <c r="G1537" i="3" s="1"/>
  <c r="D1537" i="3" s="1"/>
  <c r="F1537" i="3"/>
  <c r="G1536" i="3" a="1"/>
  <c r="G1536" i="3" s="1"/>
  <c r="D1536" i="3" s="1"/>
  <c r="F1536" i="3"/>
  <c r="G1535" i="3" a="1"/>
  <c r="G1535" i="3" s="1"/>
  <c r="D1535" i="3" s="1"/>
  <c r="F1535" i="3"/>
  <c r="G1534" i="3" a="1"/>
  <c r="G1534" i="3" s="1"/>
  <c r="D1534" i="3" s="1"/>
  <c r="F1534" i="3"/>
  <c r="G1533" i="3" a="1"/>
  <c r="G1533" i="3" s="1"/>
  <c r="D1533" i="3" s="1"/>
  <c r="F1533" i="3"/>
  <c r="G1532" i="3" a="1"/>
  <c r="G1532" i="3" s="1"/>
  <c r="D1532" i="3" s="1"/>
  <c r="F1532" i="3"/>
  <c r="G1531" i="3" a="1"/>
  <c r="G1531" i="3" s="1"/>
  <c r="D1531" i="3" s="1"/>
  <c r="F1531" i="3"/>
  <c r="G1530" i="3" a="1"/>
  <c r="G1530" i="3" s="1"/>
  <c r="D1530" i="3" s="1"/>
  <c r="F1530" i="3"/>
  <c r="G1529" i="3" a="1"/>
  <c r="G1529" i="3" s="1"/>
  <c r="D1529" i="3" s="1"/>
  <c r="F1529" i="3"/>
  <c r="G1528" i="3" a="1"/>
  <c r="G1528" i="3" s="1"/>
  <c r="D1528" i="3" s="1"/>
  <c r="F1528" i="3"/>
  <c r="G1527" i="3" a="1"/>
  <c r="G1527" i="3" s="1"/>
  <c r="D1527" i="3" s="1"/>
  <c r="F1527" i="3"/>
  <c r="G1526" i="3" a="1"/>
  <c r="G1526" i="3" s="1"/>
  <c r="D1526" i="3" s="1"/>
  <c r="F1526" i="3"/>
  <c r="G1525" i="3" a="1"/>
  <c r="G1525" i="3" s="1"/>
  <c r="D1525" i="3" s="1"/>
  <c r="F1525" i="3"/>
  <c r="G1524" i="3" a="1"/>
  <c r="G1524" i="3" s="1"/>
  <c r="D1524" i="3" s="1"/>
  <c r="F1524" i="3"/>
  <c r="G1523" i="3" a="1"/>
  <c r="G1523" i="3" s="1"/>
  <c r="D1523" i="3" s="1"/>
  <c r="F1523" i="3"/>
  <c r="G1522" i="3" a="1"/>
  <c r="G1522" i="3" s="1"/>
  <c r="D1522" i="3" s="1"/>
  <c r="F1522" i="3"/>
  <c r="G1521" i="3" a="1"/>
  <c r="G1521" i="3" s="1"/>
  <c r="D1521" i="3" s="1"/>
  <c r="F1521" i="3"/>
  <c r="G1520" i="3" a="1"/>
  <c r="G1520" i="3" s="1"/>
  <c r="D1520" i="3" s="1"/>
  <c r="F1520" i="3"/>
  <c r="G1519" i="3" a="1"/>
  <c r="G1519" i="3" s="1"/>
  <c r="D1519" i="3" s="1"/>
  <c r="F1519" i="3"/>
  <c r="G1518" i="3" a="1"/>
  <c r="G1518" i="3" s="1"/>
  <c r="D1518" i="3" s="1"/>
  <c r="F1518" i="3"/>
  <c r="G1517" i="3" a="1"/>
  <c r="G1517" i="3" s="1"/>
  <c r="D1517" i="3" s="1"/>
  <c r="F1517" i="3"/>
  <c r="G1516" i="3" a="1"/>
  <c r="G1516" i="3" s="1"/>
  <c r="D1516" i="3" s="1"/>
  <c r="F1516" i="3"/>
  <c r="G1515" i="3" a="1"/>
  <c r="G1515" i="3" s="1"/>
  <c r="D1515" i="3" s="1"/>
  <c r="F1515" i="3"/>
  <c r="G1514" i="3" a="1"/>
  <c r="G1514" i="3" s="1"/>
  <c r="D1514" i="3" s="1"/>
  <c r="F1514" i="3"/>
  <c r="G1513" i="3" a="1"/>
  <c r="G1513" i="3" s="1"/>
  <c r="D1513" i="3" s="1"/>
  <c r="F1513" i="3"/>
  <c r="G1512" i="3" a="1"/>
  <c r="G1512" i="3" s="1"/>
  <c r="D1512" i="3" s="1"/>
  <c r="F1512" i="3"/>
  <c r="G1511" i="3" a="1"/>
  <c r="G1511" i="3" s="1"/>
  <c r="D1511" i="3" s="1"/>
  <c r="F1511" i="3"/>
  <c r="G1510" i="3" a="1"/>
  <c r="G1510" i="3" s="1"/>
  <c r="D1510" i="3" s="1"/>
  <c r="F1510" i="3"/>
  <c r="G1509" i="3" a="1"/>
  <c r="G1509" i="3" s="1"/>
  <c r="D1509" i="3" s="1"/>
  <c r="F1509" i="3"/>
  <c r="G1508" i="3" a="1"/>
  <c r="G1508" i="3" s="1"/>
  <c r="D1508" i="3" s="1"/>
  <c r="F1508" i="3"/>
  <c r="G1507" i="3" a="1"/>
  <c r="G1507" i="3" s="1"/>
  <c r="D1507" i="3" s="1"/>
  <c r="F1507" i="3"/>
  <c r="G1506" i="3" a="1"/>
  <c r="G1506" i="3" s="1"/>
  <c r="D1506" i="3" s="1"/>
  <c r="F1506" i="3"/>
  <c r="G1505" i="3" a="1"/>
  <c r="G1505" i="3" s="1"/>
  <c r="D1505" i="3" s="1"/>
  <c r="F1505" i="3"/>
  <c r="G1504" i="3" a="1"/>
  <c r="G1504" i="3" s="1"/>
  <c r="D1504" i="3" s="1"/>
  <c r="F1504" i="3"/>
  <c r="G1503" i="3" a="1"/>
  <c r="G1503" i="3" s="1"/>
  <c r="D1503" i="3" s="1"/>
  <c r="F1503" i="3"/>
  <c r="G1502" i="3" a="1"/>
  <c r="G1502" i="3" s="1"/>
  <c r="D1502" i="3" s="1"/>
  <c r="F1502" i="3"/>
  <c r="G1501" i="3" a="1"/>
  <c r="G1501" i="3" s="1"/>
  <c r="D1501" i="3" s="1"/>
  <c r="F1501" i="3"/>
  <c r="G1500" i="3" a="1"/>
  <c r="G1500" i="3" s="1"/>
  <c r="D1500" i="3" s="1"/>
  <c r="F1500" i="3"/>
  <c r="G1499" i="3" a="1"/>
  <c r="G1499" i="3" s="1"/>
  <c r="D1499" i="3" s="1"/>
  <c r="F1499" i="3"/>
  <c r="G1498" i="3" a="1"/>
  <c r="G1498" i="3" s="1"/>
  <c r="D1498" i="3" s="1"/>
  <c r="F1498" i="3"/>
  <c r="G1497" i="3" a="1"/>
  <c r="G1497" i="3" s="1"/>
  <c r="D1497" i="3" s="1"/>
  <c r="F1497" i="3"/>
  <c r="G1496" i="3" a="1"/>
  <c r="G1496" i="3" s="1"/>
  <c r="D1496" i="3" s="1"/>
  <c r="F1496" i="3"/>
  <c r="G1495" i="3" a="1"/>
  <c r="G1495" i="3" s="1"/>
  <c r="D1495" i="3" s="1"/>
  <c r="F1495" i="3"/>
  <c r="G1494" i="3" a="1"/>
  <c r="G1494" i="3" s="1"/>
  <c r="D1494" i="3" s="1"/>
  <c r="F1494" i="3"/>
  <c r="G1493" i="3" a="1"/>
  <c r="G1493" i="3" s="1"/>
  <c r="D1493" i="3" s="1"/>
  <c r="F1493" i="3"/>
  <c r="G1492" i="3" a="1"/>
  <c r="G1492" i="3" s="1"/>
  <c r="D1492" i="3" s="1"/>
  <c r="F1492" i="3"/>
  <c r="G1491" i="3" a="1"/>
  <c r="G1491" i="3" s="1"/>
  <c r="D1491" i="3" s="1"/>
  <c r="F1491" i="3"/>
  <c r="G1490" i="3" a="1"/>
  <c r="G1490" i="3" s="1"/>
  <c r="D1490" i="3" s="1"/>
  <c r="F1490" i="3"/>
  <c r="G1489" i="3" a="1"/>
  <c r="G1489" i="3" s="1"/>
  <c r="D1489" i="3" s="1"/>
  <c r="F1489" i="3"/>
  <c r="G1488" i="3" a="1"/>
  <c r="G1488" i="3" s="1"/>
  <c r="D1488" i="3" s="1"/>
  <c r="F1488" i="3"/>
  <c r="G1487" i="3" a="1"/>
  <c r="G1487" i="3" s="1"/>
  <c r="D1487" i="3" s="1"/>
  <c r="F1487" i="3"/>
  <c r="G1486" i="3" a="1"/>
  <c r="G1486" i="3" s="1"/>
  <c r="D1486" i="3" s="1"/>
  <c r="F1486" i="3"/>
  <c r="G1485" i="3" a="1"/>
  <c r="G1485" i="3" s="1"/>
  <c r="D1485" i="3" s="1"/>
  <c r="F1485" i="3"/>
  <c r="G1484" i="3" a="1"/>
  <c r="G1484" i="3" s="1"/>
  <c r="D1484" i="3" s="1"/>
  <c r="F1484" i="3"/>
  <c r="G1483" i="3" a="1"/>
  <c r="G1483" i="3" s="1"/>
  <c r="D1483" i="3" s="1"/>
  <c r="F1483" i="3"/>
  <c r="G1482" i="3" a="1"/>
  <c r="G1482" i="3" s="1"/>
  <c r="D1482" i="3" s="1"/>
  <c r="F1482" i="3"/>
  <c r="G1481" i="3" a="1"/>
  <c r="G1481" i="3" s="1"/>
  <c r="D1481" i="3" s="1"/>
  <c r="F1481" i="3"/>
  <c r="G1480" i="3" a="1"/>
  <c r="G1480" i="3" s="1"/>
  <c r="D1480" i="3" s="1"/>
  <c r="F1480" i="3"/>
  <c r="G1479" i="3" a="1"/>
  <c r="G1479" i="3" s="1"/>
  <c r="D1479" i="3" s="1"/>
  <c r="F1479" i="3"/>
  <c r="G1478" i="3" a="1"/>
  <c r="G1478" i="3" s="1"/>
  <c r="D1478" i="3" s="1"/>
  <c r="F1478" i="3"/>
  <c r="G1477" i="3" a="1"/>
  <c r="G1477" i="3" s="1"/>
  <c r="D1477" i="3" s="1"/>
  <c r="F1477" i="3"/>
  <c r="G1476" i="3" a="1"/>
  <c r="G1476" i="3" s="1"/>
  <c r="D1476" i="3" s="1"/>
  <c r="F1476" i="3"/>
  <c r="G1475" i="3" a="1"/>
  <c r="G1475" i="3" s="1"/>
  <c r="D1475" i="3" s="1"/>
  <c r="F1475" i="3"/>
  <c r="G1474" i="3" a="1"/>
  <c r="G1474" i="3" s="1"/>
  <c r="D1474" i="3" s="1"/>
  <c r="F1474" i="3"/>
  <c r="G1473" i="3" a="1"/>
  <c r="G1473" i="3" s="1"/>
  <c r="D1473" i="3" s="1"/>
  <c r="F1473" i="3"/>
  <c r="G1472" i="3" a="1"/>
  <c r="G1472" i="3" s="1"/>
  <c r="D1472" i="3" s="1"/>
  <c r="F1472" i="3"/>
  <c r="G1471" i="3" a="1"/>
  <c r="G1471" i="3" s="1"/>
  <c r="D1471" i="3" s="1"/>
  <c r="F1471" i="3"/>
  <c r="G1470" i="3" a="1"/>
  <c r="G1470" i="3" s="1"/>
  <c r="D1470" i="3" s="1"/>
  <c r="F1470" i="3"/>
  <c r="G1469" i="3" a="1"/>
  <c r="G1469" i="3" s="1"/>
  <c r="D1469" i="3" s="1"/>
  <c r="F1469" i="3"/>
  <c r="G1468" i="3" a="1"/>
  <c r="G1468" i="3" s="1"/>
  <c r="D1468" i="3" s="1"/>
  <c r="F1468" i="3"/>
  <c r="G1467" i="3" a="1"/>
  <c r="G1467" i="3" s="1"/>
  <c r="D1467" i="3" s="1"/>
  <c r="F1467" i="3"/>
  <c r="G1466" i="3" a="1"/>
  <c r="G1466" i="3" s="1"/>
  <c r="D1466" i="3" s="1"/>
  <c r="F1466" i="3"/>
  <c r="G1465" i="3" a="1"/>
  <c r="G1465" i="3" s="1"/>
  <c r="D1465" i="3" s="1"/>
  <c r="F1465" i="3"/>
  <c r="G1464" i="3" a="1"/>
  <c r="G1464" i="3" s="1"/>
  <c r="D1464" i="3" s="1"/>
  <c r="F1464" i="3"/>
  <c r="G1463" i="3" a="1"/>
  <c r="G1463" i="3" s="1"/>
  <c r="D1463" i="3" s="1"/>
  <c r="F1463" i="3"/>
  <c r="G1462" i="3" a="1"/>
  <c r="G1462" i="3" s="1"/>
  <c r="D1462" i="3" s="1"/>
  <c r="F1462" i="3"/>
  <c r="G1461" i="3" a="1"/>
  <c r="G1461" i="3" s="1"/>
  <c r="D1461" i="3" s="1"/>
  <c r="F1461" i="3"/>
  <c r="G1460" i="3" a="1"/>
  <c r="G1460" i="3" s="1"/>
  <c r="D1460" i="3" s="1"/>
  <c r="F1460" i="3"/>
  <c r="G1459" i="3" a="1"/>
  <c r="G1459" i="3" s="1"/>
  <c r="D1459" i="3" s="1"/>
  <c r="F1459" i="3"/>
  <c r="G1458" i="3" a="1"/>
  <c r="G1458" i="3" s="1"/>
  <c r="D1458" i="3" s="1"/>
  <c r="F1458" i="3"/>
  <c r="G1457" i="3" a="1"/>
  <c r="G1457" i="3" s="1"/>
  <c r="D1457" i="3" s="1"/>
  <c r="F1457" i="3"/>
  <c r="G1456" i="3" a="1"/>
  <c r="G1456" i="3" s="1"/>
  <c r="D1456" i="3" s="1"/>
  <c r="F1456" i="3"/>
  <c r="G1455" i="3" a="1"/>
  <c r="G1455" i="3" s="1"/>
  <c r="D1455" i="3" s="1"/>
  <c r="F1455" i="3"/>
  <c r="G1454" i="3" a="1"/>
  <c r="G1454" i="3" s="1"/>
  <c r="D1454" i="3" s="1"/>
  <c r="F1454" i="3"/>
  <c r="G1453" i="3" a="1"/>
  <c r="G1453" i="3" s="1"/>
  <c r="D1453" i="3" s="1"/>
  <c r="F1453" i="3"/>
  <c r="G1452" i="3" a="1"/>
  <c r="G1452" i="3" s="1"/>
  <c r="D1452" i="3" s="1"/>
  <c r="F1452" i="3"/>
  <c r="G1451" i="3" a="1"/>
  <c r="G1451" i="3" s="1"/>
  <c r="D1451" i="3" s="1"/>
  <c r="F1451" i="3"/>
  <c r="G1450" i="3" a="1"/>
  <c r="G1450" i="3" s="1"/>
  <c r="D1450" i="3" s="1"/>
  <c r="F1450" i="3"/>
  <c r="G1449" i="3" a="1"/>
  <c r="G1449" i="3" s="1"/>
  <c r="D1449" i="3" s="1"/>
  <c r="F1449" i="3"/>
  <c r="G1448" i="3" a="1"/>
  <c r="G1448" i="3" s="1"/>
  <c r="D1448" i="3" s="1"/>
  <c r="F1448" i="3"/>
  <c r="G1447" i="3" a="1"/>
  <c r="G1447" i="3" s="1"/>
  <c r="D1447" i="3" s="1"/>
  <c r="F1447" i="3"/>
  <c r="G1446" i="3" a="1"/>
  <c r="G1446" i="3" s="1"/>
  <c r="D1446" i="3" s="1"/>
  <c r="F1446" i="3"/>
  <c r="G1445" i="3" a="1"/>
  <c r="G1445" i="3" s="1"/>
  <c r="D1445" i="3" s="1"/>
  <c r="F1445" i="3"/>
  <c r="G1444" i="3" a="1"/>
  <c r="G1444" i="3" s="1"/>
  <c r="D1444" i="3" s="1"/>
  <c r="F1444" i="3"/>
  <c r="G1443" i="3" a="1"/>
  <c r="G1443" i="3" s="1"/>
  <c r="D1443" i="3" s="1"/>
  <c r="F1443" i="3"/>
  <c r="G1442" i="3" a="1"/>
  <c r="G1442" i="3" s="1"/>
  <c r="D1442" i="3" s="1"/>
  <c r="F1442" i="3"/>
  <c r="G1441" i="3" a="1"/>
  <c r="G1441" i="3" s="1"/>
  <c r="D1441" i="3" s="1"/>
  <c r="F1441" i="3"/>
  <c r="G1440" i="3" a="1"/>
  <c r="G1440" i="3" s="1"/>
  <c r="D1440" i="3" s="1"/>
  <c r="F1440" i="3"/>
  <c r="G1439" i="3" a="1"/>
  <c r="G1439" i="3" s="1"/>
  <c r="D1439" i="3" s="1"/>
  <c r="F1439" i="3"/>
  <c r="G1438" i="3" a="1"/>
  <c r="G1438" i="3" s="1"/>
  <c r="D1438" i="3" s="1"/>
  <c r="F1438" i="3"/>
  <c r="G1437" i="3" a="1"/>
  <c r="G1437" i="3" s="1"/>
  <c r="D1437" i="3" s="1"/>
  <c r="F1437" i="3"/>
  <c r="G1436" i="3" a="1"/>
  <c r="G1436" i="3" s="1"/>
  <c r="D1436" i="3" s="1"/>
  <c r="F1436" i="3"/>
  <c r="G1435" i="3" a="1"/>
  <c r="G1435" i="3" s="1"/>
  <c r="D1435" i="3" s="1"/>
  <c r="F1435" i="3"/>
  <c r="G1434" i="3" a="1"/>
  <c r="G1434" i="3" s="1"/>
  <c r="D1434" i="3" s="1"/>
  <c r="F1434" i="3"/>
  <c r="G1433" i="3" a="1"/>
  <c r="G1433" i="3" s="1"/>
  <c r="D1433" i="3" s="1"/>
  <c r="F1433" i="3"/>
  <c r="G1432" i="3" a="1"/>
  <c r="G1432" i="3" s="1"/>
  <c r="D1432" i="3" s="1"/>
  <c r="F1432" i="3"/>
  <c r="G1431" i="3" a="1"/>
  <c r="G1431" i="3" s="1"/>
  <c r="D1431" i="3" s="1"/>
  <c r="F1431" i="3"/>
  <c r="G1430" i="3" a="1"/>
  <c r="G1430" i="3" s="1"/>
  <c r="D1430" i="3" s="1"/>
  <c r="F1430" i="3"/>
  <c r="G1429" i="3" a="1"/>
  <c r="G1429" i="3" s="1"/>
  <c r="D1429" i="3" s="1"/>
  <c r="F1429" i="3"/>
  <c r="G1428" i="3" a="1"/>
  <c r="G1428" i="3" s="1"/>
  <c r="D1428" i="3" s="1"/>
  <c r="F1428" i="3"/>
  <c r="G1427" i="3" a="1"/>
  <c r="G1427" i="3" s="1"/>
  <c r="D1427" i="3" s="1"/>
  <c r="F1427" i="3"/>
  <c r="G1426" i="3" a="1"/>
  <c r="G1426" i="3" s="1"/>
  <c r="D1426" i="3" s="1"/>
  <c r="F1426" i="3"/>
  <c r="G1425" i="3" a="1"/>
  <c r="G1425" i="3" s="1"/>
  <c r="D1425" i="3" s="1"/>
  <c r="F1425" i="3"/>
  <c r="G1424" i="3" a="1"/>
  <c r="G1424" i="3" s="1"/>
  <c r="D1424" i="3" s="1"/>
  <c r="F1424" i="3"/>
  <c r="G1423" i="3" a="1"/>
  <c r="G1423" i="3" s="1"/>
  <c r="D1423" i="3" s="1"/>
  <c r="F1423" i="3"/>
  <c r="G1422" i="3" a="1"/>
  <c r="G1422" i="3" s="1"/>
  <c r="D1422" i="3" s="1"/>
  <c r="F1422" i="3"/>
  <c r="G1421" i="3" a="1"/>
  <c r="G1421" i="3" s="1"/>
  <c r="D1421" i="3" s="1"/>
  <c r="F1421" i="3"/>
  <c r="G1420" i="3" a="1"/>
  <c r="G1420" i="3" s="1"/>
  <c r="D1420" i="3" s="1"/>
  <c r="F1420" i="3"/>
  <c r="G1419" i="3" a="1"/>
  <c r="G1419" i="3" s="1"/>
  <c r="D1419" i="3" s="1"/>
  <c r="F1419" i="3"/>
  <c r="G1418" i="3" a="1"/>
  <c r="G1418" i="3" s="1"/>
  <c r="D1418" i="3" s="1"/>
  <c r="F1418" i="3"/>
  <c r="G1417" i="3" a="1"/>
  <c r="G1417" i="3" s="1"/>
  <c r="D1417" i="3" s="1"/>
  <c r="F1417" i="3"/>
  <c r="G1416" i="3" a="1"/>
  <c r="G1416" i="3" s="1"/>
  <c r="D1416" i="3" s="1"/>
  <c r="F1416" i="3"/>
  <c r="G1415" i="3" a="1"/>
  <c r="G1415" i="3" s="1"/>
  <c r="D1415" i="3" s="1"/>
  <c r="F1415" i="3"/>
  <c r="G1414" i="3" a="1"/>
  <c r="G1414" i="3" s="1"/>
  <c r="D1414" i="3" s="1"/>
  <c r="F1414" i="3"/>
  <c r="G1413" i="3" a="1"/>
  <c r="G1413" i="3" s="1"/>
  <c r="D1413" i="3" s="1"/>
  <c r="F1413" i="3"/>
  <c r="G1412" i="3" a="1"/>
  <c r="G1412" i="3" s="1"/>
  <c r="D1412" i="3" s="1"/>
  <c r="F1412" i="3"/>
  <c r="G1411" i="3" a="1"/>
  <c r="G1411" i="3" s="1"/>
  <c r="D1411" i="3" s="1"/>
  <c r="F1411" i="3"/>
  <c r="G1410" i="3" a="1"/>
  <c r="G1410" i="3" s="1"/>
  <c r="D1410" i="3" s="1"/>
  <c r="F1410" i="3"/>
  <c r="G1409" i="3" a="1"/>
  <c r="G1409" i="3" s="1"/>
  <c r="D1409" i="3" s="1"/>
  <c r="F1409" i="3"/>
  <c r="G1408" i="3" a="1"/>
  <c r="G1408" i="3" s="1"/>
  <c r="D1408" i="3" s="1"/>
  <c r="F1408" i="3"/>
  <c r="G1407" i="3" a="1"/>
  <c r="G1407" i="3" s="1"/>
  <c r="D1407" i="3" s="1"/>
  <c r="F1407" i="3"/>
  <c r="G1406" i="3" a="1"/>
  <c r="G1406" i="3" s="1"/>
  <c r="D1406" i="3" s="1"/>
  <c r="F1406" i="3"/>
  <c r="G1405" i="3" a="1"/>
  <c r="G1405" i="3" s="1"/>
  <c r="D1405" i="3" s="1"/>
  <c r="F1405" i="3"/>
  <c r="G1404" i="3" a="1"/>
  <c r="G1404" i="3" s="1"/>
  <c r="D1404" i="3" s="1"/>
  <c r="F1404" i="3"/>
  <c r="G1403" i="3" a="1"/>
  <c r="G1403" i="3" s="1"/>
  <c r="D1403" i="3" s="1"/>
  <c r="F1403" i="3"/>
  <c r="G1402" i="3" a="1"/>
  <c r="G1402" i="3" s="1"/>
  <c r="D1402" i="3" s="1"/>
  <c r="F1402" i="3"/>
  <c r="G1401" i="3" a="1"/>
  <c r="G1401" i="3" s="1"/>
  <c r="D1401" i="3" s="1"/>
  <c r="F1401" i="3"/>
  <c r="G1400" i="3" a="1"/>
  <c r="G1400" i="3" s="1"/>
  <c r="D1400" i="3" s="1"/>
  <c r="F1400" i="3"/>
  <c r="G1399" i="3" a="1"/>
  <c r="G1399" i="3" s="1"/>
  <c r="D1399" i="3" s="1"/>
  <c r="F1399" i="3"/>
  <c r="G1398" i="3" a="1"/>
  <c r="G1398" i="3" s="1"/>
  <c r="D1398" i="3" s="1"/>
  <c r="F1398" i="3"/>
  <c r="G1397" i="3" a="1"/>
  <c r="G1397" i="3" s="1"/>
  <c r="D1397" i="3" s="1"/>
  <c r="F1397" i="3"/>
  <c r="G1396" i="3" a="1"/>
  <c r="G1396" i="3" s="1"/>
  <c r="D1396" i="3" s="1"/>
  <c r="F1396" i="3"/>
  <c r="G1395" i="3" a="1"/>
  <c r="G1395" i="3" s="1"/>
  <c r="D1395" i="3" s="1"/>
  <c r="F1395" i="3"/>
  <c r="G1394" i="3" a="1"/>
  <c r="G1394" i="3" s="1"/>
  <c r="D1394" i="3" s="1"/>
  <c r="F1394" i="3"/>
  <c r="G1393" i="3" a="1"/>
  <c r="G1393" i="3" s="1"/>
  <c r="D1393" i="3" s="1"/>
  <c r="F1393" i="3"/>
  <c r="G1392" i="3" a="1"/>
  <c r="G1392" i="3" s="1"/>
  <c r="D1392" i="3" s="1"/>
  <c r="F1392" i="3"/>
  <c r="G1391" i="3" a="1"/>
  <c r="G1391" i="3" s="1"/>
  <c r="D1391" i="3" s="1"/>
  <c r="F1391" i="3"/>
  <c r="G1390" i="3" a="1"/>
  <c r="G1390" i="3" s="1"/>
  <c r="D1390" i="3" s="1"/>
  <c r="F1390" i="3"/>
  <c r="G1389" i="3" a="1"/>
  <c r="G1389" i="3" s="1"/>
  <c r="D1389" i="3" s="1"/>
  <c r="F1389" i="3"/>
  <c r="G1388" i="3" a="1"/>
  <c r="G1388" i="3" s="1"/>
  <c r="D1388" i="3" s="1"/>
  <c r="F1388" i="3"/>
  <c r="G1387" i="3" a="1"/>
  <c r="G1387" i="3" s="1"/>
  <c r="D1387" i="3" s="1"/>
  <c r="F1387" i="3"/>
  <c r="G1386" i="3" a="1"/>
  <c r="G1386" i="3" s="1"/>
  <c r="D1386" i="3" s="1"/>
  <c r="F1386" i="3"/>
  <c r="G1385" i="3" a="1"/>
  <c r="G1385" i="3" s="1"/>
  <c r="D1385" i="3" s="1"/>
  <c r="F1385" i="3"/>
  <c r="G1384" i="3" a="1"/>
  <c r="G1384" i="3" s="1"/>
  <c r="D1384" i="3" s="1"/>
  <c r="F1384" i="3"/>
  <c r="G1383" i="3" a="1"/>
  <c r="G1383" i="3" s="1"/>
  <c r="D1383" i="3" s="1"/>
  <c r="F1383" i="3"/>
  <c r="G1382" i="3" a="1"/>
  <c r="G1382" i="3" s="1"/>
  <c r="D1382" i="3" s="1"/>
  <c r="F1382" i="3"/>
  <c r="G1381" i="3" a="1"/>
  <c r="G1381" i="3" s="1"/>
  <c r="D1381" i="3" s="1"/>
  <c r="F1381" i="3"/>
  <c r="G1380" i="3" a="1"/>
  <c r="G1380" i="3" s="1"/>
  <c r="D1380" i="3" s="1"/>
  <c r="F1380" i="3"/>
  <c r="G1379" i="3" a="1"/>
  <c r="G1379" i="3" s="1"/>
  <c r="D1379" i="3" s="1"/>
  <c r="F1379" i="3"/>
  <c r="G1378" i="3" a="1"/>
  <c r="G1378" i="3" s="1"/>
  <c r="D1378" i="3" s="1"/>
  <c r="F1378" i="3"/>
  <c r="G1377" i="3" a="1"/>
  <c r="G1377" i="3" s="1"/>
  <c r="D1377" i="3" s="1"/>
  <c r="F1377" i="3"/>
  <c r="G1376" i="3" a="1"/>
  <c r="G1376" i="3" s="1"/>
  <c r="D1376" i="3" s="1"/>
  <c r="F1376" i="3"/>
  <c r="G1375" i="3" a="1"/>
  <c r="G1375" i="3" s="1"/>
  <c r="D1375" i="3" s="1"/>
  <c r="F1375" i="3"/>
  <c r="G1374" i="3" a="1"/>
  <c r="G1374" i="3" s="1"/>
  <c r="D1374" i="3" s="1"/>
  <c r="F1374" i="3"/>
  <c r="G1373" i="3" a="1"/>
  <c r="G1373" i="3" s="1"/>
  <c r="D1373" i="3" s="1"/>
  <c r="F1373" i="3"/>
  <c r="G1372" i="3" a="1"/>
  <c r="G1372" i="3" s="1"/>
  <c r="D1372" i="3" s="1"/>
  <c r="F1372" i="3"/>
  <c r="G1371" i="3" a="1"/>
  <c r="G1371" i="3" s="1"/>
  <c r="D1371" i="3" s="1"/>
  <c r="F1371" i="3"/>
  <c r="G1370" i="3" a="1"/>
  <c r="G1370" i="3" s="1"/>
  <c r="D1370" i="3" s="1"/>
  <c r="F1370" i="3"/>
  <c r="G1369" i="3" a="1"/>
  <c r="G1369" i="3" s="1"/>
  <c r="D1369" i="3" s="1"/>
  <c r="F1369" i="3"/>
  <c r="G1368" i="3" a="1"/>
  <c r="G1368" i="3" s="1"/>
  <c r="D1368" i="3" s="1"/>
  <c r="F1368" i="3"/>
  <c r="G1367" i="3" a="1"/>
  <c r="G1367" i="3" s="1"/>
  <c r="D1367" i="3" s="1"/>
  <c r="F1367" i="3"/>
  <c r="G1366" i="3" a="1"/>
  <c r="G1366" i="3" s="1"/>
  <c r="D1366" i="3" s="1"/>
  <c r="F1366" i="3"/>
  <c r="G1365" i="3" a="1"/>
  <c r="G1365" i="3" s="1"/>
  <c r="D1365" i="3" s="1"/>
  <c r="F1365" i="3"/>
  <c r="G1364" i="3" a="1"/>
  <c r="G1364" i="3" s="1"/>
  <c r="D1364" i="3" s="1"/>
  <c r="F1364" i="3"/>
  <c r="G1363" i="3" a="1"/>
  <c r="G1363" i="3" s="1"/>
  <c r="D1363" i="3" s="1"/>
  <c r="F1363" i="3"/>
  <c r="G1362" i="3" a="1"/>
  <c r="G1362" i="3" s="1"/>
  <c r="D1362" i="3" s="1"/>
  <c r="F1362" i="3"/>
  <c r="G1361" i="3" a="1"/>
  <c r="G1361" i="3" s="1"/>
  <c r="D1361" i="3" s="1"/>
  <c r="F1361" i="3"/>
  <c r="G1360" i="3" a="1"/>
  <c r="G1360" i="3" s="1"/>
  <c r="D1360" i="3" s="1"/>
  <c r="F1360" i="3"/>
  <c r="G1359" i="3" a="1"/>
  <c r="G1359" i="3" s="1"/>
  <c r="D1359" i="3" s="1"/>
  <c r="F1359" i="3"/>
  <c r="G1358" i="3" a="1"/>
  <c r="G1358" i="3" s="1"/>
  <c r="D1358" i="3" s="1"/>
  <c r="F1358" i="3"/>
  <c r="G1357" i="3" a="1"/>
  <c r="G1357" i="3" s="1"/>
  <c r="D1357" i="3" s="1"/>
  <c r="F1357" i="3"/>
  <c r="G1356" i="3" a="1"/>
  <c r="G1356" i="3" s="1"/>
  <c r="D1356" i="3" s="1"/>
  <c r="F1356" i="3"/>
  <c r="G1355" i="3" a="1"/>
  <c r="G1355" i="3" s="1"/>
  <c r="D1355" i="3" s="1"/>
  <c r="F1355" i="3"/>
  <c r="G1354" i="3" a="1"/>
  <c r="G1354" i="3" s="1"/>
  <c r="D1354" i="3" s="1"/>
  <c r="F1354" i="3"/>
  <c r="G1353" i="3" a="1"/>
  <c r="G1353" i="3" s="1"/>
  <c r="D1353" i="3" s="1"/>
  <c r="F1353" i="3"/>
  <c r="G1352" i="3" a="1"/>
  <c r="G1352" i="3" s="1"/>
  <c r="D1352" i="3" s="1"/>
  <c r="F1352" i="3"/>
  <c r="G1351" i="3" a="1"/>
  <c r="G1351" i="3" s="1"/>
  <c r="D1351" i="3" s="1"/>
  <c r="F1351" i="3"/>
  <c r="G1350" i="3" a="1"/>
  <c r="G1350" i="3" s="1"/>
  <c r="D1350" i="3" s="1"/>
  <c r="F1350" i="3"/>
  <c r="G1349" i="3" a="1"/>
  <c r="G1349" i="3" s="1"/>
  <c r="D1349" i="3" s="1"/>
  <c r="F1349" i="3"/>
  <c r="G1348" i="3" a="1"/>
  <c r="G1348" i="3" s="1"/>
  <c r="D1348" i="3" s="1"/>
  <c r="F1348" i="3"/>
  <c r="G1347" i="3" a="1"/>
  <c r="G1347" i="3" s="1"/>
  <c r="D1347" i="3" s="1"/>
  <c r="F1347" i="3"/>
  <c r="G1346" i="3" a="1"/>
  <c r="G1346" i="3" s="1"/>
  <c r="D1346" i="3" s="1"/>
  <c r="F1346" i="3"/>
  <c r="G1345" i="3" a="1"/>
  <c r="G1345" i="3" s="1"/>
  <c r="D1345" i="3" s="1"/>
  <c r="F1345" i="3"/>
  <c r="G1344" i="3" a="1"/>
  <c r="G1344" i="3" s="1"/>
  <c r="D1344" i="3" s="1"/>
  <c r="F1344" i="3"/>
  <c r="G1343" i="3" a="1"/>
  <c r="G1343" i="3" s="1"/>
  <c r="D1343" i="3" s="1"/>
  <c r="F1343" i="3"/>
  <c r="G1342" i="3" a="1"/>
  <c r="G1342" i="3" s="1"/>
  <c r="D1342" i="3" s="1"/>
  <c r="F1342" i="3"/>
  <c r="G1341" i="3" a="1"/>
  <c r="G1341" i="3" s="1"/>
  <c r="D1341" i="3" s="1"/>
  <c r="F1341" i="3"/>
  <c r="G1340" i="3" a="1"/>
  <c r="G1340" i="3" s="1"/>
  <c r="D1340" i="3" s="1"/>
  <c r="F1340" i="3"/>
  <c r="G1339" i="3" a="1"/>
  <c r="G1339" i="3" s="1"/>
  <c r="D1339" i="3" s="1"/>
  <c r="F1339" i="3"/>
  <c r="G1338" i="3" a="1"/>
  <c r="G1338" i="3" s="1"/>
  <c r="D1338" i="3" s="1"/>
  <c r="F1338" i="3"/>
  <c r="G1337" i="3" a="1"/>
  <c r="G1337" i="3" s="1"/>
  <c r="D1337" i="3" s="1"/>
  <c r="F1337" i="3"/>
  <c r="G1336" i="3" a="1"/>
  <c r="G1336" i="3" s="1"/>
  <c r="D1336" i="3" s="1"/>
  <c r="F1336" i="3"/>
  <c r="G1335" i="3" a="1"/>
  <c r="G1335" i="3" s="1"/>
  <c r="D1335" i="3" s="1"/>
  <c r="F1335" i="3"/>
  <c r="G1334" i="3" a="1"/>
  <c r="G1334" i="3" s="1"/>
  <c r="D1334" i="3" s="1"/>
  <c r="F1334" i="3"/>
  <c r="G1333" i="3" a="1"/>
  <c r="G1333" i="3" s="1"/>
  <c r="D1333" i="3" s="1"/>
  <c r="F1333" i="3"/>
  <c r="G1332" i="3" a="1"/>
  <c r="G1332" i="3" s="1"/>
  <c r="D1332" i="3" s="1"/>
  <c r="F1332" i="3"/>
  <c r="G1331" i="3" a="1"/>
  <c r="G1331" i="3" s="1"/>
  <c r="D1331" i="3" s="1"/>
  <c r="F1331" i="3"/>
  <c r="G1330" i="3" a="1"/>
  <c r="G1330" i="3" s="1"/>
  <c r="D1330" i="3" s="1"/>
  <c r="F1330" i="3"/>
  <c r="G1329" i="3" a="1"/>
  <c r="G1329" i="3" s="1"/>
  <c r="D1329" i="3" s="1"/>
  <c r="F1329" i="3"/>
  <c r="G1328" i="3" a="1"/>
  <c r="F1328" i="3"/>
  <c r="G1327" i="3" a="1"/>
  <c r="G1327" i="3" s="1"/>
  <c r="D1327" i="3" s="1"/>
  <c r="F1327" i="3"/>
  <c r="G1326" i="3" a="1"/>
  <c r="G1326" i="3" s="1"/>
  <c r="D1326" i="3" s="1"/>
  <c r="F1326" i="3"/>
  <c r="G1325" i="3" a="1"/>
  <c r="G1325" i="3" s="1"/>
  <c r="D1325" i="3" s="1"/>
  <c r="F1325" i="3"/>
  <c r="G1324" i="3" a="1"/>
  <c r="G1324" i="3" s="1"/>
  <c r="D1324" i="3" s="1"/>
  <c r="F1324" i="3"/>
  <c r="G1323" i="3" a="1"/>
  <c r="G1323" i="3" s="1"/>
  <c r="D1323" i="3" s="1"/>
  <c r="F1323" i="3"/>
  <c r="G1322" i="3" a="1"/>
  <c r="G1322" i="3" s="1"/>
  <c r="D1322" i="3" s="1"/>
  <c r="F1322" i="3"/>
  <c r="G1321" i="3" a="1"/>
  <c r="G1321" i="3" s="1"/>
  <c r="D1321" i="3" s="1"/>
  <c r="F1321" i="3"/>
  <c r="G1320" i="3" a="1"/>
  <c r="G1320" i="3" s="1"/>
  <c r="D1320" i="3" s="1"/>
  <c r="F1320" i="3"/>
  <c r="G1319" i="3" a="1"/>
  <c r="G1319" i="3" s="1"/>
  <c r="D1319" i="3" s="1"/>
  <c r="F1319" i="3"/>
  <c r="G1318" i="3" a="1"/>
  <c r="G1318" i="3" s="1"/>
  <c r="D1318" i="3" s="1"/>
  <c r="F1318" i="3"/>
  <c r="G1317" i="3" a="1"/>
  <c r="G1317" i="3" s="1"/>
  <c r="D1317" i="3" s="1"/>
  <c r="F1317" i="3"/>
  <c r="G1316" i="3" a="1"/>
  <c r="G1316" i="3" s="1"/>
  <c r="D1316" i="3" s="1"/>
  <c r="F1316" i="3"/>
  <c r="G1315" i="3" a="1"/>
  <c r="G1315" i="3" s="1"/>
  <c r="D1315" i="3" s="1"/>
  <c r="F1315" i="3"/>
  <c r="G1314" i="3" a="1"/>
  <c r="G1314" i="3" s="1"/>
  <c r="D1314" i="3" s="1"/>
  <c r="F1314" i="3"/>
  <c r="G1313" i="3" a="1"/>
  <c r="G1313" i="3" s="1"/>
  <c r="D1313" i="3" s="1"/>
  <c r="F1313" i="3"/>
  <c r="G1312" i="3" a="1"/>
  <c r="G1312" i="3" s="1"/>
  <c r="D1312" i="3" s="1"/>
  <c r="F1312" i="3"/>
  <c r="G1311" i="3" a="1"/>
  <c r="G1311" i="3" s="1"/>
  <c r="D1311" i="3" s="1"/>
  <c r="F1311" i="3"/>
  <c r="G1310" i="3" a="1"/>
  <c r="G1310" i="3" s="1"/>
  <c r="D1310" i="3" s="1"/>
  <c r="F1310" i="3"/>
  <c r="G1309" i="3" a="1"/>
  <c r="G1309" i="3" s="1"/>
  <c r="D1309" i="3" s="1"/>
  <c r="F1309" i="3"/>
  <c r="G1308" i="3" a="1"/>
  <c r="G1308" i="3" s="1"/>
  <c r="D1308" i="3" s="1"/>
  <c r="F1308" i="3"/>
  <c r="G1307" i="3" a="1"/>
  <c r="G1307" i="3" s="1"/>
  <c r="D1307" i="3" s="1"/>
  <c r="F1307" i="3"/>
  <c r="G1306" i="3" a="1"/>
  <c r="G1306" i="3" s="1"/>
  <c r="D1306" i="3" s="1"/>
  <c r="F1306" i="3"/>
  <c r="G1305" i="3" a="1"/>
  <c r="G1305" i="3" s="1"/>
  <c r="D1305" i="3" s="1"/>
  <c r="F1305" i="3"/>
  <c r="G1304" i="3" a="1"/>
  <c r="G1304" i="3" s="1"/>
  <c r="D1304" i="3" s="1"/>
  <c r="F1304" i="3"/>
  <c r="G1303" i="3" a="1"/>
  <c r="G1303" i="3" s="1"/>
  <c r="D1303" i="3" s="1"/>
  <c r="F1303" i="3"/>
  <c r="G1302" i="3" a="1"/>
  <c r="G1302" i="3" s="1"/>
  <c r="D1302" i="3" s="1"/>
  <c r="F1302" i="3"/>
  <c r="G1301" i="3" a="1"/>
  <c r="G1301" i="3" s="1"/>
  <c r="D1301" i="3" s="1"/>
  <c r="F1301" i="3"/>
  <c r="G1300" i="3" a="1"/>
  <c r="G1300" i="3" s="1"/>
  <c r="D1300" i="3" s="1"/>
  <c r="F1300" i="3"/>
  <c r="G1299" i="3" a="1"/>
  <c r="G1299" i="3" s="1"/>
  <c r="D1299" i="3" s="1"/>
  <c r="F1299" i="3"/>
  <c r="G1298" i="3" a="1"/>
  <c r="G1298" i="3" s="1"/>
  <c r="D1298" i="3" s="1"/>
  <c r="F1298" i="3"/>
  <c r="G1297" i="3" a="1"/>
  <c r="G1297" i="3" s="1"/>
  <c r="D1297" i="3" s="1"/>
  <c r="F1297" i="3"/>
  <c r="G1296" i="3" a="1"/>
  <c r="G1296" i="3" s="1"/>
  <c r="D1296" i="3" s="1"/>
  <c r="F1296" i="3"/>
  <c r="G1295" i="3" a="1"/>
  <c r="G1295" i="3" s="1"/>
  <c r="D1295" i="3" s="1"/>
  <c r="F1295" i="3"/>
  <c r="G1294" i="3" a="1"/>
  <c r="G1294" i="3" s="1"/>
  <c r="D1294" i="3" s="1"/>
  <c r="F1294" i="3"/>
  <c r="G1293" i="3" a="1"/>
  <c r="G1293" i="3" s="1"/>
  <c r="D1293" i="3" s="1"/>
  <c r="F1293" i="3"/>
  <c r="G1292" i="3" a="1"/>
  <c r="G1292" i="3" s="1"/>
  <c r="D1292" i="3" s="1"/>
  <c r="F1292" i="3"/>
  <c r="G1291" i="3" a="1"/>
  <c r="G1291" i="3" s="1"/>
  <c r="D1291" i="3" s="1"/>
  <c r="F1291" i="3"/>
  <c r="G1290" i="3" a="1"/>
  <c r="G1290" i="3" s="1"/>
  <c r="D1290" i="3" s="1"/>
  <c r="F1290" i="3"/>
  <c r="G1289" i="3" a="1"/>
  <c r="G1289" i="3" s="1"/>
  <c r="D1289" i="3" s="1"/>
  <c r="F1289" i="3"/>
  <c r="G1288" i="3" a="1"/>
  <c r="G1288" i="3" s="1"/>
  <c r="D1288" i="3" s="1"/>
  <c r="F1288" i="3"/>
  <c r="G1287" i="3" a="1"/>
  <c r="G1287" i="3" s="1"/>
  <c r="D1287" i="3" s="1"/>
  <c r="F1287" i="3"/>
  <c r="G1286" i="3" a="1"/>
  <c r="G1286" i="3" s="1"/>
  <c r="D1286" i="3" s="1"/>
  <c r="F1286" i="3"/>
  <c r="G1285" i="3" a="1"/>
  <c r="G1285" i="3" s="1"/>
  <c r="D1285" i="3" s="1"/>
  <c r="F1285" i="3"/>
  <c r="G1284" i="3" a="1"/>
  <c r="G1284" i="3" s="1"/>
  <c r="D1284" i="3" s="1"/>
  <c r="F1284" i="3"/>
  <c r="G1283" i="3" a="1"/>
  <c r="F1283" i="3"/>
  <c r="G1282" i="3" a="1"/>
  <c r="G1282" i="3" s="1"/>
  <c r="D1282" i="3" s="1"/>
  <c r="F1282" i="3"/>
  <c r="G1281" i="3" a="1"/>
  <c r="G1281" i="3" s="1"/>
  <c r="D1281" i="3" s="1"/>
  <c r="F1281" i="3"/>
  <c r="G1280" i="3" a="1"/>
  <c r="G1280" i="3" s="1"/>
  <c r="D1280" i="3" s="1"/>
  <c r="F1280" i="3"/>
  <c r="G1279" i="3" a="1"/>
  <c r="G1279" i="3" s="1"/>
  <c r="D1279" i="3" s="1"/>
  <c r="F1279" i="3"/>
  <c r="G1278" i="3" a="1"/>
  <c r="G1278" i="3" s="1"/>
  <c r="D1278" i="3" s="1"/>
  <c r="F1278" i="3"/>
  <c r="G1277" i="3" a="1"/>
  <c r="G1277" i="3" s="1"/>
  <c r="D1277" i="3" s="1"/>
  <c r="F1277" i="3"/>
  <c r="G1276" i="3" a="1"/>
  <c r="G1276" i="3" s="1"/>
  <c r="D1276" i="3" s="1"/>
  <c r="F1276" i="3"/>
  <c r="G1275" i="3" a="1"/>
  <c r="G1275" i="3" s="1"/>
  <c r="D1275" i="3" s="1"/>
  <c r="F1275" i="3"/>
  <c r="G1274" i="3" a="1"/>
  <c r="G1274" i="3" s="1"/>
  <c r="D1274" i="3" s="1"/>
  <c r="F1274" i="3"/>
  <c r="G1273" i="3" a="1"/>
  <c r="G1273" i="3" s="1"/>
  <c r="D1273" i="3" s="1"/>
  <c r="F1273" i="3"/>
  <c r="G1272" i="3" a="1"/>
  <c r="G1272" i="3" s="1"/>
  <c r="D1272" i="3" s="1"/>
  <c r="F1272" i="3"/>
  <c r="G1271" i="3" a="1"/>
  <c r="G1271" i="3" s="1"/>
  <c r="D1271" i="3" s="1"/>
  <c r="F1271" i="3"/>
  <c r="G1270" i="3" a="1"/>
  <c r="G1270" i="3" s="1"/>
  <c r="D1270" i="3" s="1"/>
  <c r="F1270" i="3"/>
  <c r="G1269" i="3" a="1"/>
  <c r="G1269" i="3" s="1"/>
  <c r="D1269" i="3" s="1"/>
  <c r="F1269" i="3"/>
  <c r="G1268" i="3" a="1"/>
  <c r="G1268" i="3" s="1"/>
  <c r="D1268" i="3" s="1"/>
  <c r="F1268" i="3"/>
  <c r="G1267" i="3" a="1"/>
  <c r="G1267" i="3" s="1"/>
  <c r="D1267" i="3" s="1"/>
  <c r="F1267" i="3"/>
  <c r="G1266" i="3" a="1"/>
  <c r="G1266" i="3" s="1"/>
  <c r="D1266" i="3" s="1"/>
  <c r="F1266" i="3"/>
  <c r="G1265" i="3" a="1"/>
  <c r="G1265" i="3" s="1"/>
  <c r="D1265" i="3" s="1"/>
  <c r="F1265" i="3"/>
  <c r="G1264" i="3" a="1"/>
  <c r="G1264" i="3" s="1"/>
  <c r="D1264" i="3" s="1"/>
  <c r="F1264" i="3"/>
  <c r="G1263" i="3" a="1"/>
  <c r="G1263" i="3" s="1"/>
  <c r="D1263" i="3" s="1"/>
  <c r="F1263" i="3"/>
  <c r="G1262" i="3" a="1"/>
  <c r="G1262" i="3" s="1"/>
  <c r="D1262" i="3" s="1"/>
  <c r="F1262" i="3"/>
  <c r="G1261" i="3" a="1"/>
  <c r="G1261" i="3" s="1"/>
  <c r="D1261" i="3" s="1"/>
  <c r="F1261" i="3"/>
  <c r="G1260" i="3" a="1"/>
  <c r="G1260" i="3" s="1"/>
  <c r="D1260" i="3" s="1"/>
  <c r="F1260" i="3"/>
  <c r="G1259" i="3" a="1"/>
  <c r="G1259" i="3" s="1"/>
  <c r="D1259" i="3" s="1"/>
  <c r="F1259" i="3"/>
  <c r="G1258" i="3" a="1"/>
  <c r="G1258" i="3" s="1"/>
  <c r="D1258" i="3" s="1"/>
  <c r="F1258" i="3"/>
  <c r="G1257" i="3" a="1"/>
  <c r="G1257" i="3" s="1"/>
  <c r="D1257" i="3" s="1"/>
  <c r="F1257" i="3"/>
  <c r="G1256" i="3" a="1"/>
  <c r="G1256" i="3" s="1"/>
  <c r="D1256" i="3" s="1"/>
  <c r="F1256" i="3"/>
  <c r="G1255" i="3" a="1"/>
  <c r="G1255" i="3" s="1"/>
  <c r="D1255" i="3" s="1"/>
  <c r="F1255" i="3"/>
  <c r="G1254" i="3" a="1"/>
  <c r="G1254" i="3" s="1"/>
  <c r="D1254" i="3" s="1"/>
  <c r="F1254" i="3"/>
  <c r="G1253" i="3" a="1"/>
  <c r="G1253" i="3" s="1"/>
  <c r="D1253" i="3" s="1"/>
  <c r="F1253" i="3"/>
  <c r="G1252" i="3" a="1"/>
  <c r="G1252" i="3" s="1"/>
  <c r="D1252" i="3" s="1"/>
  <c r="F1252" i="3"/>
  <c r="G1251" i="3" a="1"/>
  <c r="G1251" i="3" s="1"/>
  <c r="D1251" i="3" s="1"/>
  <c r="F1251" i="3"/>
  <c r="G1250" i="3" a="1"/>
  <c r="G1250" i="3" s="1"/>
  <c r="D1250" i="3" s="1"/>
  <c r="F1250" i="3"/>
  <c r="G1249" i="3" a="1"/>
  <c r="G1249" i="3" s="1"/>
  <c r="D1249" i="3" s="1"/>
  <c r="F1249" i="3"/>
  <c r="G1248" i="3" a="1"/>
  <c r="G1248" i="3" s="1"/>
  <c r="D1248" i="3" s="1"/>
  <c r="F1248" i="3"/>
  <c r="G1247" i="3" a="1"/>
  <c r="G1247" i="3" s="1"/>
  <c r="D1247" i="3" s="1"/>
  <c r="F1247" i="3"/>
  <c r="G1246" i="3" a="1"/>
  <c r="G1246" i="3" s="1"/>
  <c r="D1246" i="3" s="1"/>
  <c r="F1246" i="3"/>
  <c r="G1245" i="3" a="1"/>
  <c r="G1245" i="3" s="1"/>
  <c r="D1245" i="3" s="1"/>
  <c r="F1245" i="3"/>
  <c r="G1244" i="3" a="1"/>
  <c r="G1244" i="3" s="1"/>
  <c r="D1244" i="3" s="1"/>
  <c r="F1244" i="3"/>
  <c r="G1243" i="3" a="1"/>
  <c r="G1243" i="3" s="1"/>
  <c r="D1243" i="3" s="1"/>
  <c r="F1243" i="3"/>
  <c r="G1242" i="3" a="1"/>
  <c r="G1242" i="3" s="1"/>
  <c r="D1242" i="3" s="1"/>
  <c r="F1242" i="3"/>
  <c r="G1241" i="3" a="1"/>
  <c r="G1241" i="3" s="1"/>
  <c r="D1241" i="3" s="1"/>
  <c r="F1241" i="3"/>
  <c r="G1240" i="3" a="1"/>
  <c r="G1240" i="3" s="1"/>
  <c r="D1240" i="3" s="1"/>
  <c r="F1240" i="3"/>
  <c r="G1239" i="3" a="1"/>
  <c r="G1239" i="3" s="1"/>
  <c r="D1239" i="3" s="1"/>
  <c r="F1239" i="3"/>
  <c r="G1238" i="3" a="1"/>
  <c r="G1238" i="3" s="1"/>
  <c r="D1238" i="3" s="1"/>
  <c r="F1238" i="3"/>
  <c r="G1237" i="3" a="1"/>
  <c r="G1237" i="3" s="1"/>
  <c r="D1237" i="3" s="1"/>
  <c r="F1237" i="3"/>
  <c r="G1236" i="3" a="1"/>
  <c r="G1236" i="3" s="1"/>
  <c r="D1236" i="3" s="1"/>
  <c r="F1236" i="3"/>
  <c r="G1235" i="3" a="1"/>
  <c r="G1235" i="3" s="1"/>
  <c r="D1235" i="3" s="1"/>
  <c r="F1235" i="3"/>
  <c r="G1234" i="3" a="1"/>
  <c r="G1234" i="3" s="1"/>
  <c r="D1234" i="3" s="1"/>
  <c r="F1234" i="3"/>
  <c r="G1233" i="3" a="1"/>
  <c r="G1233" i="3" s="1"/>
  <c r="D1233" i="3" s="1"/>
  <c r="F1233" i="3"/>
  <c r="G1232" i="3" a="1"/>
  <c r="G1232" i="3" s="1"/>
  <c r="D1232" i="3" s="1"/>
  <c r="F1232" i="3"/>
  <c r="G1231" i="3" a="1"/>
  <c r="G1231" i="3" s="1"/>
  <c r="D1231" i="3" s="1"/>
  <c r="F1231" i="3"/>
  <c r="G1230" i="3" a="1"/>
  <c r="G1230" i="3" s="1"/>
  <c r="D1230" i="3" s="1"/>
  <c r="F1230" i="3"/>
  <c r="G1229" i="3" a="1"/>
  <c r="G1229" i="3" s="1"/>
  <c r="D1229" i="3" s="1"/>
  <c r="F1229" i="3"/>
  <c r="G1228" i="3" a="1"/>
  <c r="G1228" i="3" s="1"/>
  <c r="D1228" i="3" s="1"/>
  <c r="F1228" i="3"/>
  <c r="G1227" i="3" a="1"/>
  <c r="G1227" i="3" s="1"/>
  <c r="D1227" i="3" s="1"/>
  <c r="F1227" i="3"/>
  <c r="G1226" i="3" a="1"/>
  <c r="G1226" i="3" s="1"/>
  <c r="D1226" i="3" s="1"/>
  <c r="F1226" i="3"/>
  <c r="G1225" i="3" a="1"/>
  <c r="G1225" i="3" s="1"/>
  <c r="D1225" i="3" s="1"/>
  <c r="F1225" i="3"/>
  <c r="G1224" i="3" a="1"/>
  <c r="G1224" i="3" s="1"/>
  <c r="D1224" i="3" s="1"/>
  <c r="F1224" i="3"/>
  <c r="G1223" i="3" a="1"/>
  <c r="G1223" i="3" s="1"/>
  <c r="D1223" i="3" s="1"/>
  <c r="F1223" i="3"/>
  <c r="G1222" i="3" a="1"/>
  <c r="G1222" i="3" s="1"/>
  <c r="D1222" i="3" s="1"/>
  <c r="F1222" i="3"/>
  <c r="G1221" i="3" a="1"/>
  <c r="G1221" i="3" s="1"/>
  <c r="D1221" i="3" s="1"/>
  <c r="F1221" i="3"/>
  <c r="G1220" i="3" a="1"/>
  <c r="G1220" i="3" s="1"/>
  <c r="D1220" i="3" s="1"/>
  <c r="F1220" i="3"/>
  <c r="G1219" i="3" a="1"/>
  <c r="G1219" i="3" s="1"/>
  <c r="D1219" i="3" s="1"/>
  <c r="F1219" i="3"/>
  <c r="G1218" i="3" a="1"/>
  <c r="G1218" i="3" s="1"/>
  <c r="D1218" i="3" s="1"/>
  <c r="F1218" i="3"/>
  <c r="G1217" i="3" a="1"/>
  <c r="G1217" i="3" s="1"/>
  <c r="D1217" i="3" s="1"/>
  <c r="F1217" i="3"/>
  <c r="G1216" i="3" a="1"/>
  <c r="G1216" i="3" s="1"/>
  <c r="D1216" i="3" s="1"/>
  <c r="F1216" i="3"/>
  <c r="G1215" i="3" a="1"/>
  <c r="G1215" i="3" s="1"/>
  <c r="D1215" i="3" s="1"/>
  <c r="F1215" i="3"/>
  <c r="G1214" i="3" a="1"/>
  <c r="G1214" i="3" s="1"/>
  <c r="D1214" i="3" s="1"/>
  <c r="F1214" i="3"/>
  <c r="G1213" i="3" a="1"/>
  <c r="G1213" i="3" s="1"/>
  <c r="D1213" i="3" s="1"/>
  <c r="F1213" i="3"/>
  <c r="G1212" i="3" a="1"/>
  <c r="G1212" i="3" s="1"/>
  <c r="D1212" i="3" s="1"/>
  <c r="F1212" i="3"/>
  <c r="G1211" i="3" a="1"/>
  <c r="G1211" i="3" s="1"/>
  <c r="D1211" i="3" s="1"/>
  <c r="F1211" i="3"/>
  <c r="G1210" i="3" a="1"/>
  <c r="G1210" i="3" s="1"/>
  <c r="D1210" i="3" s="1"/>
  <c r="F1210" i="3"/>
  <c r="G1209" i="3" a="1"/>
  <c r="G1209" i="3" s="1"/>
  <c r="D1209" i="3" s="1"/>
  <c r="F1209" i="3"/>
  <c r="G1208" i="3" a="1"/>
  <c r="G1208" i="3" s="1"/>
  <c r="D1208" i="3" s="1"/>
  <c r="F1208" i="3"/>
  <c r="G1207" i="3" a="1"/>
  <c r="G1207" i="3" s="1"/>
  <c r="D1207" i="3" s="1"/>
  <c r="F1207" i="3"/>
  <c r="G1206" i="3" a="1"/>
  <c r="G1206" i="3" s="1"/>
  <c r="D1206" i="3" s="1"/>
  <c r="F1206" i="3"/>
  <c r="G1205" i="3" a="1"/>
  <c r="G1205" i="3" s="1"/>
  <c r="D1205" i="3" s="1"/>
  <c r="F1205" i="3"/>
  <c r="G1204" i="3" a="1"/>
  <c r="G1204" i="3" s="1"/>
  <c r="D1204" i="3" s="1"/>
  <c r="F1204" i="3"/>
  <c r="G1203" i="3" a="1"/>
  <c r="G1203" i="3" s="1"/>
  <c r="D1203" i="3" s="1"/>
  <c r="F1203" i="3"/>
  <c r="G1202" i="3" a="1"/>
  <c r="G1202" i="3" s="1"/>
  <c r="D1202" i="3" s="1"/>
  <c r="F1202" i="3"/>
  <c r="G1201" i="3" a="1"/>
  <c r="G1201" i="3" s="1"/>
  <c r="D1201" i="3" s="1"/>
  <c r="F1201" i="3"/>
  <c r="G1200" i="3" a="1"/>
  <c r="G1200" i="3" s="1"/>
  <c r="D1200" i="3" s="1"/>
  <c r="F1200" i="3"/>
  <c r="G1199" i="3" a="1"/>
  <c r="G1199" i="3" s="1"/>
  <c r="D1199" i="3" s="1"/>
  <c r="F1199" i="3"/>
  <c r="G1198" i="3" a="1"/>
  <c r="G1198" i="3" s="1"/>
  <c r="D1198" i="3" s="1"/>
  <c r="F1198" i="3"/>
  <c r="G1197" i="3" a="1"/>
  <c r="G1197" i="3" s="1"/>
  <c r="D1197" i="3" s="1"/>
  <c r="F1197" i="3"/>
  <c r="G1196" i="3" a="1"/>
  <c r="F1196" i="3"/>
  <c r="G1195" i="3" a="1"/>
  <c r="G1195" i="3" s="1"/>
  <c r="D1195" i="3" s="1"/>
  <c r="F1195" i="3"/>
  <c r="G1194" i="3" a="1"/>
  <c r="G1194" i="3" s="1"/>
  <c r="D1194" i="3" s="1"/>
  <c r="F1194" i="3"/>
  <c r="G1193" i="3" a="1"/>
  <c r="G1193" i="3" s="1"/>
  <c r="D1193" i="3" s="1"/>
  <c r="F1193" i="3"/>
  <c r="G1192" i="3" a="1"/>
  <c r="G1192" i="3" s="1"/>
  <c r="D1192" i="3" s="1"/>
  <c r="F1192" i="3"/>
  <c r="G1191" i="3" a="1"/>
  <c r="G1191" i="3" s="1"/>
  <c r="D1191" i="3" s="1"/>
  <c r="F1191" i="3"/>
  <c r="G1190" i="3" a="1"/>
  <c r="G1190" i="3" s="1"/>
  <c r="D1190" i="3" s="1"/>
  <c r="F1190" i="3"/>
  <c r="G1189" i="3" a="1"/>
  <c r="G1189" i="3" s="1"/>
  <c r="D1189" i="3" s="1"/>
  <c r="F1189" i="3"/>
  <c r="G1188" i="3" a="1"/>
  <c r="G1188" i="3" s="1"/>
  <c r="D1188" i="3" s="1"/>
  <c r="F1188" i="3"/>
  <c r="G1187" i="3" a="1"/>
  <c r="G1187" i="3" s="1"/>
  <c r="D1187" i="3" s="1"/>
  <c r="F1187" i="3"/>
  <c r="G1186" i="3" a="1"/>
  <c r="G1186" i="3" s="1"/>
  <c r="D1186" i="3" s="1"/>
  <c r="F1186" i="3"/>
  <c r="G1185" i="3" a="1"/>
  <c r="G1185" i="3" s="1"/>
  <c r="D1185" i="3" s="1"/>
  <c r="F1185" i="3"/>
  <c r="G1184" i="3" a="1"/>
  <c r="G1184" i="3" s="1"/>
  <c r="D1184" i="3" s="1"/>
  <c r="F1184" i="3"/>
  <c r="G1183" i="3" a="1"/>
  <c r="G1183" i="3" s="1"/>
  <c r="D1183" i="3" s="1"/>
  <c r="F1183" i="3"/>
  <c r="G1182" i="3" a="1"/>
  <c r="G1182" i="3" s="1"/>
  <c r="D1182" i="3" s="1"/>
  <c r="F1182" i="3"/>
  <c r="G1181" i="3" a="1"/>
  <c r="G1181" i="3" s="1"/>
  <c r="D1181" i="3" s="1"/>
  <c r="F1181" i="3"/>
  <c r="G1180" i="3" a="1"/>
  <c r="G1180" i="3" s="1"/>
  <c r="D1180" i="3" s="1"/>
  <c r="F1180" i="3"/>
  <c r="G1179" i="3" a="1"/>
  <c r="G1179" i="3" s="1"/>
  <c r="D1179" i="3" s="1"/>
  <c r="F1179" i="3"/>
  <c r="G1178" i="3" a="1"/>
  <c r="G1178" i="3" s="1"/>
  <c r="D1178" i="3" s="1"/>
  <c r="F1178" i="3"/>
  <c r="G1177" i="3" a="1"/>
  <c r="G1177" i="3" s="1"/>
  <c r="D1177" i="3" s="1"/>
  <c r="F1177" i="3"/>
  <c r="G1176" i="3" a="1"/>
  <c r="G1176" i="3" s="1"/>
  <c r="D1176" i="3" s="1"/>
  <c r="F1176" i="3"/>
  <c r="G1175" i="3" a="1"/>
  <c r="G1175" i="3" s="1"/>
  <c r="D1175" i="3" s="1"/>
  <c r="F1175" i="3"/>
  <c r="G1174" i="3" a="1"/>
  <c r="F1174" i="3"/>
  <c r="G1173" i="3" a="1"/>
  <c r="G1173" i="3" s="1"/>
  <c r="D1173" i="3" s="1"/>
  <c r="F1173" i="3"/>
  <c r="G1172" i="3" a="1"/>
  <c r="G1172" i="3" s="1"/>
  <c r="D1172" i="3" s="1"/>
  <c r="F1172" i="3"/>
  <c r="G1171" i="3" a="1"/>
  <c r="G1171" i="3" s="1"/>
  <c r="D1171" i="3" s="1"/>
  <c r="F1171" i="3"/>
  <c r="G1170" i="3" a="1"/>
  <c r="F1170" i="3"/>
  <c r="G1169" i="3" a="1"/>
  <c r="G1169" i="3" s="1"/>
  <c r="D1169" i="3" s="1"/>
  <c r="F1169" i="3"/>
  <c r="G1168" i="3" a="1"/>
  <c r="G1168" i="3" s="1"/>
  <c r="D1168" i="3" s="1"/>
  <c r="F1168" i="3"/>
  <c r="G1167" i="3" a="1"/>
  <c r="G1167" i="3" s="1"/>
  <c r="D1167" i="3" s="1"/>
  <c r="F1167" i="3"/>
  <c r="G1166" i="3" a="1"/>
  <c r="G1166" i="3" s="1"/>
  <c r="D1166" i="3" s="1"/>
  <c r="F1166" i="3"/>
  <c r="G1165" i="3" a="1"/>
  <c r="G1165" i="3" s="1"/>
  <c r="D1165" i="3" s="1"/>
  <c r="F1165" i="3"/>
  <c r="G1164" i="3" a="1"/>
  <c r="G1164" i="3" s="1"/>
  <c r="D1164" i="3" s="1"/>
  <c r="F1164" i="3"/>
  <c r="G1163" i="3" a="1"/>
  <c r="G1163" i="3" s="1"/>
  <c r="D1163" i="3" s="1"/>
  <c r="F1163" i="3"/>
  <c r="G1162" i="3" a="1"/>
  <c r="G1162" i="3" s="1"/>
  <c r="D1162" i="3" s="1"/>
  <c r="F1162" i="3"/>
  <c r="G1161" i="3" a="1"/>
  <c r="G1161" i="3" s="1"/>
  <c r="D1161" i="3" s="1"/>
  <c r="F1161" i="3"/>
  <c r="G1160" i="3" a="1"/>
  <c r="F1160" i="3"/>
  <c r="G1159" i="3" a="1"/>
  <c r="G1159" i="3" s="1"/>
  <c r="D1159" i="3" s="1"/>
  <c r="F1159" i="3"/>
  <c r="G1158" i="3" a="1"/>
  <c r="G1158" i="3" s="1"/>
  <c r="D1158" i="3" s="1"/>
  <c r="F1158" i="3"/>
  <c r="G1157" i="3" a="1"/>
  <c r="G1157" i="3" s="1"/>
  <c r="D1157" i="3" s="1"/>
  <c r="F1157" i="3"/>
  <c r="G1156" i="3" a="1"/>
  <c r="F1156" i="3"/>
  <c r="G1155" i="3" a="1"/>
  <c r="G1155" i="3" s="1"/>
  <c r="D1155" i="3" s="1"/>
  <c r="F1155" i="3"/>
  <c r="G1154" i="3" a="1"/>
  <c r="G1154" i="3" s="1"/>
  <c r="D1154" i="3" s="1"/>
  <c r="F1154" i="3"/>
  <c r="G1153" i="3" a="1"/>
  <c r="G1153" i="3" s="1"/>
  <c r="D1153" i="3" s="1"/>
  <c r="F1153" i="3"/>
  <c r="G1152" i="3" a="1"/>
  <c r="G1152" i="3" s="1"/>
  <c r="D1152" i="3" s="1"/>
  <c r="F1152" i="3"/>
  <c r="G1151" i="3" a="1"/>
  <c r="G1151" i="3" s="1"/>
  <c r="D1151" i="3" s="1"/>
  <c r="F1151" i="3"/>
  <c r="G1150" i="3" a="1"/>
  <c r="G1150" i="3" s="1"/>
  <c r="D1150" i="3" s="1"/>
  <c r="F1150" i="3"/>
  <c r="G1149" i="3" a="1"/>
  <c r="G1149" i="3" s="1"/>
  <c r="D1149" i="3" s="1"/>
  <c r="F1149" i="3"/>
  <c r="G1148" i="3" a="1"/>
  <c r="F1148" i="3"/>
  <c r="G1147" i="3" a="1"/>
  <c r="G1147" i="3" s="1"/>
  <c r="D1147" i="3" s="1"/>
  <c r="F1147" i="3"/>
  <c r="G1146" i="3" a="1"/>
  <c r="G1146" i="3" s="1"/>
  <c r="D1146" i="3" s="1"/>
  <c r="F1146" i="3"/>
  <c r="G1145" i="3" a="1"/>
  <c r="G1145" i="3" s="1"/>
  <c r="D1145" i="3" s="1"/>
  <c r="F1145" i="3"/>
  <c r="G1144" i="3" a="1"/>
  <c r="G1144" i="3" s="1"/>
  <c r="D1144" i="3" s="1"/>
  <c r="F1144" i="3"/>
  <c r="G1143" i="3" a="1"/>
  <c r="G1143" i="3" s="1"/>
  <c r="D1143" i="3" s="1"/>
  <c r="F1143" i="3"/>
  <c r="G1142" i="3" a="1"/>
  <c r="G1142" i="3" s="1"/>
  <c r="D1142" i="3" s="1"/>
  <c r="F1142" i="3"/>
  <c r="G1141" i="3" a="1"/>
  <c r="G1141" i="3" s="1"/>
  <c r="D1141" i="3" s="1"/>
  <c r="F1141" i="3"/>
  <c r="G1140" i="3" a="1"/>
  <c r="G1140" i="3" s="1"/>
  <c r="D1140" i="3" s="1"/>
  <c r="F1140" i="3"/>
  <c r="G1139" i="3" a="1"/>
  <c r="G1139" i="3" s="1"/>
  <c r="D1139" i="3" s="1"/>
  <c r="F1139" i="3"/>
  <c r="G1138" i="3" a="1"/>
  <c r="G1138" i="3" s="1"/>
  <c r="D1138" i="3" s="1"/>
  <c r="F1138" i="3"/>
  <c r="G1137" i="3" a="1"/>
  <c r="G1137" i="3" s="1"/>
  <c r="D1137" i="3" s="1"/>
  <c r="F1137" i="3"/>
  <c r="G1136" i="3" a="1"/>
  <c r="G1136" i="3" s="1"/>
  <c r="D1136" i="3" s="1"/>
  <c r="F1136" i="3"/>
  <c r="G1135" i="3" a="1"/>
  <c r="G1135" i="3" s="1"/>
  <c r="D1135" i="3" s="1"/>
  <c r="F1135" i="3"/>
  <c r="G1134" i="3" a="1"/>
  <c r="G1134" i="3" s="1"/>
  <c r="D1134" i="3" s="1"/>
  <c r="F1134" i="3"/>
  <c r="G1133" i="3" a="1"/>
  <c r="G1133" i="3" s="1"/>
  <c r="D1133" i="3" s="1"/>
  <c r="F1133" i="3"/>
  <c r="G1132" i="3" a="1"/>
  <c r="F1132" i="3"/>
  <c r="G1131" i="3" a="1"/>
  <c r="G1131" i="3" s="1"/>
  <c r="D1131" i="3" s="1"/>
  <c r="F1131" i="3"/>
  <c r="G1130" i="3" a="1"/>
  <c r="G1130" i="3" s="1"/>
  <c r="D1130" i="3" s="1"/>
  <c r="F1130" i="3"/>
  <c r="G1129" i="3" a="1"/>
  <c r="G1129" i="3" s="1"/>
  <c r="D1129" i="3" s="1"/>
  <c r="F1129" i="3"/>
  <c r="G1128" i="3" a="1"/>
  <c r="G1128" i="3" s="1"/>
  <c r="D1128" i="3" s="1"/>
  <c r="F1128" i="3"/>
  <c r="G1127" i="3" a="1"/>
  <c r="G1127" i="3" s="1"/>
  <c r="D1127" i="3" s="1"/>
  <c r="F1127" i="3"/>
  <c r="G1126" i="3" a="1"/>
  <c r="G1126" i="3" s="1"/>
  <c r="D1126" i="3" s="1"/>
  <c r="F1126" i="3"/>
  <c r="G1125" i="3" a="1"/>
  <c r="G1125" i="3" s="1"/>
  <c r="D1125" i="3" s="1"/>
  <c r="F1125" i="3"/>
  <c r="G1124" i="3" a="1"/>
  <c r="F1124" i="3"/>
  <c r="G1123" i="3" a="1"/>
  <c r="G1123" i="3" s="1"/>
  <c r="D1123" i="3" s="1"/>
  <c r="F1123" i="3"/>
  <c r="G1122" i="3" a="1"/>
  <c r="G1122" i="3" s="1"/>
  <c r="D1122" i="3" s="1"/>
  <c r="F1122" i="3"/>
  <c r="G1121" i="3" a="1"/>
  <c r="G1121" i="3" s="1"/>
  <c r="D1121" i="3" s="1"/>
  <c r="F1121" i="3"/>
  <c r="G1120" i="3" a="1"/>
  <c r="G1120" i="3" s="1"/>
  <c r="D1120" i="3" s="1"/>
  <c r="F1120" i="3"/>
  <c r="G1119" i="3" a="1"/>
  <c r="G1119" i="3" s="1"/>
  <c r="D1119" i="3" s="1"/>
  <c r="F1119" i="3"/>
  <c r="G1118" i="3" a="1"/>
  <c r="G1118" i="3" s="1"/>
  <c r="D1118" i="3" s="1"/>
  <c r="F1118" i="3"/>
  <c r="G1117" i="3" a="1"/>
  <c r="G1117" i="3" s="1"/>
  <c r="D1117" i="3" s="1"/>
  <c r="F1117" i="3"/>
  <c r="G1116" i="3" a="1"/>
  <c r="G1116" i="3" s="1"/>
  <c r="D1116" i="3" s="1"/>
  <c r="F1116" i="3"/>
  <c r="G1115" i="3" a="1"/>
  <c r="G1115" i="3" s="1"/>
  <c r="D1115" i="3" s="1"/>
  <c r="F1115" i="3"/>
  <c r="G1114" i="3" a="1"/>
  <c r="G1114" i="3" s="1"/>
  <c r="D1114" i="3" s="1"/>
  <c r="F1114" i="3"/>
  <c r="G1113" i="3" a="1"/>
  <c r="G1113" i="3" s="1"/>
  <c r="D1113" i="3" s="1"/>
  <c r="F1113" i="3"/>
  <c r="G1112" i="3" a="1"/>
  <c r="G1112" i="3" s="1"/>
  <c r="D1112" i="3" s="1"/>
  <c r="F1112" i="3"/>
  <c r="G1111" i="3" a="1"/>
  <c r="G1111" i="3" s="1"/>
  <c r="D1111" i="3" s="1"/>
  <c r="F1111" i="3"/>
  <c r="G1110" i="3" a="1"/>
  <c r="G1110" i="3" s="1"/>
  <c r="D1110" i="3" s="1"/>
  <c r="F1110" i="3"/>
  <c r="G1109" i="3" a="1"/>
  <c r="G1109" i="3" s="1"/>
  <c r="D1109" i="3" s="1"/>
  <c r="F1109" i="3"/>
  <c r="G1108" i="3" a="1"/>
  <c r="G1108" i="3" s="1"/>
  <c r="D1108" i="3" s="1"/>
  <c r="F1108" i="3"/>
  <c r="G1107" i="3" a="1"/>
  <c r="G1107" i="3" s="1"/>
  <c r="D1107" i="3" s="1"/>
  <c r="F1107" i="3"/>
  <c r="G1106" i="3" a="1"/>
  <c r="G1106" i="3" s="1"/>
  <c r="D1106" i="3" s="1"/>
  <c r="F1106" i="3"/>
  <c r="G1105" i="3" a="1"/>
  <c r="G1105" i="3" s="1"/>
  <c r="D1105" i="3" s="1"/>
  <c r="F1105" i="3"/>
  <c r="G1104" i="3" a="1"/>
  <c r="G1104" i="3" s="1"/>
  <c r="D1104" i="3" s="1"/>
  <c r="F1104" i="3"/>
  <c r="G1103" i="3" a="1"/>
  <c r="G1103" i="3" s="1"/>
  <c r="D1103" i="3" s="1"/>
  <c r="F1103" i="3"/>
  <c r="G1102" i="3" a="1"/>
  <c r="F1102" i="3"/>
  <c r="G1101" i="3" a="1"/>
  <c r="F1101" i="3"/>
  <c r="G1100" i="3" a="1"/>
  <c r="G1100" i="3" s="1"/>
  <c r="D1100" i="3" s="1"/>
  <c r="F1100" i="3"/>
  <c r="G1099" i="3" a="1"/>
  <c r="G1099" i="3" s="1"/>
  <c r="D1099" i="3" s="1"/>
  <c r="F1099" i="3"/>
  <c r="G1098" i="3" a="1"/>
  <c r="G1098" i="3" s="1"/>
  <c r="D1098" i="3" s="1"/>
  <c r="F1098" i="3"/>
  <c r="G1097" i="3" a="1"/>
  <c r="G1097" i="3" s="1"/>
  <c r="D1097" i="3" s="1"/>
  <c r="F1097" i="3"/>
  <c r="G1096" i="3" a="1"/>
  <c r="G1096" i="3" s="1"/>
  <c r="D1096" i="3" s="1"/>
  <c r="F1096" i="3"/>
  <c r="G1095" i="3" a="1"/>
  <c r="G1095" i="3" s="1"/>
  <c r="D1095" i="3" s="1"/>
  <c r="F1095" i="3"/>
  <c r="G1094" i="3" a="1"/>
  <c r="G1094" i="3" s="1"/>
  <c r="D1094" i="3" s="1"/>
  <c r="F1094" i="3"/>
  <c r="G1093" i="3" a="1"/>
  <c r="G1093" i="3" s="1"/>
  <c r="D1093" i="3" s="1"/>
  <c r="F1093" i="3"/>
  <c r="G1092" i="3" a="1"/>
  <c r="G1092" i="3" s="1"/>
  <c r="D1092" i="3" s="1"/>
  <c r="F1092" i="3"/>
  <c r="G1091" i="3" a="1"/>
  <c r="G1091" i="3" s="1"/>
  <c r="D1091" i="3" s="1"/>
  <c r="F1091" i="3"/>
  <c r="G1090" i="3" a="1"/>
  <c r="G1090" i="3" s="1"/>
  <c r="D1090" i="3" s="1"/>
  <c r="F1090" i="3"/>
  <c r="G1089" i="3" a="1"/>
  <c r="G1089" i="3" s="1"/>
  <c r="D1089" i="3" s="1"/>
  <c r="F1089" i="3"/>
  <c r="G1088" i="3" a="1"/>
  <c r="G1088" i="3" s="1"/>
  <c r="D1088" i="3" s="1"/>
  <c r="F1088" i="3"/>
  <c r="G1087" i="3" a="1"/>
  <c r="G1087" i="3" s="1"/>
  <c r="D1087" i="3" s="1"/>
  <c r="F1087" i="3"/>
  <c r="G1086" i="3" a="1"/>
  <c r="G1086" i="3" s="1"/>
  <c r="D1086" i="3" s="1"/>
  <c r="F1086" i="3"/>
  <c r="G1085" i="3" a="1"/>
  <c r="G1085" i="3" s="1"/>
  <c r="D1085" i="3" s="1"/>
  <c r="F1085" i="3"/>
  <c r="G1084" i="3" a="1"/>
  <c r="F1084" i="3"/>
  <c r="G1083" i="3" a="1"/>
  <c r="G1083" i="3" s="1"/>
  <c r="D1083" i="3" s="1"/>
  <c r="F1083" i="3"/>
  <c r="G1082" i="3" a="1"/>
  <c r="G1082" i="3" s="1"/>
  <c r="D1082" i="3" s="1"/>
  <c r="F1082" i="3"/>
  <c r="G1081" i="3" a="1"/>
  <c r="G1081" i="3" s="1"/>
  <c r="D1081" i="3" s="1"/>
  <c r="F1081" i="3"/>
  <c r="G1080" i="3" a="1"/>
  <c r="G1080" i="3" s="1"/>
  <c r="D1080" i="3" s="1"/>
  <c r="F1080" i="3"/>
  <c r="G1079" i="3" a="1"/>
  <c r="G1079" i="3" s="1"/>
  <c r="D1079" i="3" s="1"/>
  <c r="F1079" i="3"/>
  <c r="G1078" i="3" a="1"/>
  <c r="G1078" i="3" s="1"/>
  <c r="D1078" i="3" s="1"/>
  <c r="F1078" i="3"/>
  <c r="G1077" i="3" a="1"/>
  <c r="G1077" i="3" s="1"/>
  <c r="D1077" i="3" s="1"/>
  <c r="F1077" i="3"/>
  <c r="G1076" i="3" a="1"/>
  <c r="F1076" i="3"/>
  <c r="G1075" i="3" a="1"/>
  <c r="G1075" i="3" s="1"/>
  <c r="D1075" i="3" s="1"/>
  <c r="F1075" i="3"/>
  <c r="G1074" i="3" a="1"/>
  <c r="G1074" i="3" s="1"/>
  <c r="D1074" i="3" s="1"/>
  <c r="F1074" i="3"/>
  <c r="G1073" i="3" a="1"/>
  <c r="G1073" i="3" s="1"/>
  <c r="D1073" i="3" s="1"/>
  <c r="F1073" i="3"/>
  <c r="G1072" i="3" a="1"/>
  <c r="G1072" i="3" s="1"/>
  <c r="D1072" i="3" s="1"/>
  <c r="F1072" i="3"/>
  <c r="G1071" i="3" a="1"/>
  <c r="G1071" i="3" s="1"/>
  <c r="D1071" i="3" s="1"/>
  <c r="F1071" i="3"/>
  <c r="G1070" i="3" a="1"/>
  <c r="F1070" i="3"/>
  <c r="G1069" i="3" a="1"/>
  <c r="G1069" i="3" s="1"/>
  <c r="D1069" i="3" s="1"/>
  <c r="F1069" i="3"/>
  <c r="G1068" i="3" a="1"/>
  <c r="F1068" i="3"/>
  <c r="G1067" i="3" a="1"/>
  <c r="G1067" i="3" s="1"/>
  <c r="D1067" i="3" s="1"/>
  <c r="F1067" i="3"/>
  <c r="G1066" i="3" a="1"/>
  <c r="G1066" i="3" s="1"/>
  <c r="D1066" i="3" s="1"/>
  <c r="F1066" i="3"/>
  <c r="G1065" i="3" a="1"/>
  <c r="G1065" i="3" s="1"/>
  <c r="D1065" i="3" s="1"/>
  <c r="F1065" i="3"/>
  <c r="G1064" i="3" a="1"/>
  <c r="G1064" i="3" s="1"/>
  <c r="D1064" i="3" s="1"/>
  <c r="F1064" i="3"/>
  <c r="G1063" i="3" a="1"/>
  <c r="G1063" i="3" s="1"/>
  <c r="D1063" i="3" s="1"/>
  <c r="F1063" i="3"/>
  <c r="G1062" i="3" a="1"/>
  <c r="G1062" i="3" s="1"/>
  <c r="D1062" i="3" s="1"/>
  <c r="F1062" i="3"/>
  <c r="G1061" i="3" a="1"/>
  <c r="G1061" i="3" s="1"/>
  <c r="D1061" i="3" s="1"/>
  <c r="F1061" i="3"/>
  <c r="G1060" i="3" a="1"/>
  <c r="G1060" i="3" s="1"/>
  <c r="D1060" i="3" s="1"/>
  <c r="F1060" i="3"/>
  <c r="G1059" i="3" a="1"/>
  <c r="G1059" i="3" s="1"/>
  <c r="D1059" i="3" s="1"/>
  <c r="F1059" i="3"/>
  <c r="G1058" i="3" a="1"/>
  <c r="G1058" i="3" s="1"/>
  <c r="D1058" i="3" s="1"/>
  <c r="F1058" i="3"/>
  <c r="G1057" i="3" a="1"/>
  <c r="G1057" i="3" s="1"/>
  <c r="D1057" i="3" s="1"/>
  <c r="F1057" i="3"/>
  <c r="G1056" i="3" a="1"/>
  <c r="G1056" i="3" s="1"/>
  <c r="D1056" i="3" s="1"/>
  <c r="F1056" i="3"/>
  <c r="G1055" i="3" a="1"/>
  <c r="G1055" i="3" s="1"/>
  <c r="D1055" i="3" s="1"/>
  <c r="F1055" i="3"/>
  <c r="G1054" i="3" a="1"/>
  <c r="G1054" i="3" s="1"/>
  <c r="D1054" i="3" s="1"/>
  <c r="F1054" i="3"/>
  <c r="G1053" i="3" a="1"/>
  <c r="G1053" i="3" s="1"/>
  <c r="D1053" i="3" s="1"/>
  <c r="F1053" i="3"/>
  <c r="G1052" i="3" a="1"/>
  <c r="G1052" i="3" s="1"/>
  <c r="D1052" i="3" s="1"/>
  <c r="F1052" i="3"/>
  <c r="G1051" i="3" a="1"/>
  <c r="G1051" i="3" s="1"/>
  <c r="D1051" i="3" s="1"/>
  <c r="F1051" i="3"/>
  <c r="G1050" i="3" a="1"/>
  <c r="G1050" i="3" s="1"/>
  <c r="D1050" i="3" s="1"/>
  <c r="F1050" i="3"/>
  <c r="G1049" i="3" a="1"/>
  <c r="G1049" i="3" s="1"/>
  <c r="D1049" i="3" s="1"/>
  <c r="F1049" i="3"/>
  <c r="G1048" i="3" a="1"/>
  <c r="G1048" i="3" s="1"/>
  <c r="D1048" i="3" s="1"/>
  <c r="F1048" i="3"/>
  <c r="G1047" i="3" a="1"/>
  <c r="G1047" i="3" s="1"/>
  <c r="D1047" i="3" s="1"/>
  <c r="F1047" i="3"/>
  <c r="G1046" i="3" a="1"/>
  <c r="G1046" i="3" s="1"/>
  <c r="D1046" i="3" s="1"/>
  <c r="F1046" i="3"/>
  <c r="G1045" i="3" a="1"/>
  <c r="G1045" i="3" s="1"/>
  <c r="D1045" i="3" s="1"/>
  <c r="F1045" i="3"/>
  <c r="G1044" i="3" a="1"/>
  <c r="G1044" i="3" s="1"/>
  <c r="D1044" i="3" s="1"/>
  <c r="F1044" i="3"/>
  <c r="G1043" i="3" a="1"/>
  <c r="G1043" i="3" s="1"/>
  <c r="D1043" i="3" s="1"/>
  <c r="F1043" i="3"/>
  <c r="G1042" i="3" a="1"/>
  <c r="G1042" i="3" s="1"/>
  <c r="D1042" i="3" s="1"/>
  <c r="F1042" i="3"/>
  <c r="G1041" i="3" a="1"/>
  <c r="G1041" i="3" s="1"/>
  <c r="D1041" i="3" s="1"/>
  <c r="F1041" i="3"/>
  <c r="G1040" i="3" a="1"/>
  <c r="G1040" i="3" s="1"/>
  <c r="D1040" i="3" s="1"/>
  <c r="F1040" i="3"/>
  <c r="G1039" i="3" a="1"/>
  <c r="G1039" i="3" s="1"/>
  <c r="D1039" i="3" s="1"/>
  <c r="F1039" i="3"/>
  <c r="G1038" i="3" a="1"/>
  <c r="G1038" i="3" s="1"/>
  <c r="D1038" i="3" s="1"/>
  <c r="F1038" i="3"/>
  <c r="G1037" i="3" a="1"/>
  <c r="G1037" i="3" s="1"/>
  <c r="D1037" i="3" s="1"/>
  <c r="F1037" i="3"/>
  <c r="G1036" i="3" a="1"/>
  <c r="F1036" i="3"/>
  <c r="G1035" i="3" a="1"/>
  <c r="G1035" i="3" s="1"/>
  <c r="D1035" i="3" s="1"/>
  <c r="F1035" i="3"/>
  <c r="G1034" i="3" a="1"/>
  <c r="G1034" i="3" s="1"/>
  <c r="D1034" i="3" s="1"/>
  <c r="F1034" i="3"/>
  <c r="G1033" i="3" a="1"/>
  <c r="G1033" i="3" s="1"/>
  <c r="D1033" i="3" s="1"/>
  <c r="F1033" i="3"/>
  <c r="G1032" i="3" a="1"/>
  <c r="G1032" i="3" s="1"/>
  <c r="D1032" i="3" s="1"/>
  <c r="F1032" i="3"/>
  <c r="G1031" i="3" a="1"/>
  <c r="G1031" i="3" s="1"/>
  <c r="D1031" i="3" s="1"/>
  <c r="F1031" i="3"/>
  <c r="G1030" i="3" a="1"/>
  <c r="G1030" i="3" s="1"/>
  <c r="D1030" i="3" s="1"/>
  <c r="F1030" i="3"/>
  <c r="G1029" i="3" a="1"/>
  <c r="G1029" i="3" s="1"/>
  <c r="D1029" i="3" s="1"/>
  <c r="F1029" i="3"/>
  <c r="G1028" i="3" a="1"/>
  <c r="G1028" i="3" s="1"/>
  <c r="D1028" i="3" s="1"/>
  <c r="F1028" i="3"/>
  <c r="G1027" i="3" a="1"/>
  <c r="G1027" i="3" s="1"/>
  <c r="D1027" i="3" s="1"/>
  <c r="F1027" i="3"/>
  <c r="G1026" i="3" a="1"/>
  <c r="G1026" i="3" s="1"/>
  <c r="D1026" i="3" s="1"/>
  <c r="F1026" i="3"/>
  <c r="G1025" i="3" a="1"/>
  <c r="G1025" i="3" s="1"/>
  <c r="D1025" i="3" s="1"/>
  <c r="F1025" i="3"/>
  <c r="G1024" i="3" a="1"/>
  <c r="G1024" i="3" s="1"/>
  <c r="D1024" i="3" s="1"/>
  <c r="F1024" i="3"/>
  <c r="G1023" i="3" a="1"/>
  <c r="G1023" i="3" s="1"/>
  <c r="D1023" i="3" s="1"/>
  <c r="F1023" i="3"/>
  <c r="G1003" i="3" a="1"/>
  <c r="G1003" i="3" s="1"/>
  <c r="D1003" i="3" s="1"/>
  <c r="F1003" i="3"/>
  <c r="G1002" i="3" a="1"/>
  <c r="G1002" i="3" s="1"/>
  <c r="D1002" i="3" s="1"/>
  <c r="F1002" i="3"/>
  <c r="G1022" i="3" a="1"/>
  <c r="G1022" i="3" s="1"/>
  <c r="D1022" i="3" s="1"/>
  <c r="F1022" i="3"/>
  <c r="G1021" i="3" a="1"/>
  <c r="G1021" i="3" s="1"/>
  <c r="D1021" i="3" s="1"/>
  <c r="F1021" i="3"/>
  <c r="G1020" i="3" a="1"/>
  <c r="G1020" i="3" s="1"/>
  <c r="D1020" i="3" s="1"/>
  <c r="F1020" i="3"/>
  <c r="G1019" i="3" a="1"/>
  <c r="G1019" i="3" s="1"/>
  <c r="D1019" i="3" s="1"/>
  <c r="F1019" i="3"/>
  <c r="G1018" i="3" a="1"/>
  <c r="G1018" i="3" s="1"/>
  <c r="D1018" i="3" s="1"/>
  <c r="F1018" i="3"/>
  <c r="G1017" i="3" a="1"/>
  <c r="G1017" i="3" s="1"/>
  <c r="D1017" i="3" s="1"/>
  <c r="F1017" i="3"/>
  <c r="G1016" i="3" a="1"/>
  <c r="G1016" i="3" s="1"/>
  <c r="D1016" i="3" s="1"/>
  <c r="F1016" i="3"/>
  <c r="G1015" i="3" a="1"/>
  <c r="G1015" i="3" s="1"/>
  <c r="D1015" i="3" s="1"/>
  <c r="F1015" i="3"/>
  <c r="G1014" i="3" a="1"/>
  <c r="G1014" i="3" s="1"/>
  <c r="D1014" i="3" s="1"/>
  <c r="F1014" i="3"/>
  <c r="G1013" i="3" a="1"/>
  <c r="G1013" i="3" s="1"/>
  <c r="D1013" i="3" s="1"/>
  <c r="F1013" i="3"/>
  <c r="G1012" i="3" a="1"/>
  <c r="G1012" i="3" s="1"/>
  <c r="D1012" i="3" s="1"/>
  <c r="F1012" i="3"/>
  <c r="G1011" i="3" a="1"/>
  <c r="G1011" i="3" s="1"/>
  <c r="D1011" i="3" s="1"/>
  <c r="F1011" i="3"/>
  <c r="G1010" i="3" a="1"/>
  <c r="G1010" i="3" s="1"/>
  <c r="D1010" i="3" s="1"/>
  <c r="F1010" i="3"/>
  <c r="G1009" i="3" a="1"/>
  <c r="G1009" i="3" s="1"/>
  <c r="D1009" i="3" s="1"/>
  <c r="F1009" i="3"/>
  <c r="G1008" i="3" a="1"/>
  <c r="G1008" i="3" s="1"/>
  <c r="D1008" i="3" s="1"/>
  <c r="F1008" i="3"/>
  <c r="G1007" i="3" a="1"/>
  <c r="G1007" i="3" s="1"/>
  <c r="D1007" i="3" s="1"/>
  <c r="F1007" i="3"/>
  <c r="G1006" i="3" a="1"/>
  <c r="G1006" i="3" s="1"/>
  <c r="D1006" i="3" s="1"/>
  <c r="F1006" i="3"/>
  <c r="G1005" i="3" a="1"/>
  <c r="G1005" i="3" s="1"/>
  <c r="D1005" i="3" s="1"/>
  <c r="F1005" i="3"/>
  <c r="G1004" i="3" a="1"/>
  <c r="G1004" i="3" s="1"/>
  <c r="D1004" i="3" s="1"/>
  <c r="F1004" i="3"/>
  <c r="G1001" i="3" a="1"/>
  <c r="G1001" i="3" s="1"/>
  <c r="D1001" i="3" s="1"/>
  <c r="F1001" i="3"/>
  <c r="G1000" i="3" a="1"/>
  <c r="G1000" i="3" s="1"/>
  <c r="D1000" i="3" s="1"/>
  <c r="F1000" i="3"/>
  <c r="G999" i="3" a="1"/>
  <c r="G999" i="3" s="1"/>
  <c r="D999" i="3" s="1"/>
  <c r="F999" i="3"/>
  <c r="G998" i="3" a="1"/>
  <c r="G998" i="3" s="1"/>
  <c r="D998" i="3" s="1"/>
  <c r="F998" i="3"/>
  <c r="G997" i="3" a="1"/>
  <c r="G997" i="3" s="1"/>
  <c r="D997" i="3" s="1"/>
  <c r="F997" i="3"/>
  <c r="G996" i="3" a="1"/>
  <c r="G996" i="3" s="1"/>
  <c r="D996" i="3" s="1"/>
  <c r="F996" i="3"/>
  <c r="G995" i="3" a="1"/>
  <c r="G995" i="3" s="1"/>
  <c r="D995" i="3" s="1"/>
  <c r="F995" i="3"/>
  <c r="G994" i="3" a="1"/>
  <c r="G994" i="3" s="1"/>
  <c r="D994" i="3" s="1"/>
  <c r="F994" i="3"/>
  <c r="G993" i="3" a="1"/>
  <c r="G993" i="3" s="1"/>
  <c r="D993" i="3" s="1"/>
  <c r="F993" i="3"/>
  <c r="G992" i="3" a="1"/>
  <c r="G992" i="3" s="1"/>
  <c r="D992" i="3" s="1"/>
  <c r="F992" i="3"/>
  <c r="G991" i="3" a="1"/>
  <c r="G991" i="3" s="1"/>
  <c r="D991" i="3" s="1"/>
  <c r="F991" i="3"/>
  <c r="G990" i="3" a="1"/>
  <c r="G990" i="3" s="1"/>
  <c r="D990" i="3" s="1"/>
  <c r="F990" i="3"/>
  <c r="G989" i="3" a="1"/>
  <c r="G989" i="3" s="1"/>
  <c r="D989" i="3" s="1"/>
  <c r="F989" i="3"/>
  <c r="G988" i="3" a="1"/>
  <c r="G988" i="3" s="1"/>
  <c r="D988" i="3" s="1"/>
  <c r="F988" i="3"/>
  <c r="G987" i="3" a="1"/>
  <c r="G987" i="3" s="1"/>
  <c r="D987" i="3" s="1"/>
  <c r="F987" i="3"/>
  <c r="G986" i="3" a="1"/>
  <c r="G986" i="3" s="1"/>
  <c r="D986" i="3" s="1"/>
  <c r="F986" i="3"/>
  <c r="G985" i="3" a="1"/>
  <c r="G985" i="3" s="1"/>
  <c r="D985" i="3" s="1"/>
  <c r="F985" i="3"/>
  <c r="G984" i="3" a="1"/>
  <c r="G984" i="3" s="1"/>
  <c r="D984" i="3" s="1"/>
  <c r="F984" i="3"/>
  <c r="G983" i="3" a="1"/>
  <c r="G983" i="3" s="1"/>
  <c r="D983" i="3" s="1"/>
  <c r="F983" i="3"/>
  <c r="G982" i="3" a="1"/>
  <c r="G982" i="3" s="1"/>
  <c r="D982" i="3" s="1"/>
  <c r="F982" i="3"/>
  <c r="G981" i="3" a="1"/>
  <c r="G981" i="3" s="1"/>
  <c r="D981" i="3" s="1"/>
  <c r="F981" i="3"/>
  <c r="G980" i="3" a="1"/>
  <c r="G980" i="3" s="1"/>
  <c r="D980" i="3" s="1"/>
  <c r="F980" i="3"/>
  <c r="G979" i="3" a="1"/>
  <c r="G979" i="3" s="1"/>
  <c r="D979" i="3" s="1"/>
  <c r="F979" i="3"/>
  <c r="G978" i="3" a="1"/>
  <c r="G978" i="3" s="1"/>
  <c r="D978" i="3" s="1"/>
  <c r="F978" i="3"/>
  <c r="G977" i="3" a="1"/>
  <c r="G977" i="3" s="1"/>
  <c r="D977" i="3" s="1"/>
  <c r="F977" i="3"/>
  <c r="G976" i="3" a="1"/>
  <c r="G976" i="3" s="1"/>
  <c r="D976" i="3" s="1"/>
  <c r="F976" i="3"/>
  <c r="G975" i="3" a="1"/>
  <c r="G975" i="3" s="1"/>
  <c r="D975" i="3" s="1"/>
  <c r="F975" i="3"/>
  <c r="G974" i="3" a="1"/>
  <c r="G974" i="3" s="1"/>
  <c r="D974" i="3" s="1"/>
  <c r="F974" i="3"/>
  <c r="G973" i="3" a="1"/>
  <c r="G973" i="3" s="1"/>
  <c r="D973" i="3" s="1"/>
  <c r="F973" i="3"/>
  <c r="G972" i="3" a="1"/>
  <c r="G972" i="3" s="1"/>
  <c r="D972" i="3" s="1"/>
  <c r="F972" i="3"/>
  <c r="G971" i="3" a="1"/>
  <c r="G971" i="3" s="1"/>
  <c r="D971" i="3" s="1"/>
  <c r="F971" i="3"/>
  <c r="G970" i="3" a="1"/>
  <c r="G970" i="3" s="1"/>
  <c r="D970" i="3" s="1"/>
  <c r="F970" i="3"/>
  <c r="G969" i="3" a="1"/>
  <c r="G969" i="3" s="1"/>
  <c r="D969" i="3" s="1"/>
  <c r="F969" i="3"/>
  <c r="G968" i="3" a="1"/>
  <c r="G968" i="3" s="1"/>
  <c r="D968" i="3" s="1"/>
  <c r="F968" i="3"/>
  <c r="G967" i="3" a="1"/>
  <c r="G967" i="3" s="1"/>
  <c r="D967" i="3" s="1"/>
  <c r="F967" i="3"/>
  <c r="G966" i="3" a="1"/>
  <c r="G966" i="3" s="1"/>
  <c r="D966" i="3" s="1"/>
  <c r="F966" i="3"/>
  <c r="G965" i="3" a="1"/>
  <c r="G965" i="3" s="1"/>
  <c r="D965" i="3" s="1"/>
  <c r="F965" i="3"/>
  <c r="G964" i="3" a="1"/>
  <c r="G964" i="3" s="1"/>
  <c r="D964" i="3" s="1"/>
  <c r="F964" i="3"/>
  <c r="G963" i="3" a="1"/>
  <c r="G963" i="3" s="1"/>
  <c r="D963" i="3" s="1"/>
  <c r="F963" i="3"/>
  <c r="G962" i="3" a="1"/>
  <c r="G962" i="3" s="1"/>
  <c r="D962" i="3" s="1"/>
  <c r="F962" i="3"/>
  <c r="G961" i="3" a="1"/>
  <c r="G961" i="3" s="1"/>
  <c r="D961" i="3" s="1"/>
  <c r="F961" i="3"/>
  <c r="G960" i="3" a="1"/>
  <c r="G960" i="3" s="1"/>
  <c r="D960" i="3" s="1"/>
  <c r="F960" i="3"/>
  <c r="G959" i="3" a="1"/>
  <c r="G959" i="3" s="1"/>
  <c r="D959" i="3" s="1"/>
  <c r="F959" i="3"/>
  <c r="G958" i="3" a="1"/>
  <c r="G958" i="3" s="1"/>
  <c r="D958" i="3" s="1"/>
  <c r="F958" i="3"/>
  <c r="G957" i="3" a="1"/>
  <c r="G957" i="3" s="1"/>
  <c r="D957" i="3" s="1"/>
  <c r="F957" i="3"/>
  <c r="G956" i="3" a="1"/>
  <c r="G956" i="3" s="1"/>
  <c r="D956" i="3" s="1"/>
  <c r="F956" i="3"/>
  <c r="G955" i="3" a="1"/>
  <c r="G955" i="3" s="1"/>
  <c r="D955" i="3" s="1"/>
  <c r="F955" i="3"/>
  <c r="G954" i="3" a="1"/>
  <c r="G954" i="3" s="1"/>
  <c r="D954" i="3" s="1"/>
  <c r="F954" i="3"/>
  <c r="G953" i="3" a="1"/>
  <c r="G953" i="3" s="1"/>
  <c r="D953" i="3" s="1"/>
  <c r="F953" i="3"/>
  <c r="G952" i="3" a="1"/>
  <c r="G952" i="3" s="1"/>
  <c r="D952" i="3" s="1"/>
  <c r="F952" i="3"/>
  <c r="G951" i="3" a="1"/>
  <c r="G951" i="3" s="1"/>
  <c r="D951" i="3" s="1"/>
  <c r="F951" i="3"/>
  <c r="G950" i="3" a="1"/>
  <c r="G950" i="3" s="1"/>
  <c r="D950" i="3" s="1"/>
  <c r="F950" i="3"/>
  <c r="G949" i="3" a="1"/>
  <c r="G949" i="3" s="1"/>
  <c r="D949" i="3" s="1"/>
  <c r="F949" i="3"/>
  <c r="G948" i="3" a="1"/>
  <c r="G948" i="3" s="1"/>
  <c r="D948" i="3" s="1"/>
  <c r="F948" i="3"/>
  <c r="G947" i="3" a="1"/>
  <c r="G947" i="3" s="1"/>
  <c r="D947" i="3" s="1"/>
  <c r="F947" i="3"/>
  <c r="G946" i="3" a="1"/>
  <c r="G946" i="3" s="1"/>
  <c r="D946" i="3" s="1"/>
  <c r="F946" i="3"/>
  <c r="G945" i="3" a="1"/>
  <c r="G945" i="3" s="1"/>
  <c r="D945" i="3" s="1"/>
  <c r="F945" i="3"/>
  <c r="G944" i="3" a="1"/>
  <c r="G944" i="3" s="1"/>
  <c r="D944" i="3" s="1"/>
  <c r="F944" i="3"/>
  <c r="G943" i="3" a="1"/>
  <c r="G943" i="3" s="1"/>
  <c r="D943" i="3" s="1"/>
  <c r="F943" i="3"/>
  <c r="G942" i="3" a="1"/>
  <c r="G942" i="3" s="1"/>
  <c r="D942" i="3" s="1"/>
  <c r="F942" i="3"/>
  <c r="G941" i="3" a="1"/>
  <c r="G941" i="3" s="1"/>
  <c r="D941" i="3" s="1"/>
  <c r="F941" i="3"/>
  <c r="G940" i="3" a="1"/>
  <c r="G940" i="3" s="1"/>
  <c r="D940" i="3" s="1"/>
  <c r="F940" i="3"/>
  <c r="G939" i="3" a="1"/>
  <c r="G939" i="3" s="1"/>
  <c r="D939" i="3" s="1"/>
  <c r="F939" i="3"/>
  <c r="G938" i="3" a="1"/>
  <c r="G938" i="3" s="1"/>
  <c r="D938" i="3" s="1"/>
  <c r="F938" i="3"/>
  <c r="G937" i="3" a="1"/>
  <c r="G937" i="3" s="1"/>
  <c r="D937" i="3" s="1"/>
  <c r="F937" i="3"/>
  <c r="G936" i="3" a="1"/>
  <c r="G936" i="3" s="1"/>
  <c r="D936" i="3" s="1"/>
  <c r="F936" i="3"/>
  <c r="G935" i="3" a="1"/>
  <c r="G935" i="3" s="1"/>
  <c r="D935" i="3" s="1"/>
  <c r="F935" i="3"/>
  <c r="G934" i="3" a="1"/>
  <c r="G934" i="3" s="1"/>
  <c r="D934" i="3" s="1"/>
  <c r="F934" i="3"/>
  <c r="G933" i="3" a="1"/>
  <c r="G933" i="3" s="1"/>
  <c r="D933" i="3" s="1"/>
  <c r="F933" i="3"/>
  <c r="G932" i="3" a="1"/>
  <c r="G932" i="3" s="1"/>
  <c r="D932" i="3" s="1"/>
  <c r="F932" i="3"/>
  <c r="G931" i="3" a="1"/>
  <c r="G931" i="3" s="1"/>
  <c r="D931" i="3" s="1"/>
  <c r="F931" i="3"/>
  <c r="G930" i="3" a="1"/>
  <c r="G930" i="3" s="1"/>
  <c r="D930" i="3" s="1"/>
  <c r="F930" i="3"/>
  <c r="G929" i="3" a="1"/>
  <c r="G929" i="3" s="1"/>
  <c r="D929" i="3" s="1"/>
  <c r="F929" i="3"/>
  <c r="G928" i="3" a="1"/>
  <c r="G928" i="3" s="1"/>
  <c r="D928" i="3" s="1"/>
  <c r="F928" i="3"/>
  <c r="G927" i="3" a="1"/>
  <c r="G927" i="3" s="1"/>
  <c r="D927" i="3" s="1"/>
  <c r="F927" i="3"/>
  <c r="G926" i="3" a="1"/>
  <c r="G926" i="3" s="1"/>
  <c r="D926" i="3" s="1"/>
  <c r="F926" i="3"/>
  <c r="G925" i="3" a="1"/>
  <c r="G925" i="3" s="1"/>
  <c r="D925" i="3" s="1"/>
  <c r="F925" i="3"/>
  <c r="G924" i="3" a="1"/>
  <c r="G924" i="3" s="1"/>
  <c r="D924" i="3" s="1"/>
  <c r="F924" i="3"/>
  <c r="G923" i="3" a="1"/>
  <c r="G923" i="3" s="1"/>
  <c r="D923" i="3" s="1"/>
  <c r="F923" i="3"/>
  <c r="G922" i="3" a="1"/>
  <c r="G922" i="3" s="1"/>
  <c r="D922" i="3" s="1"/>
  <c r="F922" i="3"/>
  <c r="G921" i="3" a="1"/>
  <c r="G921" i="3" s="1"/>
  <c r="D921" i="3" s="1"/>
  <c r="F921" i="3"/>
  <c r="G920" i="3" a="1"/>
  <c r="G920" i="3" s="1"/>
  <c r="D920" i="3" s="1"/>
  <c r="F920" i="3"/>
  <c r="G919" i="3" a="1"/>
  <c r="G919" i="3" s="1"/>
  <c r="D919" i="3" s="1"/>
  <c r="F919" i="3"/>
  <c r="G918" i="3" a="1"/>
  <c r="G918" i="3" s="1"/>
  <c r="D918" i="3" s="1"/>
  <c r="F918" i="3"/>
  <c r="G917" i="3" a="1"/>
  <c r="G917" i="3" s="1"/>
  <c r="D917" i="3" s="1"/>
  <c r="F917" i="3"/>
  <c r="G916" i="3" a="1"/>
  <c r="G916" i="3" s="1"/>
  <c r="D916" i="3" s="1"/>
  <c r="F916" i="3"/>
  <c r="G915" i="3" a="1"/>
  <c r="G915" i="3" s="1"/>
  <c r="D915" i="3" s="1"/>
  <c r="F915" i="3"/>
  <c r="G914" i="3" a="1"/>
  <c r="G914" i="3" s="1"/>
  <c r="D914" i="3" s="1"/>
  <c r="F914" i="3"/>
  <c r="G913" i="3" a="1"/>
  <c r="G913" i="3" s="1"/>
  <c r="D913" i="3" s="1"/>
  <c r="F913" i="3"/>
  <c r="G912" i="3" a="1"/>
  <c r="G912" i="3" s="1"/>
  <c r="D912" i="3" s="1"/>
  <c r="F912" i="3"/>
  <c r="G911" i="3" a="1"/>
  <c r="G911" i="3" s="1"/>
  <c r="D911" i="3" s="1"/>
  <c r="F911" i="3"/>
  <c r="G910" i="3" a="1"/>
  <c r="G910" i="3" s="1"/>
  <c r="D910" i="3" s="1"/>
  <c r="F910" i="3"/>
  <c r="G909" i="3" a="1"/>
  <c r="G909" i="3" s="1"/>
  <c r="D909" i="3" s="1"/>
  <c r="F909" i="3"/>
  <c r="G908" i="3" a="1"/>
  <c r="G908" i="3" s="1"/>
  <c r="D908" i="3" s="1"/>
  <c r="F908" i="3"/>
  <c r="G907" i="3" a="1"/>
  <c r="G907" i="3" s="1"/>
  <c r="D907" i="3" s="1"/>
  <c r="F907" i="3"/>
  <c r="G906" i="3" a="1"/>
  <c r="G906" i="3" s="1"/>
  <c r="D906" i="3" s="1"/>
  <c r="F906" i="3"/>
  <c r="G905" i="3" a="1"/>
  <c r="G905" i="3" s="1"/>
  <c r="D905" i="3" s="1"/>
  <c r="F905" i="3"/>
  <c r="G904" i="3" a="1"/>
  <c r="G904" i="3" s="1"/>
  <c r="D904" i="3" s="1"/>
  <c r="F904" i="3"/>
  <c r="G903" i="3" a="1"/>
  <c r="G903" i="3" s="1"/>
  <c r="D903" i="3" s="1"/>
  <c r="F903" i="3"/>
  <c r="G902" i="3" a="1"/>
  <c r="G902" i="3" s="1"/>
  <c r="D902" i="3" s="1"/>
  <c r="F902" i="3"/>
  <c r="G901" i="3" a="1"/>
  <c r="G901" i="3" s="1"/>
  <c r="D901" i="3" s="1"/>
  <c r="F901" i="3"/>
  <c r="G900" i="3" a="1"/>
  <c r="G900" i="3" s="1"/>
  <c r="D900" i="3" s="1"/>
  <c r="F900" i="3"/>
  <c r="G899" i="3" a="1"/>
  <c r="G899" i="3" s="1"/>
  <c r="D899" i="3" s="1"/>
  <c r="F899" i="3"/>
  <c r="G898" i="3" a="1"/>
  <c r="G898" i="3" s="1"/>
  <c r="D898" i="3" s="1"/>
  <c r="F898" i="3"/>
  <c r="G897" i="3" a="1"/>
  <c r="G897" i="3" s="1"/>
  <c r="D897" i="3" s="1"/>
  <c r="F897" i="3"/>
  <c r="G896" i="3" a="1"/>
  <c r="G896" i="3" s="1"/>
  <c r="D896" i="3" s="1"/>
  <c r="F896" i="3"/>
  <c r="G895" i="3" a="1"/>
  <c r="G895" i="3" s="1"/>
  <c r="D895" i="3" s="1"/>
  <c r="F895" i="3"/>
  <c r="G894" i="3" a="1"/>
  <c r="G894" i="3" s="1"/>
  <c r="D894" i="3" s="1"/>
  <c r="F894" i="3"/>
  <c r="G893" i="3" a="1"/>
  <c r="G893" i="3" s="1"/>
  <c r="D893" i="3" s="1"/>
  <c r="F893" i="3"/>
  <c r="G892" i="3" a="1"/>
  <c r="G892" i="3" s="1"/>
  <c r="D892" i="3" s="1"/>
  <c r="F892" i="3"/>
  <c r="G891" i="3" a="1"/>
  <c r="G891" i="3" s="1"/>
  <c r="D891" i="3" s="1"/>
  <c r="F891" i="3"/>
  <c r="G890" i="3" a="1"/>
  <c r="G890" i="3" s="1"/>
  <c r="D890" i="3" s="1"/>
  <c r="F890" i="3"/>
  <c r="G889" i="3" a="1"/>
  <c r="G889" i="3" s="1"/>
  <c r="D889" i="3" s="1"/>
  <c r="F889" i="3"/>
  <c r="G888" i="3" a="1"/>
  <c r="G888" i="3" s="1"/>
  <c r="D888" i="3" s="1"/>
  <c r="F888" i="3"/>
  <c r="G887" i="3" a="1"/>
  <c r="G887" i="3" s="1"/>
  <c r="D887" i="3" s="1"/>
  <c r="F887" i="3"/>
  <c r="G886" i="3" a="1"/>
  <c r="G886" i="3" s="1"/>
  <c r="D886" i="3" s="1"/>
  <c r="F886" i="3"/>
  <c r="G885" i="3" a="1"/>
  <c r="G885" i="3" s="1"/>
  <c r="D885" i="3" s="1"/>
  <c r="F885" i="3"/>
  <c r="G884" i="3" a="1"/>
  <c r="G884" i="3" s="1"/>
  <c r="D884" i="3" s="1"/>
  <c r="F884" i="3"/>
  <c r="G883" i="3" a="1"/>
  <c r="G883" i="3" s="1"/>
  <c r="D883" i="3" s="1"/>
  <c r="F883" i="3"/>
  <c r="G882" i="3" a="1"/>
  <c r="G882" i="3" s="1"/>
  <c r="D882" i="3" s="1"/>
  <c r="F882" i="3"/>
  <c r="G881" i="3" a="1"/>
  <c r="G881" i="3" s="1"/>
  <c r="D881" i="3" s="1"/>
  <c r="F881" i="3"/>
  <c r="G880" i="3" a="1"/>
  <c r="G880" i="3" s="1"/>
  <c r="D880" i="3" s="1"/>
  <c r="F880" i="3"/>
  <c r="G879" i="3" a="1"/>
  <c r="G879" i="3" s="1"/>
  <c r="D879" i="3" s="1"/>
  <c r="F879" i="3"/>
  <c r="G878" i="3" a="1"/>
  <c r="G878" i="3" s="1"/>
  <c r="D878" i="3" s="1"/>
  <c r="F878" i="3"/>
  <c r="G877" i="3" a="1"/>
  <c r="G877" i="3" s="1"/>
  <c r="D877" i="3" s="1"/>
  <c r="F877" i="3"/>
  <c r="G876" i="3" a="1"/>
  <c r="G876" i="3" s="1"/>
  <c r="D876" i="3" s="1"/>
  <c r="F876" i="3"/>
  <c r="G875" i="3" a="1"/>
  <c r="G875" i="3" s="1"/>
  <c r="D875" i="3" s="1"/>
  <c r="F875" i="3"/>
  <c r="G874" i="3" a="1"/>
  <c r="G874" i="3" s="1"/>
  <c r="D874" i="3" s="1"/>
  <c r="F874" i="3"/>
  <c r="G873" i="3" a="1"/>
  <c r="G873" i="3" s="1"/>
  <c r="D873" i="3" s="1"/>
  <c r="F873" i="3"/>
  <c r="G872" i="3" a="1"/>
  <c r="G872" i="3" s="1"/>
  <c r="D872" i="3" s="1"/>
  <c r="F872" i="3"/>
  <c r="G871" i="3" a="1"/>
  <c r="G871" i="3" s="1"/>
  <c r="D871" i="3" s="1"/>
  <c r="F871" i="3"/>
  <c r="G870" i="3" a="1"/>
  <c r="G870" i="3" s="1"/>
  <c r="D870" i="3" s="1"/>
  <c r="F870" i="3"/>
  <c r="G869" i="3" a="1"/>
  <c r="G869" i="3" s="1"/>
  <c r="D869" i="3" s="1"/>
  <c r="F869" i="3"/>
  <c r="G868" i="3" a="1"/>
  <c r="G868" i="3" s="1"/>
  <c r="D868" i="3" s="1"/>
  <c r="F868" i="3"/>
  <c r="G867" i="3" a="1"/>
  <c r="G867" i="3" s="1"/>
  <c r="D867" i="3" s="1"/>
  <c r="F867" i="3"/>
  <c r="G866" i="3" a="1"/>
  <c r="G866" i="3" s="1"/>
  <c r="D866" i="3" s="1"/>
  <c r="F866" i="3"/>
  <c r="G865" i="3" a="1"/>
  <c r="G865" i="3" s="1"/>
  <c r="D865" i="3" s="1"/>
  <c r="F865" i="3"/>
  <c r="G864" i="3" a="1"/>
  <c r="G864" i="3" s="1"/>
  <c r="D864" i="3" s="1"/>
  <c r="F864" i="3"/>
  <c r="G863" i="3" a="1"/>
  <c r="G863" i="3" s="1"/>
  <c r="D863" i="3" s="1"/>
  <c r="F863" i="3"/>
  <c r="G862" i="3" a="1"/>
  <c r="G862" i="3" s="1"/>
  <c r="D862" i="3" s="1"/>
  <c r="F862" i="3"/>
  <c r="G861" i="3" a="1"/>
  <c r="G861" i="3" s="1"/>
  <c r="D861" i="3" s="1"/>
  <c r="F861" i="3"/>
  <c r="G860" i="3" a="1"/>
  <c r="G860" i="3" s="1"/>
  <c r="D860" i="3" s="1"/>
  <c r="F860" i="3"/>
  <c r="G859" i="3" a="1"/>
  <c r="G859" i="3" s="1"/>
  <c r="D859" i="3" s="1"/>
  <c r="F859" i="3"/>
  <c r="G858" i="3" a="1"/>
  <c r="G858" i="3" s="1"/>
  <c r="D858" i="3" s="1"/>
  <c r="F858" i="3"/>
  <c r="G857" i="3" a="1"/>
  <c r="G857" i="3" s="1"/>
  <c r="D857" i="3" s="1"/>
  <c r="F857" i="3"/>
  <c r="G856" i="3" a="1"/>
  <c r="G856" i="3" s="1"/>
  <c r="D856" i="3" s="1"/>
  <c r="F856" i="3"/>
  <c r="G855" i="3" a="1"/>
  <c r="G855" i="3" s="1"/>
  <c r="D855" i="3" s="1"/>
  <c r="F855" i="3"/>
  <c r="G854" i="3" a="1"/>
  <c r="G854" i="3" s="1"/>
  <c r="D854" i="3" s="1"/>
  <c r="F854" i="3"/>
  <c r="G853" i="3" a="1"/>
  <c r="G853" i="3" s="1"/>
  <c r="D853" i="3" s="1"/>
  <c r="F853" i="3"/>
  <c r="G852" i="3" a="1"/>
  <c r="G852" i="3" s="1"/>
  <c r="D852" i="3" s="1"/>
  <c r="F852" i="3"/>
  <c r="G851" i="3" a="1"/>
  <c r="G851" i="3" s="1"/>
  <c r="D851" i="3" s="1"/>
  <c r="F851" i="3"/>
  <c r="G850" i="3" a="1"/>
  <c r="G850" i="3" s="1"/>
  <c r="D850" i="3" s="1"/>
  <c r="F850" i="3"/>
  <c r="G849" i="3" a="1"/>
  <c r="G849" i="3" s="1"/>
  <c r="D849" i="3" s="1"/>
  <c r="F849" i="3"/>
  <c r="G848" i="3" a="1"/>
  <c r="G848" i="3" s="1"/>
  <c r="D848" i="3" s="1"/>
  <c r="F848" i="3"/>
  <c r="G847" i="3" a="1"/>
  <c r="G847" i="3" s="1"/>
  <c r="D847" i="3" s="1"/>
  <c r="F847" i="3"/>
  <c r="G846" i="3" a="1"/>
  <c r="G846" i="3" s="1"/>
  <c r="D846" i="3" s="1"/>
  <c r="F846" i="3"/>
  <c r="G845" i="3" a="1"/>
  <c r="G845" i="3" s="1"/>
  <c r="D845" i="3" s="1"/>
  <c r="F845" i="3"/>
  <c r="G844" i="3" a="1"/>
  <c r="G844" i="3" s="1"/>
  <c r="D844" i="3" s="1"/>
  <c r="F844" i="3"/>
  <c r="G843" i="3" a="1"/>
  <c r="G843" i="3" s="1"/>
  <c r="D843" i="3" s="1"/>
  <c r="F843" i="3"/>
  <c r="G842" i="3" a="1"/>
  <c r="G842" i="3" s="1"/>
  <c r="D842" i="3" s="1"/>
  <c r="F842" i="3"/>
  <c r="G841" i="3" a="1"/>
  <c r="G841" i="3" s="1"/>
  <c r="D841" i="3" s="1"/>
  <c r="F841" i="3"/>
  <c r="G840" i="3" a="1"/>
  <c r="G840" i="3" s="1"/>
  <c r="D840" i="3" s="1"/>
  <c r="F840" i="3"/>
  <c r="G839" i="3" a="1"/>
  <c r="G839" i="3" s="1"/>
  <c r="D839" i="3" s="1"/>
  <c r="F839" i="3"/>
  <c r="G838" i="3" a="1"/>
  <c r="G838" i="3" s="1"/>
  <c r="D838" i="3" s="1"/>
  <c r="F838" i="3"/>
  <c r="G837" i="3" a="1"/>
  <c r="G837" i="3" s="1"/>
  <c r="D837" i="3" s="1"/>
  <c r="F837" i="3"/>
  <c r="G836" i="3" a="1"/>
  <c r="G836" i="3" s="1"/>
  <c r="D836" i="3" s="1"/>
  <c r="F836" i="3"/>
  <c r="G835" i="3" a="1"/>
  <c r="G835" i="3" s="1"/>
  <c r="D835" i="3" s="1"/>
  <c r="F835" i="3"/>
  <c r="G834" i="3" a="1"/>
  <c r="G834" i="3" s="1"/>
  <c r="D834" i="3" s="1"/>
  <c r="F834" i="3"/>
  <c r="G833" i="3" a="1"/>
  <c r="G833" i="3" s="1"/>
  <c r="D833" i="3" s="1"/>
  <c r="F833" i="3"/>
  <c r="G832" i="3" a="1"/>
  <c r="G832" i="3" s="1"/>
  <c r="D832" i="3" s="1"/>
  <c r="F832" i="3"/>
  <c r="G831" i="3" a="1"/>
  <c r="G831" i="3" s="1"/>
  <c r="D831" i="3" s="1"/>
  <c r="F831" i="3"/>
  <c r="G830" i="3" a="1"/>
  <c r="G830" i="3" s="1"/>
  <c r="D830" i="3" s="1"/>
  <c r="F830" i="3"/>
  <c r="G829" i="3" a="1"/>
  <c r="G829" i="3" s="1"/>
  <c r="D829" i="3" s="1"/>
  <c r="F829" i="3"/>
  <c r="G828" i="3" a="1"/>
  <c r="G828" i="3" s="1"/>
  <c r="D828" i="3" s="1"/>
  <c r="F828" i="3"/>
  <c r="G827" i="3" a="1"/>
  <c r="G827" i="3" s="1"/>
  <c r="D827" i="3" s="1"/>
  <c r="F827" i="3"/>
  <c r="G826" i="3" a="1"/>
  <c r="G826" i="3" s="1"/>
  <c r="D826" i="3" s="1"/>
  <c r="F826" i="3"/>
  <c r="G825" i="3" a="1"/>
  <c r="G825" i="3" s="1"/>
  <c r="D825" i="3" s="1"/>
  <c r="F825" i="3"/>
  <c r="G824" i="3" a="1"/>
  <c r="G824" i="3" s="1"/>
  <c r="D824" i="3" s="1"/>
  <c r="F824" i="3"/>
  <c r="G823" i="3" a="1"/>
  <c r="G823" i="3" s="1"/>
  <c r="D823" i="3" s="1"/>
  <c r="F823" i="3"/>
  <c r="G822" i="3" a="1"/>
  <c r="G822" i="3" s="1"/>
  <c r="D822" i="3" s="1"/>
  <c r="F822" i="3"/>
  <c r="G821" i="3" a="1"/>
  <c r="G821" i="3" s="1"/>
  <c r="D821" i="3" s="1"/>
  <c r="F821" i="3"/>
  <c r="G820" i="3" a="1"/>
  <c r="G820" i="3" s="1"/>
  <c r="D820" i="3" s="1"/>
  <c r="F820" i="3"/>
  <c r="G819" i="3" a="1"/>
  <c r="G819" i="3" s="1"/>
  <c r="D819" i="3" s="1"/>
  <c r="F819" i="3"/>
  <c r="G818" i="3" a="1"/>
  <c r="G818" i="3" s="1"/>
  <c r="D818" i="3" s="1"/>
  <c r="F818" i="3"/>
  <c r="G817" i="3" a="1"/>
  <c r="G817" i="3" s="1"/>
  <c r="D817" i="3" s="1"/>
  <c r="F817" i="3"/>
  <c r="G816" i="3" a="1"/>
  <c r="G816" i="3" s="1"/>
  <c r="D816" i="3" s="1"/>
  <c r="F816" i="3"/>
  <c r="G815" i="3" a="1"/>
  <c r="G815" i="3" s="1"/>
  <c r="D815" i="3" s="1"/>
  <c r="F815" i="3"/>
  <c r="G814" i="3" a="1"/>
  <c r="G814" i="3" s="1"/>
  <c r="D814" i="3" s="1"/>
  <c r="F814" i="3"/>
  <c r="G813" i="3" a="1"/>
  <c r="G813" i="3" s="1"/>
  <c r="D813" i="3" s="1"/>
  <c r="F813" i="3"/>
  <c r="G812" i="3" a="1"/>
  <c r="G812" i="3" s="1"/>
  <c r="D812" i="3" s="1"/>
  <c r="F812" i="3"/>
  <c r="G811" i="3" a="1"/>
  <c r="G811" i="3" s="1"/>
  <c r="D811" i="3" s="1"/>
  <c r="F811" i="3"/>
  <c r="G810" i="3" a="1"/>
  <c r="G810" i="3" s="1"/>
  <c r="D810" i="3" s="1"/>
  <c r="F810" i="3"/>
  <c r="G809" i="3" a="1"/>
  <c r="G809" i="3" s="1"/>
  <c r="D809" i="3" s="1"/>
  <c r="F809" i="3"/>
  <c r="G808" i="3" a="1"/>
  <c r="G808" i="3" s="1"/>
  <c r="D808" i="3" s="1"/>
  <c r="F808" i="3"/>
  <c r="G807" i="3" a="1"/>
  <c r="G807" i="3" s="1"/>
  <c r="D807" i="3" s="1"/>
  <c r="F807" i="3"/>
  <c r="G806" i="3" a="1"/>
  <c r="G806" i="3" s="1"/>
  <c r="D806" i="3" s="1"/>
  <c r="F806" i="3"/>
  <c r="G805" i="3" a="1"/>
  <c r="G805" i="3" s="1"/>
  <c r="D805" i="3" s="1"/>
  <c r="F805" i="3"/>
  <c r="G804" i="3" a="1"/>
  <c r="G804" i="3" s="1"/>
  <c r="D804" i="3" s="1"/>
  <c r="F804" i="3"/>
  <c r="G803" i="3" a="1"/>
  <c r="G803" i="3" s="1"/>
  <c r="D803" i="3" s="1"/>
  <c r="F803" i="3"/>
  <c r="G802" i="3" a="1"/>
  <c r="G802" i="3" s="1"/>
  <c r="D802" i="3" s="1"/>
  <c r="F802" i="3"/>
  <c r="G801" i="3" a="1"/>
  <c r="G801" i="3" s="1"/>
  <c r="D801" i="3" s="1"/>
  <c r="F801" i="3"/>
  <c r="G800" i="3" a="1"/>
  <c r="G800" i="3" s="1"/>
  <c r="D800" i="3" s="1"/>
  <c r="F800" i="3"/>
  <c r="G799" i="3" a="1"/>
  <c r="G799" i="3" s="1"/>
  <c r="D799" i="3" s="1"/>
  <c r="F799" i="3"/>
  <c r="G798" i="3" a="1"/>
  <c r="G798" i="3" s="1"/>
  <c r="D798" i="3" s="1"/>
  <c r="F798" i="3"/>
  <c r="G797" i="3" a="1"/>
  <c r="G797" i="3" s="1"/>
  <c r="D797" i="3" s="1"/>
  <c r="F797" i="3"/>
  <c r="G796" i="3" a="1"/>
  <c r="G796" i="3" s="1"/>
  <c r="D796" i="3" s="1"/>
  <c r="F796" i="3"/>
  <c r="G795" i="3" a="1"/>
  <c r="G795" i="3" s="1"/>
  <c r="D795" i="3" s="1"/>
  <c r="F795" i="3"/>
  <c r="G794" i="3" a="1"/>
  <c r="G794" i="3" s="1"/>
  <c r="D794" i="3" s="1"/>
  <c r="F794" i="3"/>
  <c r="G793" i="3" a="1"/>
  <c r="G793" i="3" s="1"/>
  <c r="D793" i="3" s="1"/>
  <c r="F793" i="3"/>
  <c r="G792" i="3" a="1"/>
  <c r="G792" i="3" s="1"/>
  <c r="D792" i="3" s="1"/>
  <c r="F792" i="3"/>
  <c r="G791" i="3" a="1"/>
  <c r="G791" i="3" s="1"/>
  <c r="D791" i="3" s="1"/>
  <c r="F791" i="3"/>
  <c r="G790" i="3" a="1"/>
  <c r="G790" i="3" s="1"/>
  <c r="D790" i="3" s="1"/>
  <c r="F790" i="3"/>
  <c r="G789" i="3" a="1"/>
  <c r="G789" i="3" s="1"/>
  <c r="D789" i="3" s="1"/>
  <c r="F789" i="3"/>
  <c r="G788" i="3" a="1"/>
  <c r="G788" i="3" s="1"/>
  <c r="D788" i="3" s="1"/>
  <c r="F788" i="3"/>
  <c r="G787" i="3" a="1"/>
  <c r="G787" i="3" s="1"/>
  <c r="D787" i="3" s="1"/>
  <c r="F787" i="3"/>
  <c r="G786" i="3" a="1"/>
  <c r="G786" i="3" s="1"/>
  <c r="D786" i="3" s="1"/>
  <c r="F786" i="3"/>
  <c r="G785" i="3" a="1"/>
  <c r="G785" i="3" s="1"/>
  <c r="D785" i="3" s="1"/>
  <c r="F785" i="3"/>
  <c r="G784" i="3" a="1"/>
  <c r="G784" i="3" s="1"/>
  <c r="D784" i="3" s="1"/>
  <c r="F784" i="3"/>
  <c r="G783" i="3" a="1"/>
  <c r="G783" i="3" s="1"/>
  <c r="D783" i="3" s="1"/>
  <c r="F783" i="3"/>
  <c r="G782" i="3" a="1"/>
  <c r="G782" i="3" s="1"/>
  <c r="D782" i="3" s="1"/>
  <c r="F782" i="3"/>
  <c r="G781" i="3" a="1"/>
  <c r="G781" i="3" s="1"/>
  <c r="D781" i="3" s="1"/>
  <c r="F781" i="3"/>
  <c r="G780" i="3" a="1"/>
  <c r="G780" i="3" s="1"/>
  <c r="D780" i="3" s="1"/>
  <c r="F780" i="3"/>
  <c r="G779" i="3" a="1"/>
  <c r="G779" i="3" s="1"/>
  <c r="D779" i="3" s="1"/>
  <c r="F779" i="3"/>
  <c r="G778" i="3" a="1"/>
  <c r="G778" i="3" s="1"/>
  <c r="D778" i="3" s="1"/>
  <c r="F778" i="3"/>
  <c r="G777" i="3" a="1"/>
  <c r="G777" i="3" s="1"/>
  <c r="D777" i="3" s="1"/>
  <c r="F777" i="3"/>
  <c r="G776" i="3" a="1"/>
  <c r="G776" i="3" s="1"/>
  <c r="D776" i="3" s="1"/>
  <c r="F776" i="3"/>
  <c r="G775" i="3" a="1"/>
  <c r="G775" i="3" s="1"/>
  <c r="D775" i="3" s="1"/>
  <c r="F775" i="3"/>
  <c r="G774" i="3" a="1"/>
  <c r="G774" i="3" s="1"/>
  <c r="D774" i="3" s="1"/>
  <c r="F774" i="3"/>
  <c r="G773" i="3" a="1"/>
  <c r="G773" i="3" s="1"/>
  <c r="D773" i="3" s="1"/>
  <c r="F773" i="3"/>
  <c r="G772" i="3" a="1"/>
  <c r="G772" i="3" s="1"/>
  <c r="D772" i="3" s="1"/>
  <c r="F772" i="3"/>
  <c r="G771" i="3" a="1"/>
  <c r="G771" i="3" s="1"/>
  <c r="D771" i="3" s="1"/>
  <c r="F771" i="3"/>
  <c r="G770" i="3" a="1"/>
  <c r="G770" i="3" s="1"/>
  <c r="D770" i="3" s="1"/>
  <c r="F770" i="3"/>
  <c r="G769" i="3" a="1"/>
  <c r="G769" i="3" s="1"/>
  <c r="D769" i="3" s="1"/>
  <c r="F769" i="3"/>
  <c r="G768" i="3" a="1"/>
  <c r="G768" i="3" s="1"/>
  <c r="D768" i="3" s="1"/>
  <c r="F768" i="3"/>
  <c r="G767" i="3" a="1"/>
  <c r="G767" i="3" s="1"/>
  <c r="D767" i="3" s="1"/>
  <c r="F767" i="3"/>
  <c r="G766" i="3" a="1"/>
  <c r="G766" i="3" s="1"/>
  <c r="D766" i="3" s="1"/>
  <c r="F766" i="3"/>
  <c r="G765" i="3" a="1"/>
  <c r="G765" i="3" s="1"/>
  <c r="D765" i="3" s="1"/>
  <c r="F765" i="3"/>
  <c r="G764" i="3" a="1"/>
  <c r="G764" i="3" s="1"/>
  <c r="D764" i="3" s="1"/>
  <c r="F764" i="3"/>
  <c r="G763" i="3" a="1"/>
  <c r="G763" i="3" s="1"/>
  <c r="D763" i="3" s="1"/>
  <c r="F763" i="3"/>
  <c r="G762" i="3" a="1"/>
  <c r="G762" i="3" s="1"/>
  <c r="D762" i="3" s="1"/>
  <c r="F762" i="3"/>
  <c r="G761" i="3" a="1"/>
  <c r="G761" i="3" s="1"/>
  <c r="D761" i="3" s="1"/>
  <c r="F761" i="3"/>
  <c r="G760" i="3" a="1"/>
  <c r="G760" i="3" s="1"/>
  <c r="D760" i="3" s="1"/>
  <c r="F760" i="3"/>
  <c r="G759" i="3" a="1"/>
  <c r="G759" i="3" s="1"/>
  <c r="D759" i="3" s="1"/>
  <c r="F759" i="3"/>
  <c r="G758" i="3" a="1"/>
  <c r="G758" i="3" s="1"/>
  <c r="D758" i="3" s="1"/>
  <c r="F758" i="3"/>
  <c r="G757" i="3" a="1"/>
  <c r="G757" i="3" s="1"/>
  <c r="D757" i="3" s="1"/>
  <c r="F757" i="3"/>
  <c r="G756" i="3" a="1"/>
  <c r="G756" i="3" s="1"/>
  <c r="D756" i="3" s="1"/>
  <c r="F756" i="3"/>
  <c r="G755" i="3" a="1"/>
  <c r="G755" i="3" s="1"/>
  <c r="D755" i="3" s="1"/>
  <c r="F755" i="3"/>
  <c r="G754" i="3" a="1"/>
  <c r="G754" i="3" s="1"/>
  <c r="D754" i="3" s="1"/>
  <c r="F754" i="3"/>
  <c r="G753" i="3" a="1"/>
  <c r="G753" i="3" s="1"/>
  <c r="D753" i="3" s="1"/>
  <c r="F753" i="3"/>
  <c r="G752" i="3" a="1"/>
  <c r="G752" i="3" s="1"/>
  <c r="D752" i="3" s="1"/>
  <c r="F752" i="3"/>
  <c r="G751" i="3" a="1"/>
  <c r="G751" i="3" s="1"/>
  <c r="D751" i="3" s="1"/>
  <c r="F751" i="3"/>
  <c r="G750" i="3" a="1"/>
  <c r="G750" i="3" s="1"/>
  <c r="D750" i="3" s="1"/>
  <c r="F750" i="3"/>
  <c r="G749" i="3" a="1"/>
  <c r="G749" i="3" s="1"/>
  <c r="D749" i="3" s="1"/>
  <c r="F749" i="3"/>
  <c r="G748" i="3" a="1"/>
  <c r="G748" i="3" s="1"/>
  <c r="D748" i="3" s="1"/>
  <c r="F748" i="3"/>
  <c r="G747" i="3" a="1"/>
  <c r="G747" i="3" s="1"/>
  <c r="D747" i="3" s="1"/>
  <c r="F747" i="3"/>
  <c r="G746" i="3" a="1"/>
  <c r="G746" i="3" s="1"/>
  <c r="D746" i="3" s="1"/>
  <c r="F746" i="3"/>
  <c r="G745" i="3" a="1"/>
  <c r="G745" i="3" s="1"/>
  <c r="D745" i="3" s="1"/>
  <c r="F745" i="3"/>
  <c r="G744" i="3" a="1"/>
  <c r="G744" i="3" s="1"/>
  <c r="D744" i="3" s="1"/>
  <c r="F744" i="3"/>
  <c r="G743" i="3" a="1"/>
  <c r="G743" i="3" s="1"/>
  <c r="D743" i="3" s="1"/>
  <c r="F743" i="3"/>
  <c r="G742" i="3" a="1"/>
  <c r="G742" i="3" s="1"/>
  <c r="D742" i="3" s="1"/>
  <c r="F742" i="3"/>
  <c r="G741" i="3" a="1"/>
  <c r="G741" i="3" s="1"/>
  <c r="D741" i="3" s="1"/>
  <c r="F741" i="3"/>
  <c r="G740" i="3" a="1"/>
  <c r="G740" i="3" s="1"/>
  <c r="D740" i="3" s="1"/>
  <c r="F740" i="3"/>
  <c r="G739" i="3" a="1"/>
  <c r="G739" i="3" s="1"/>
  <c r="D739" i="3" s="1"/>
  <c r="F739" i="3"/>
  <c r="G738" i="3" a="1"/>
  <c r="G738" i="3" s="1"/>
  <c r="D738" i="3" s="1"/>
  <c r="F738" i="3"/>
  <c r="G737" i="3" a="1"/>
  <c r="G737" i="3" s="1"/>
  <c r="D737" i="3" s="1"/>
  <c r="F737" i="3"/>
  <c r="G736" i="3" a="1"/>
  <c r="G736" i="3" s="1"/>
  <c r="D736" i="3" s="1"/>
  <c r="F736" i="3"/>
  <c r="G735" i="3" a="1"/>
  <c r="G735" i="3" s="1"/>
  <c r="D735" i="3" s="1"/>
  <c r="F735" i="3"/>
  <c r="G734" i="3" a="1"/>
  <c r="G734" i="3" s="1"/>
  <c r="D734" i="3" s="1"/>
  <c r="F734" i="3"/>
  <c r="G733" i="3" a="1"/>
  <c r="G733" i="3" s="1"/>
  <c r="D733" i="3" s="1"/>
  <c r="F733" i="3"/>
  <c r="G732" i="3" a="1"/>
  <c r="G732" i="3" s="1"/>
  <c r="D732" i="3" s="1"/>
  <c r="F732" i="3"/>
  <c r="G731" i="3" a="1"/>
  <c r="G731" i="3" s="1"/>
  <c r="D731" i="3" s="1"/>
  <c r="F731" i="3"/>
  <c r="G730" i="3" a="1"/>
  <c r="G730" i="3" s="1"/>
  <c r="D730" i="3" s="1"/>
  <c r="F730" i="3"/>
  <c r="G729" i="3" a="1"/>
  <c r="G729" i="3" s="1"/>
  <c r="D729" i="3" s="1"/>
  <c r="F729" i="3"/>
  <c r="G728" i="3" a="1"/>
  <c r="G728" i="3" s="1"/>
  <c r="D728" i="3" s="1"/>
  <c r="F728" i="3"/>
  <c r="G727" i="3" a="1"/>
  <c r="G727" i="3" s="1"/>
  <c r="D727" i="3" s="1"/>
  <c r="F727" i="3"/>
  <c r="G726" i="3" a="1"/>
  <c r="G726" i="3" s="1"/>
  <c r="D726" i="3" s="1"/>
  <c r="F726" i="3"/>
  <c r="G725" i="3" a="1"/>
  <c r="G725" i="3" s="1"/>
  <c r="D725" i="3" s="1"/>
  <c r="F725" i="3"/>
  <c r="G724" i="3" a="1"/>
  <c r="G724" i="3" s="1"/>
  <c r="D724" i="3" s="1"/>
  <c r="F724" i="3"/>
  <c r="G723" i="3" a="1"/>
  <c r="G723" i="3" s="1"/>
  <c r="D723" i="3" s="1"/>
  <c r="F723" i="3"/>
  <c r="G722" i="3" a="1"/>
  <c r="G722" i="3" s="1"/>
  <c r="D722" i="3" s="1"/>
  <c r="F722" i="3"/>
  <c r="G721" i="3" a="1"/>
  <c r="G721" i="3" s="1"/>
  <c r="D721" i="3" s="1"/>
  <c r="F721" i="3"/>
  <c r="G720" i="3" a="1"/>
  <c r="G720" i="3" s="1"/>
  <c r="D720" i="3" s="1"/>
  <c r="F720" i="3"/>
  <c r="G719" i="3" a="1"/>
  <c r="G719" i="3" s="1"/>
  <c r="D719" i="3" s="1"/>
  <c r="F719" i="3"/>
  <c r="G718" i="3" a="1"/>
  <c r="G718" i="3" s="1"/>
  <c r="D718" i="3" s="1"/>
  <c r="F718" i="3"/>
  <c r="G717" i="3" a="1"/>
  <c r="G717" i="3" s="1"/>
  <c r="D717" i="3" s="1"/>
  <c r="F717" i="3"/>
  <c r="G716" i="3" a="1"/>
  <c r="G716" i="3" s="1"/>
  <c r="D716" i="3" s="1"/>
  <c r="F716" i="3"/>
  <c r="G715" i="3" a="1"/>
  <c r="G715" i="3" s="1"/>
  <c r="D715" i="3" s="1"/>
  <c r="F715" i="3"/>
  <c r="G714" i="3" a="1"/>
  <c r="G714" i="3" s="1"/>
  <c r="D714" i="3" s="1"/>
  <c r="F714" i="3"/>
  <c r="G713" i="3" a="1"/>
  <c r="G713" i="3" s="1"/>
  <c r="D713" i="3" s="1"/>
  <c r="F713" i="3"/>
  <c r="G712" i="3" a="1"/>
  <c r="G712" i="3" s="1"/>
  <c r="D712" i="3" s="1"/>
  <c r="F712" i="3"/>
  <c r="G711" i="3" a="1"/>
  <c r="G711" i="3" s="1"/>
  <c r="D711" i="3" s="1"/>
  <c r="F711" i="3"/>
  <c r="G710" i="3" a="1"/>
  <c r="G710" i="3" s="1"/>
  <c r="D710" i="3" s="1"/>
  <c r="F710" i="3"/>
  <c r="G709" i="3" a="1"/>
  <c r="G709" i="3" s="1"/>
  <c r="D709" i="3" s="1"/>
  <c r="F709" i="3"/>
  <c r="G708" i="3" a="1"/>
  <c r="G708" i="3" s="1"/>
  <c r="D708" i="3" s="1"/>
  <c r="F708" i="3"/>
  <c r="G707" i="3" a="1"/>
  <c r="G707" i="3" s="1"/>
  <c r="D707" i="3" s="1"/>
  <c r="F707" i="3"/>
  <c r="G706" i="3" a="1"/>
  <c r="G706" i="3" s="1"/>
  <c r="D706" i="3" s="1"/>
  <c r="F706" i="3"/>
  <c r="G705" i="3" a="1"/>
  <c r="G705" i="3" s="1"/>
  <c r="D705" i="3" s="1"/>
  <c r="F705" i="3"/>
  <c r="G704" i="3" a="1"/>
  <c r="G704" i="3" s="1"/>
  <c r="D704" i="3" s="1"/>
  <c r="F704" i="3"/>
  <c r="G703" i="3" a="1"/>
  <c r="G703" i="3" s="1"/>
  <c r="D703" i="3" s="1"/>
  <c r="F703" i="3"/>
  <c r="G702" i="3" a="1"/>
  <c r="G702" i="3" s="1"/>
  <c r="D702" i="3" s="1"/>
  <c r="F702" i="3"/>
  <c r="G701" i="3" a="1"/>
  <c r="G701" i="3" s="1"/>
  <c r="D701" i="3" s="1"/>
  <c r="F701" i="3"/>
  <c r="G700" i="3" a="1"/>
  <c r="G700" i="3" s="1"/>
  <c r="D700" i="3" s="1"/>
  <c r="F700" i="3"/>
  <c r="G699" i="3" a="1"/>
  <c r="G699" i="3" s="1"/>
  <c r="D699" i="3" s="1"/>
  <c r="F699" i="3"/>
  <c r="G698" i="3" a="1"/>
  <c r="G698" i="3" s="1"/>
  <c r="D698" i="3" s="1"/>
  <c r="F698" i="3"/>
  <c r="G697" i="3" a="1"/>
  <c r="G697" i="3" s="1"/>
  <c r="D697" i="3" s="1"/>
  <c r="F697" i="3"/>
  <c r="G696" i="3" a="1"/>
  <c r="G696" i="3" s="1"/>
  <c r="D696" i="3" s="1"/>
  <c r="F696" i="3"/>
  <c r="G695" i="3" a="1"/>
  <c r="G695" i="3" s="1"/>
  <c r="D695" i="3" s="1"/>
  <c r="F695" i="3"/>
  <c r="G694" i="3" a="1"/>
  <c r="G694" i="3" s="1"/>
  <c r="D694" i="3" s="1"/>
  <c r="F694" i="3"/>
  <c r="G693" i="3" a="1"/>
  <c r="G693" i="3" s="1"/>
  <c r="D693" i="3" s="1"/>
  <c r="F693" i="3"/>
  <c r="G692" i="3" a="1"/>
  <c r="G692" i="3" s="1"/>
  <c r="D692" i="3" s="1"/>
  <c r="F692" i="3"/>
  <c r="G691" i="3" a="1"/>
  <c r="G691" i="3" s="1"/>
  <c r="D691" i="3" s="1"/>
  <c r="F691" i="3"/>
  <c r="G690" i="3" a="1"/>
  <c r="G690" i="3" s="1"/>
  <c r="D690" i="3" s="1"/>
  <c r="F690" i="3"/>
  <c r="G689" i="3" a="1"/>
  <c r="G689" i="3" s="1"/>
  <c r="D689" i="3" s="1"/>
  <c r="F689" i="3"/>
  <c r="G688" i="3" a="1"/>
  <c r="G688" i="3" s="1"/>
  <c r="D688" i="3" s="1"/>
  <c r="F688" i="3"/>
  <c r="G687" i="3" a="1"/>
  <c r="G687" i="3" s="1"/>
  <c r="D687" i="3" s="1"/>
  <c r="F687" i="3"/>
  <c r="G686" i="3" a="1"/>
  <c r="G686" i="3" s="1"/>
  <c r="D686" i="3" s="1"/>
  <c r="F686" i="3"/>
  <c r="G685" i="3" a="1"/>
  <c r="G685" i="3" s="1"/>
  <c r="D685" i="3" s="1"/>
  <c r="F685" i="3"/>
  <c r="G684" i="3" a="1"/>
  <c r="G684" i="3" s="1"/>
  <c r="D684" i="3" s="1"/>
  <c r="F684" i="3"/>
  <c r="G683" i="3" a="1"/>
  <c r="G683" i="3" s="1"/>
  <c r="D683" i="3" s="1"/>
  <c r="F683" i="3"/>
  <c r="G682" i="3" a="1"/>
  <c r="G682" i="3" s="1"/>
  <c r="D682" i="3" s="1"/>
  <c r="F682" i="3"/>
  <c r="G681" i="3" a="1"/>
  <c r="G681" i="3" s="1"/>
  <c r="D681" i="3" s="1"/>
  <c r="F681" i="3"/>
  <c r="G680" i="3" a="1"/>
  <c r="G680" i="3" s="1"/>
  <c r="D680" i="3" s="1"/>
  <c r="F680" i="3"/>
  <c r="G679" i="3" a="1"/>
  <c r="G679" i="3" s="1"/>
  <c r="D679" i="3" s="1"/>
  <c r="F679" i="3"/>
  <c r="G678" i="3" a="1"/>
  <c r="G678" i="3" s="1"/>
  <c r="D678" i="3" s="1"/>
  <c r="F678" i="3"/>
  <c r="G677" i="3" a="1"/>
  <c r="G677" i="3" s="1"/>
  <c r="D677" i="3" s="1"/>
  <c r="F677" i="3"/>
  <c r="G676" i="3" a="1"/>
  <c r="G676" i="3" s="1"/>
  <c r="D676" i="3" s="1"/>
  <c r="F676" i="3"/>
  <c r="G675" i="3" a="1"/>
  <c r="G675" i="3" s="1"/>
  <c r="D675" i="3" s="1"/>
  <c r="F675" i="3"/>
  <c r="G674" i="3" a="1"/>
  <c r="G674" i="3" s="1"/>
  <c r="D674" i="3" s="1"/>
  <c r="F674" i="3"/>
  <c r="G673" i="3" a="1"/>
  <c r="G673" i="3" s="1"/>
  <c r="D673" i="3" s="1"/>
  <c r="F673" i="3"/>
  <c r="G672" i="3" a="1"/>
  <c r="G672" i="3" s="1"/>
  <c r="D672" i="3" s="1"/>
  <c r="F672" i="3"/>
  <c r="G671" i="3" a="1"/>
  <c r="G671" i="3" s="1"/>
  <c r="D671" i="3" s="1"/>
  <c r="F671" i="3"/>
  <c r="G670" i="3" a="1"/>
  <c r="G670" i="3" s="1"/>
  <c r="D670" i="3" s="1"/>
  <c r="F670" i="3"/>
  <c r="G669" i="3" a="1"/>
  <c r="G669" i="3" s="1"/>
  <c r="D669" i="3" s="1"/>
  <c r="F669" i="3"/>
  <c r="G668" i="3" a="1"/>
  <c r="G668" i="3" s="1"/>
  <c r="D668" i="3" s="1"/>
  <c r="F668" i="3"/>
  <c r="G667" i="3" a="1"/>
  <c r="G667" i="3" s="1"/>
  <c r="D667" i="3" s="1"/>
  <c r="F667" i="3"/>
  <c r="G666" i="3" a="1"/>
  <c r="G666" i="3" s="1"/>
  <c r="D666" i="3" s="1"/>
  <c r="F666" i="3"/>
  <c r="G665" i="3" a="1"/>
  <c r="G665" i="3" s="1"/>
  <c r="D665" i="3" s="1"/>
  <c r="F665" i="3"/>
  <c r="G664" i="3" a="1"/>
  <c r="G664" i="3" s="1"/>
  <c r="D664" i="3" s="1"/>
  <c r="F664" i="3"/>
  <c r="G663" i="3" a="1"/>
  <c r="G663" i="3" s="1"/>
  <c r="D663" i="3" s="1"/>
  <c r="F663" i="3"/>
  <c r="G662" i="3" a="1"/>
  <c r="G662" i="3" s="1"/>
  <c r="D662" i="3" s="1"/>
  <c r="F662" i="3"/>
  <c r="G661" i="3" a="1"/>
  <c r="G661" i="3" s="1"/>
  <c r="D661" i="3" s="1"/>
  <c r="F661" i="3"/>
  <c r="G660" i="3" a="1"/>
  <c r="G660" i="3" s="1"/>
  <c r="D660" i="3" s="1"/>
  <c r="F660" i="3"/>
  <c r="G659" i="3" a="1"/>
  <c r="G659" i="3" s="1"/>
  <c r="D659" i="3" s="1"/>
  <c r="F659" i="3"/>
  <c r="G658" i="3" a="1"/>
  <c r="G658" i="3" s="1"/>
  <c r="D658" i="3" s="1"/>
  <c r="F658" i="3"/>
  <c r="G657" i="3" a="1"/>
  <c r="G657" i="3" s="1"/>
  <c r="D657" i="3" s="1"/>
  <c r="F657" i="3"/>
  <c r="G656" i="3" a="1"/>
  <c r="G656" i="3" s="1"/>
  <c r="D656" i="3" s="1"/>
  <c r="F656" i="3"/>
  <c r="G655" i="3" a="1"/>
  <c r="G655" i="3" s="1"/>
  <c r="D655" i="3" s="1"/>
  <c r="F655" i="3"/>
  <c r="G654" i="3" a="1"/>
  <c r="G654" i="3" s="1"/>
  <c r="D654" i="3" s="1"/>
  <c r="F654" i="3"/>
  <c r="G653" i="3" a="1"/>
  <c r="G653" i="3" s="1"/>
  <c r="D653" i="3" s="1"/>
  <c r="F653" i="3"/>
  <c r="G652" i="3" a="1"/>
  <c r="G652" i="3" s="1"/>
  <c r="D652" i="3" s="1"/>
  <c r="F652" i="3"/>
  <c r="G651" i="3" a="1"/>
  <c r="G651" i="3" s="1"/>
  <c r="D651" i="3" s="1"/>
  <c r="F651" i="3"/>
  <c r="G650" i="3" a="1"/>
  <c r="G650" i="3" s="1"/>
  <c r="D650" i="3" s="1"/>
  <c r="F650" i="3"/>
  <c r="G649" i="3" a="1"/>
  <c r="G649" i="3" s="1"/>
  <c r="D649" i="3" s="1"/>
  <c r="F649" i="3"/>
  <c r="G648" i="3" a="1"/>
  <c r="G648" i="3" s="1"/>
  <c r="D648" i="3" s="1"/>
  <c r="F648" i="3"/>
  <c r="G647" i="3" a="1"/>
  <c r="G647" i="3" s="1"/>
  <c r="D647" i="3" s="1"/>
  <c r="F647" i="3"/>
  <c r="G646" i="3" a="1"/>
  <c r="G646" i="3" s="1"/>
  <c r="D646" i="3" s="1"/>
  <c r="F646" i="3"/>
  <c r="G645" i="3" a="1"/>
  <c r="G645" i="3" s="1"/>
  <c r="D645" i="3" s="1"/>
  <c r="F645" i="3"/>
  <c r="G644" i="3" a="1"/>
  <c r="G644" i="3" s="1"/>
  <c r="D644" i="3" s="1"/>
  <c r="F644" i="3"/>
  <c r="G643" i="3" a="1"/>
  <c r="G643" i="3" s="1"/>
  <c r="D643" i="3" s="1"/>
  <c r="F643" i="3"/>
  <c r="G642" i="3" a="1"/>
  <c r="G642" i="3" s="1"/>
  <c r="D642" i="3" s="1"/>
  <c r="F642" i="3"/>
  <c r="G641" i="3" a="1"/>
  <c r="G641" i="3" s="1"/>
  <c r="D641" i="3" s="1"/>
  <c r="F641" i="3"/>
  <c r="G640" i="3" a="1"/>
  <c r="G640" i="3" s="1"/>
  <c r="D640" i="3" s="1"/>
  <c r="F640" i="3"/>
  <c r="G639" i="3" a="1"/>
  <c r="G639" i="3" s="1"/>
  <c r="D639" i="3" s="1"/>
  <c r="F639" i="3"/>
  <c r="G638" i="3" a="1"/>
  <c r="G638" i="3" s="1"/>
  <c r="D638" i="3" s="1"/>
  <c r="F638" i="3"/>
  <c r="G637" i="3" a="1"/>
  <c r="G637" i="3" s="1"/>
  <c r="D637" i="3" s="1"/>
  <c r="F637" i="3"/>
  <c r="G636" i="3" a="1"/>
  <c r="G636" i="3" s="1"/>
  <c r="D636" i="3" s="1"/>
  <c r="F636" i="3"/>
  <c r="G635" i="3" a="1"/>
  <c r="G635" i="3" s="1"/>
  <c r="D635" i="3" s="1"/>
  <c r="F635" i="3"/>
  <c r="G634" i="3" a="1"/>
  <c r="G634" i="3" s="1"/>
  <c r="D634" i="3" s="1"/>
  <c r="F634" i="3"/>
  <c r="G633" i="3" a="1"/>
  <c r="G633" i="3" s="1"/>
  <c r="D633" i="3" s="1"/>
  <c r="F633" i="3"/>
  <c r="G632" i="3" a="1"/>
  <c r="G632" i="3" s="1"/>
  <c r="D632" i="3" s="1"/>
  <c r="F632" i="3"/>
  <c r="G631" i="3" a="1"/>
  <c r="G631" i="3" s="1"/>
  <c r="D631" i="3" s="1"/>
  <c r="F631" i="3"/>
  <c r="G630" i="3" a="1"/>
  <c r="G630" i="3" s="1"/>
  <c r="D630" i="3" s="1"/>
  <c r="F630" i="3"/>
  <c r="G629" i="3" a="1"/>
  <c r="G629" i="3" s="1"/>
  <c r="D629" i="3" s="1"/>
  <c r="F629" i="3"/>
  <c r="G628" i="3" a="1"/>
  <c r="G628" i="3" s="1"/>
  <c r="D628" i="3" s="1"/>
  <c r="F628" i="3"/>
  <c r="G627" i="3" a="1"/>
  <c r="G627" i="3" s="1"/>
  <c r="D627" i="3" s="1"/>
  <c r="F627" i="3"/>
  <c r="G626" i="3" a="1"/>
  <c r="G626" i="3" s="1"/>
  <c r="D626" i="3" s="1"/>
  <c r="F626" i="3"/>
  <c r="G625" i="3" a="1"/>
  <c r="G625" i="3" s="1"/>
  <c r="D625" i="3" s="1"/>
  <c r="F625" i="3"/>
  <c r="G624" i="3" a="1"/>
  <c r="G624" i="3" s="1"/>
  <c r="D624" i="3" s="1"/>
  <c r="F624" i="3"/>
  <c r="G623" i="3" a="1"/>
  <c r="G623" i="3" s="1"/>
  <c r="D623" i="3" s="1"/>
  <c r="F623" i="3"/>
  <c r="G622" i="3" a="1"/>
  <c r="G622" i="3" s="1"/>
  <c r="D622" i="3" s="1"/>
  <c r="F622" i="3"/>
  <c r="G621" i="3" a="1"/>
  <c r="G621" i="3" s="1"/>
  <c r="D621" i="3" s="1"/>
  <c r="F621" i="3"/>
  <c r="G620" i="3" a="1"/>
  <c r="G620" i="3" s="1"/>
  <c r="D620" i="3" s="1"/>
  <c r="F620" i="3"/>
  <c r="G619" i="3" a="1"/>
  <c r="G619" i="3" s="1"/>
  <c r="D619" i="3" s="1"/>
  <c r="F619" i="3"/>
  <c r="G618" i="3" a="1"/>
  <c r="G618" i="3" s="1"/>
  <c r="D618" i="3" s="1"/>
  <c r="F618" i="3"/>
  <c r="G617" i="3" a="1"/>
  <c r="G617" i="3" s="1"/>
  <c r="D617" i="3" s="1"/>
  <c r="F617" i="3"/>
  <c r="G616" i="3" a="1"/>
  <c r="G616" i="3" s="1"/>
  <c r="D616" i="3" s="1"/>
  <c r="F616" i="3"/>
  <c r="G615" i="3" a="1"/>
  <c r="G615" i="3" s="1"/>
  <c r="D615" i="3" s="1"/>
  <c r="F615" i="3"/>
  <c r="G614" i="3" a="1"/>
  <c r="G614" i="3" s="1"/>
  <c r="D614" i="3" s="1"/>
  <c r="F614" i="3"/>
  <c r="G613" i="3" a="1"/>
  <c r="G613" i="3" s="1"/>
  <c r="D613" i="3" s="1"/>
  <c r="F613" i="3"/>
  <c r="G612" i="3" a="1"/>
  <c r="G612" i="3" s="1"/>
  <c r="D612" i="3" s="1"/>
  <c r="F612" i="3"/>
  <c r="G611" i="3" a="1"/>
  <c r="G611" i="3" s="1"/>
  <c r="D611" i="3" s="1"/>
  <c r="F611" i="3"/>
  <c r="G610" i="3" a="1"/>
  <c r="G610" i="3" s="1"/>
  <c r="D610" i="3" s="1"/>
  <c r="F610" i="3"/>
  <c r="G609" i="3" a="1"/>
  <c r="G609" i="3" s="1"/>
  <c r="D609" i="3" s="1"/>
  <c r="F609" i="3"/>
  <c r="G608" i="3" a="1"/>
  <c r="G608" i="3" s="1"/>
  <c r="D608" i="3" s="1"/>
  <c r="F608" i="3"/>
  <c r="G607" i="3" a="1"/>
  <c r="G607" i="3" s="1"/>
  <c r="D607" i="3" s="1"/>
  <c r="F607" i="3"/>
  <c r="G606" i="3" a="1"/>
  <c r="G606" i="3" s="1"/>
  <c r="D606" i="3" s="1"/>
  <c r="F606" i="3"/>
  <c r="G605" i="3" a="1"/>
  <c r="G605" i="3" s="1"/>
  <c r="D605" i="3" s="1"/>
  <c r="F605" i="3"/>
  <c r="G604" i="3" a="1"/>
  <c r="G604" i="3" s="1"/>
  <c r="D604" i="3" s="1"/>
  <c r="F604" i="3"/>
  <c r="G603" i="3" a="1"/>
  <c r="G603" i="3" s="1"/>
  <c r="D603" i="3" s="1"/>
  <c r="F603" i="3"/>
  <c r="G602" i="3" a="1"/>
  <c r="G602" i="3" s="1"/>
  <c r="D602" i="3" s="1"/>
  <c r="F602" i="3"/>
  <c r="G601" i="3" a="1"/>
  <c r="G601" i="3" s="1"/>
  <c r="D601" i="3" s="1"/>
  <c r="F601" i="3"/>
  <c r="G600" i="3" a="1"/>
  <c r="G600" i="3" s="1"/>
  <c r="D600" i="3" s="1"/>
  <c r="F600" i="3"/>
  <c r="G599" i="3" a="1"/>
  <c r="G599" i="3" s="1"/>
  <c r="D599" i="3" s="1"/>
  <c r="F599" i="3"/>
  <c r="G598" i="3" a="1"/>
  <c r="G598" i="3" s="1"/>
  <c r="D598" i="3" s="1"/>
  <c r="F598" i="3"/>
  <c r="G597" i="3" a="1"/>
  <c r="G597" i="3" s="1"/>
  <c r="D597" i="3" s="1"/>
  <c r="F597" i="3"/>
  <c r="G596" i="3" a="1"/>
  <c r="G596" i="3" s="1"/>
  <c r="D596" i="3" s="1"/>
  <c r="F596" i="3"/>
  <c r="G595" i="3" a="1"/>
  <c r="G595" i="3" s="1"/>
  <c r="D595" i="3" s="1"/>
  <c r="F595" i="3"/>
  <c r="G594" i="3" a="1"/>
  <c r="G594" i="3" s="1"/>
  <c r="D594" i="3" s="1"/>
  <c r="F594" i="3"/>
  <c r="G593" i="3" a="1"/>
  <c r="G593" i="3" s="1"/>
  <c r="D593" i="3" s="1"/>
  <c r="F593" i="3"/>
  <c r="G592" i="3" a="1"/>
  <c r="G592" i="3" s="1"/>
  <c r="D592" i="3" s="1"/>
  <c r="F592" i="3"/>
  <c r="G591" i="3" a="1"/>
  <c r="G591" i="3" s="1"/>
  <c r="D591" i="3" s="1"/>
  <c r="F591" i="3"/>
  <c r="G590" i="3" a="1"/>
  <c r="G590" i="3" s="1"/>
  <c r="D590" i="3" s="1"/>
  <c r="F590" i="3"/>
  <c r="G589" i="3" a="1"/>
  <c r="G589" i="3" s="1"/>
  <c r="D589" i="3" s="1"/>
  <c r="F589" i="3"/>
  <c r="G588" i="3" a="1"/>
  <c r="G588" i="3" s="1"/>
  <c r="D588" i="3" s="1"/>
  <c r="F588" i="3"/>
  <c r="G587" i="3" a="1"/>
  <c r="G587" i="3" s="1"/>
  <c r="D587" i="3" s="1"/>
  <c r="F587" i="3"/>
  <c r="G586" i="3" a="1"/>
  <c r="G586" i="3" s="1"/>
  <c r="D586" i="3" s="1"/>
  <c r="F586" i="3"/>
  <c r="G585" i="3" a="1"/>
  <c r="G585" i="3" s="1"/>
  <c r="D585" i="3" s="1"/>
  <c r="F585" i="3"/>
  <c r="G584" i="3" a="1"/>
  <c r="G584" i="3" s="1"/>
  <c r="D584" i="3" s="1"/>
  <c r="F584" i="3"/>
  <c r="G583" i="3" a="1"/>
  <c r="G583" i="3" s="1"/>
  <c r="D583" i="3" s="1"/>
  <c r="F583" i="3"/>
  <c r="G582" i="3" a="1"/>
  <c r="G582" i="3" s="1"/>
  <c r="D582" i="3" s="1"/>
  <c r="F582" i="3"/>
  <c r="G581" i="3" a="1"/>
  <c r="G581" i="3" s="1"/>
  <c r="D581" i="3" s="1"/>
  <c r="F581" i="3"/>
  <c r="G580" i="3" a="1"/>
  <c r="G580" i="3" s="1"/>
  <c r="D580" i="3" s="1"/>
  <c r="F580" i="3"/>
  <c r="G579" i="3" a="1"/>
  <c r="G579" i="3" s="1"/>
  <c r="D579" i="3" s="1"/>
  <c r="F579" i="3"/>
  <c r="G578" i="3" a="1"/>
  <c r="G578" i="3" s="1"/>
  <c r="D578" i="3" s="1"/>
  <c r="F578" i="3"/>
  <c r="G577" i="3" a="1"/>
  <c r="G577" i="3" s="1"/>
  <c r="D577" i="3" s="1"/>
  <c r="F577" i="3"/>
  <c r="G576" i="3" a="1"/>
  <c r="G576" i="3" s="1"/>
  <c r="D576" i="3" s="1"/>
  <c r="F576" i="3"/>
  <c r="G575" i="3" a="1"/>
  <c r="G575" i="3" s="1"/>
  <c r="D575" i="3" s="1"/>
  <c r="F575" i="3"/>
  <c r="G574" i="3" a="1"/>
  <c r="G574" i="3" s="1"/>
  <c r="D574" i="3" s="1"/>
  <c r="F574" i="3"/>
  <c r="G573" i="3" a="1"/>
  <c r="G573" i="3" s="1"/>
  <c r="D573" i="3" s="1"/>
  <c r="F573" i="3"/>
  <c r="G572" i="3" a="1"/>
  <c r="G572" i="3" s="1"/>
  <c r="D572" i="3" s="1"/>
  <c r="F572" i="3"/>
  <c r="G571" i="3" a="1"/>
  <c r="G571" i="3" s="1"/>
  <c r="D571" i="3" s="1"/>
  <c r="F571" i="3"/>
  <c r="G570" i="3" a="1"/>
  <c r="G570" i="3" s="1"/>
  <c r="D570" i="3" s="1"/>
  <c r="F570" i="3"/>
  <c r="G569" i="3" a="1"/>
  <c r="G569" i="3" s="1"/>
  <c r="D569" i="3" s="1"/>
  <c r="F569" i="3"/>
  <c r="G568" i="3" a="1"/>
  <c r="G568" i="3" s="1"/>
  <c r="D568" i="3" s="1"/>
  <c r="F568" i="3"/>
  <c r="G567" i="3" a="1"/>
  <c r="G567" i="3" s="1"/>
  <c r="D567" i="3" s="1"/>
  <c r="F567" i="3"/>
  <c r="G566" i="3" a="1"/>
  <c r="G566" i="3" s="1"/>
  <c r="D566" i="3" s="1"/>
  <c r="F566" i="3"/>
  <c r="G565" i="3" a="1"/>
  <c r="G565" i="3" s="1"/>
  <c r="D565" i="3" s="1"/>
  <c r="F565" i="3"/>
  <c r="G564" i="3" a="1"/>
  <c r="G564" i="3" s="1"/>
  <c r="D564" i="3" s="1"/>
  <c r="F564" i="3"/>
  <c r="G563" i="3" a="1"/>
  <c r="G563" i="3" s="1"/>
  <c r="D563" i="3" s="1"/>
  <c r="F563" i="3"/>
  <c r="G562" i="3" a="1"/>
  <c r="G562" i="3" s="1"/>
  <c r="D562" i="3" s="1"/>
  <c r="F562" i="3"/>
  <c r="G561" i="3" a="1"/>
  <c r="G561" i="3" s="1"/>
  <c r="D561" i="3" s="1"/>
  <c r="F561" i="3"/>
  <c r="G560" i="3" a="1"/>
  <c r="G560" i="3" s="1"/>
  <c r="D560" i="3" s="1"/>
  <c r="F560" i="3"/>
  <c r="G559" i="3" a="1"/>
  <c r="G559" i="3" s="1"/>
  <c r="D559" i="3" s="1"/>
  <c r="F559" i="3"/>
  <c r="G558" i="3" a="1"/>
  <c r="G558" i="3" s="1"/>
  <c r="D558" i="3" s="1"/>
  <c r="F558" i="3"/>
  <c r="G557" i="3" a="1"/>
  <c r="G557" i="3" s="1"/>
  <c r="D557" i="3" s="1"/>
  <c r="F557" i="3"/>
  <c r="G556" i="3" a="1"/>
  <c r="G556" i="3" s="1"/>
  <c r="D556" i="3" s="1"/>
  <c r="F556" i="3"/>
  <c r="G555" i="3" a="1"/>
  <c r="G555" i="3" s="1"/>
  <c r="D555" i="3" s="1"/>
  <c r="F555" i="3"/>
  <c r="G554" i="3" a="1"/>
  <c r="G554" i="3" s="1"/>
  <c r="D554" i="3" s="1"/>
  <c r="F554" i="3"/>
  <c r="G553" i="3" a="1"/>
  <c r="G553" i="3" s="1"/>
  <c r="D553" i="3" s="1"/>
  <c r="F553" i="3"/>
  <c r="G552" i="3" a="1"/>
  <c r="G552" i="3" s="1"/>
  <c r="D552" i="3" s="1"/>
  <c r="F552" i="3"/>
  <c r="G551" i="3" a="1"/>
  <c r="G551" i="3" s="1"/>
  <c r="D551" i="3" s="1"/>
  <c r="F551" i="3"/>
  <c r="G550" i="3" a="1"/>
  <c r="G550" i="3" s="1"/>
  <c r="D550" i="3" s="1"/>
  <c r="F550" i="3"/>
  <c r="G549" i="3" a="1"/>
  <c r="G549" i="3" s="1"/>
  <c r="D549" i="3" s="1"/>
  <c r="F549" i="3"/>
  <c r="G548" i="3" a="1"/>
  <c r="G548" i="3" s="1"/>
  <c r="D548" i="3" s="1"/>
  <c r="F548" i="3"/>
  <c r="G547" i="3" a="1"/>
  <c r="G547" i="3" s="1"/>
  <c r="D547" i="3" s="1"/>
  <c r="F547" i="3"/>
  <c r="G546" i="3" a="1"/>
  <c r="G546" i="3" s="1"/>
  <c r="D546" i="3" s="1"/>
  <c r="F546" i="3"/>
  <c r="G545" i="3" a="1"/>
  <c r="G545" i="3" s="1"/>
  <c r="D545" i="3" s="1"/>
  <c r="F545" i="3"/>
  <c r="G544" i="3" a="1"/>
  <c r="G544" i="3" s="1"/>
  <c r="D544" i="3" s="1"/>
  <c r="F544" i="3"/>
  <c r="G543" i="3" a="1"/>
  <c r="G543" i="3" s="1"/>
  <c r="D543" i="3" s="1"/>
  <c r="F543" i="3"/>
  <c r="G542" i="3" a="1"/>
  <c r="G542" i="3" s="1"/>
  <c r="D542" i="3" s="1"/>
  <c r="F542" i="3"/>
  <c r="G541" i="3" a="1"/>
  <c r="G541" i="3" s="1"/>
  <c r="D541" i="3" s="1"/>
  <c r="F541" i="3"/>
  <c r="G540" i="3" a="1"/>
  <c r="G540" i="3" s="1"/>
  <c r="D540" i="3" s="1"/>
  <c r="F540" i="3"/>
  <c r="G539" i="3" a="1"/>
  <c r="G539" i="3" s="1"/>
  <c r="D539" i="3" s="1"/>
  <c r="F539" i="3"/>
  <c r="G538" i="3" a="1"/>
  <c r="G538" i="3" s="1"/>
  <c r="D538" i="3" s="1"/>
  <c r="F538" i="3"/>
  <c r="G537" i="3" a="1"/>
  <c r="G537" i="3" s="1"/>
  <c r="D537" i="3" s="1"/>
  <c r="F537" i="3"/>
  <c r="G536" i="3" a="1"/>
  <c r="G536" i="3" s="1"/>
  <c r="D536" i="3" s="1"/>
  <c r="F536" i="3"/>
  <c r="G535" i="3" a="1"/>
  <c r="G535" i="3" s="1"/>
  <c r="D535" i="3" s="1"/>
  <c r="F535" i="3"/>
  <c r="G534" i="3" a="1"/>
  <c r="G534" i="3" s="1"/>
  <c r="D534" i="3" s="1"/>
  <c r="F534" i="3"/>
  <c r="G533" i="3" a="1"/>
  <c r="G533" i="3" s="1"/>
  <c r="D533" i="3" s="1"/>
  <c r="F533" i="3"/>
  <c r="G532" i="3" a="1"/>
  <c r="G532" i="3" s="1"/>
  <c r="D532" i="3" s="1"/>
  <c r="F532" i="3"/>
  <c r="G531" i="3" a="1"/>
  <c r="G531" i="3" s="1"/>
  <c r="D531" i="3" s="1"/>
  <c r="F531" i="3"/>
  <c r="G530" i="3" a="1"/>
  <c r="G530" i="3" s="1"/>
  <c r="D530" i="3" s="1"/>
  <c r="F530" i="3"/>
  <c r="G529" i="3" a="1"/>
  <c r="G529" i="3" s="1"/>
  <c r="D529" i="3" s="1"/>
  <c r="F529" i="3"/>
  <c r="G528" i="3" a="1"/>
  <c r="G528" i="3" s="1"/>
  <c r="D528" i="3" s="1"/>
  <c r="F528" i="3"/>
  <c r="G527" i="3" a="1"/>
  <c r="G527" i="3" s="1"/>
  <c r="D527" i="3" s="1"/>
  <c r="F527" i="3"/>
  <c r="G526" i="3" a="1"/>
  <c r="G526" i="3" s="1"/>
  <c r="D526" i="3" s="1"/>
  <c r="F526" i="3"/>
  <c r="G525" i="3" a="1"/>
  <c r="G525" i="3" s="1"/>
  <c r="D525" i="3" s="1"/>
  <c r="F525" i="3"/>
  <c r="G524" i="3" a="1"/>
  <c r="G524" i="3" s="1"/>
  <c r="D524" i="3" s="1"/>
  <c r="F524" i="3"/>
  <c r="G523" i="3" a="1"/>
  <c r="G523" i="3" s="1"/>
  <c r="D523" i="3" s="1"/>
  <c r="F523" i="3"/>
  <c r="G522" i="3" a="1"/>
  <c r="G522" i="3" s="1"/>
  <c r="D522" i="3" s="1"/>
  <c r="F522" i="3"/>
  <c r="G521" i="3" a="1"/>
  <c r="G521" i="3" s="1"/>
  <c r="D521" i="3" s="1"/>
  <c r="F521" i="3"/>
  <c r="G520" i="3" a="1"/>
  <c r="G520" i="3" s="1"/>
  <c r="D520" i="3" s="1"/>
  <c r="F520" i="3"/>
  <c r="G519" i="3" a="1"/>
  <c r="G519" i="3" s="1"/>
  <c r="D519" i="3" s="1"/>
  <c r="F519" i="3"/>
  <c r="G518" i="3" a="1"/>
  <c r="G518" i="3" s="1"/>
  <c r="D518" i="3" s="1"/>
  <c r="F518" i="3"/>
  <c r="G517" i="3" a="1"/>
  <c r="G517" i="3" s="1"/>
  <c r="D517" i="3" s="1"/>
  <c r="F517" i="3"/>
  <c r="G516" i="3" a="1"/>
  <c r="G516" i="3" s="1"/>
  <c r="D516" i="3" s="1"/>
  <c r="F516" i="3"/>
  <c r="G515" i="3" a="1"/>
  <c r="G515" i="3" s="1"/>
  <c r="D515" i="3" s="1"/>
  <c r="F515" i="3"/>
  <c r="G514" i="3" a="1"/>
  <c r="G514" i="3" s="1"/>
  <c r="D514" i="3" s="1"/>
  <c r="F514" i="3"/>
  <c r="G513" i="3" a="1"/>
  <c r="G513" i="3" s="1"/>
  <c r="D513" i="3" s="1"/>
  <c r="F513" i="3"/>
  <c r="G512" i="3" a="1"/>
  <c r="G512" i="3" s="1"/>
  <c r="D512" i="3" s="1"/>
  <c r="F512" i="3"/>
  <c r="G511" i="3" a="1"/>
  <c r="G511" i="3" s="1"/>
  <c r="D511" i="3" s="1"/>
  <c r="F511" i="3"/>
  <c r="G510" i="3" a="1"/>
  <c r="G510" i="3" s="1"/>
  <c r="D510" i="3" s="1"/>
  <c r="F510" i="3"/>
  <c r="G509" i="3" a="1"/>
  <c r="G509" i="3" s="1"/>
  <c r="D509" i="3" s="1"/>
  <c r="F509" i="3"/>
  <c r="G508" i="3" a="1"/>
  <c r="G508" i="3" s="1"/>
  <c r="D508" i="3" s="1"/>
  <c r="F508" i="3"/>
  <c r="G507" i="3" a="1"/>
  <c r="G507" i="3" s="1"/>
  <c r="D507" i="3" s="1"/>
  <c r="F507" i="3"/>
  <c r="G506" i="3" a="1"/>
  <c r="G506" i="3" s="1"/>
  <c r="D506" i="3" s="1"/>
  <c r="F506" i="3"/>
  <c r="G505" i="3" a="1"/>
  <c r="G505" i="3" s="1"/>
  <c r="D505" i="3" s="1"/>
  <c r="F505" i="3"/>
  <c r="G504" i="3" a="1"/>
  <c r="G504" i="3" s="1"/>
  <c r="D504" i="3" s="1"/>
  <c r="F504" i="3"/>
  <c r="G503" i="3" a="1"/>
  <c r="G503" i="3" s="1"/>
  <c r="D503" i="3" s="1"/>
  <c r="F503" i="3"/>
  <c r="G502" i="3" a="1"/>
  <c r="G502" i="3" s="1"/>
  <c r="D502" i="3" s="1"/>
  <c r="F502" i="3"/>
  <c r="G501" i="3" a="1"/>
  <c r="G501" i="3" s="1"/>
  <c r="D501" i="3" s="1"/>
  <c r="F501" i="3"/>
  <c r="G500" i="3" a="1"/>
  <c r="G500" i="3" s="1"/>
  <c r="D500" i="3" s="1"/>
  <c r="F500" i="3"/>
  <c r="G499" i="3" a="1"/>
  <c r="G499" i="3" s="1"/>
  <c r="D499" i="3" s="1"/>
  <c r="F499" i="3"/>
  <c r="G498" i="3" a="1"/>
  <c r="G498" i="3" s="1"/>
  <c r="D498" i="3" s="1"/>
  <c r="F498" i="3"/>
  <c r="G497" i="3" a="1"/>
  <c r="G497" i="3" s="1"/>
  <c r="D497" i="3" s="1"/>
  <c r="F497" i="3"/>
  <c r="G496" i="3" a="1"/>
  <c r="G496" i="3" s="1"/>
  <c r="D496" i="3" s="1"/>
  <c r="F496" i="3"/>
  <c r="G495" i="3" a="1"/>
  <c r="G495" i="3" s="1"/>
  <c r="D495" i="3" s="1"/>
  <c r="F495" i="3"/>
  <c r="G494" i="3" a="1"/>
  <c r="G494" i="3" s="1"/>
  <c r="D494" i="3" s="1"/>
  <c r="F494" i="3"/>
  <c r="G493" i="3" a="1"/>
  <c r="G493" i="3" s="1"/>
  <c r="D493" i="3" s="1"/>
  <c r="F493" i="3"/>
  <c r="G492" i="3" a="1"/>
  <c r="G492" i="3" s="1"/>
  <c r="D492" i="3" s="1"/>
  <c r="F492" i="3"/>
  <c r="G491" i="3" a="1"/>
  <c r="G491" i="3" s="1"/>
  <c r="D491" i="3" s="1"/>
  <c r="F491" i="3"/>
  <c r="G490" i="3" a="1"/>
  <c r="G490" i="3" s="1"/>
  <c r="D490" i="3" s="1"/>
  <c r="F490" i="3"/>
  <c r="G489" i="3" a="1"/>
  <c r="G489" i="3" s="1"/>
  <c r="D489" i="3" s="1"/>
  <c r="F489" i="3"/>
  <c r="G488" i="3" a="1"/>
  <c r="G488" i="3" s="1"/>
  <c r="D488" i="3" s="1"/>
  <c r="F488" i="3"/>
  <c r="G487" i="3" a="1"/>
  <c r="G487" i="3" s="1"/>
  <c r="D487" i="3" s="1"/>
  <c r="F487" i="3"/>
  <c r="G486" i="3" a="1"/>
  <c r="G486" i="3" s="1"/>
  <c r="D486" i="3" s="1"/>
  <c r="F486" i="3"/>
  <c r="G485" i="3" a="1"/>
  <c r="G485" i="3" s="1"/>
  <c r="D485" i="3" s="1"/>
  <c r="F485" i="3"/>
  <c r="G484" i="3" a="1"/>
  <c r="G484" i="3" s="1"/>
  <c r="D484" i="3" s="1"/>
  <c r="F484" i="3"/>
  <c r="G483" i="3" a="1"/>
  <c r="G483" i="3" s="1"/>
  <c r="D483" i="3" s="1"/>
  <c r="F483" i="3"/>
  <c r="G482" i="3" a="1"/>
  <c r="G482" i="3" s="1"/>
  <c r="D482" i="3" s="1"/>
  <c r="F482" i="3"/>
  <c r="G481" i="3" a="1"/>
  <c r="G481" i="3" s="1"/>
  <c r="D481" i="3" s="1"/>
  <c r="F481" i="3"/>
  <c r="G480" i="3" a="1"/>
  <c r="G480" i="3" s="1"/>
  <c r="D480" i="3" s="1"/>
  <c r="F480" i="3"/>
  <c r="G479" i="3" a="1"/>
  <c r="G479" i="3" s="1"/>
  <c r="D479" i="3" s="1"/>
  <c r="F479" i="3"/>
  <c r="G478" i="3" a="1"/>
  <c r="G478" i="3" s="1"/>
  <c r="D478" i="3" s="1"/>
  <c r="F478" i="3"/>
  <c r="G477" i="3" a="1"/>
  <c r="G477" i="3" s="1"/>
  <c r="D477" i="3" s="1"/>
  <c r="F477" i="3"/>
  <c r="G476" i="3" a="1"/>
  <c r="G476" i="3" s="1"/>
  <c r="D476" i="3" s="1"/>
  <c r="F476" i="3"/>
  <c r="G475" i="3" a="1"/>
  <c r="G475" i="3" s="1"/>
  <c r="D475" i="3" s="1"/>
  <c r="F475" i="3"/>
  <c r="G474" i="3" a="1"/>
  <c r="G474" i="3" s="1"/>
  <c r="D474" i="3" s="1"/>
  <c r="F474" i="3"/>
  <c r="G473" i="3" a="1"/>
  <c r="G473" i="3" s="1"/>
  <c r="D473" i="3" s="1"/>
  <c r="F473" i="3"/>
  <c r="G472" i="3" a="1"/>
  <c r="G472" i="3" s="1"/>
  <c r="D472" i="3" s="1"/>
  <c r="F472" i="3"/>
  <c r="G471" i="3" a="1"/>
  <c r="G471" i="3" s="1"/>
  <c r="D471" i="3" s="1"/>
  <c r="F471" i="3"/>
  <c r="G470" i="3" a="1"/>
  <c r="G470" i="3" s="1"/>
  <c r="D470" i="3" s="1"/>
  <c r="F470" i="3"/>
  <c r="G469" i="3" a="1"/>
  <c r="G469" i="3" s="1"/>
  <c r="D469" i="3" s="1"/>
  <c r="F469" i="3"/>
  <c r="G468" i="3" a="1"/>
  <c r="G468" i="3" s="1"/>
  <c r="D468" i="3" s="1"/>
  <c r="F468" i="3"/>
  <c r="G467" i="3" a="1"/>
  <c r="G467" i="3" s="1"/>
  <c r="D467" i="3" s="1"/>
  <c r="F467" i="3"/>
  <c r="G466" i="3" a="1"/>
  <c r="G466" i="3" s="1"/>
  <c r="D466" i="3" s="1"/>
  <c r="F466" i="3"/>
  <c r="G465" i="3" a="1"/>
  <c r="G465" i="3" s="1"/>
  <c r="D465" i="3" s="1"/>
  <c r="F465" i="3"/>
  <c r="G464" i="3" a="1"/>
  <c r="G464" i="3" s="1"/>
  <c r="D464" i="3" s="1"/>
  <c r="F464" i="3"/>
  <c r="G463" i="3" a="1"/>
  <c r="G463" i="3" s="1"/>
  <c r="D463" i="3" s="1"/>
  <c r="F463" i="3"/>
  <c r="G462" i="3" a="1"/>
  <c r="G462" i="3" s="1"/>
  <c r="D462" i="3" s="1"/>
  <c r="F462" i="3"/>
  <c r="G461" i="3" a="1"/>
  <c r="G461" i="3" s="1"/>
  <c r="D461" i="3" s="1"/>
  <c r="F461" i="3"/>
  <c r="G460" i="3" a="1"/>
  <c r="G460" i="3" s="1"/>
  <c r="D460" i="3" s="1"/>
  <c r="F460" i="3"/>
  <c r="G459" i="3" a="1"/>
  <c r="G459" i="3" s="1"/>
  <c r="D459" i="3" s="1"/>
  <c r="F459" i="3"/>
  <c r="G458" i="3" a="1"/>
  <c r="G458" i="3" s="1"/>
  <c r="D458" i="3" s="1"/>
  <c r="F458" i="3"/>
  <c r="G457" i="3" a="1"/>
  <c r="G457" i="3" s="1"/>
  <c r="D457" i="3" s="1"/>
  <c r="F457" i="3"/>
  <c r="G456" i="3" a="1"/>
  <c r="G456" i="3" s="1"/>
  <c r="D456" i="3" s="1"/>
  <c r="F456" i="3"/>
  <c r="G455" i="3" a="1"/>
  <c r="G455" i="3" s="1"/>
  <c r="D455" i="3" s="1"/>
  <c r="F455" i="3"/>
  <c r="G454" i="3" a="1"/>
  <c r="G454" i="3" s="1"/>
  <c r="D454" i="3" s="1"/>
  <c r="F454" i="3"/>
  <c r="G453" i="3" a="1"/>
  <c r="G453" i="3" s="1"/>
  <c r="D453" i="3" s="1"/>
  <c r="F453" i="3"/>
  <c r="G452" i="3" a="1"/>
  <c r="G452" i="3" s="1"/>
  <c r="D452" i="3" s="1"/>
  <c r="F452" i="3"/>
  <c r="G451" i="3" a="1"/>
  <c r="G451" i="3" s="1"/>
  <c r="D451" i="3" s="1"/>
  <c r="F451" i="3"/>
  <c r="G450" i="3" a="1"/>
  <c r="G450" i="3" s="1"/>
  <c r="D450" i="3" s="1"/>
  <c r="F450" i="3"/>
  <c r="G449" i="3" a="1"/>
  <c r="G449" i="3" s="1"/>
  <c r="D449" i="3" s="1"/>
  <c r="F449" i="3"/>
  <c r="G448" i="3" a="1"/>
  <c r="G448" i="3" s="1"/>
  <c r="D448" i="3" s="1"/>
  <c r="F448" i="3"/>
  <c r="G447" i="3" a="1"/>
  <c r="G447" i="3" s="1"/>
  <c r="D447" i="3" s="1"/>
  <c r="F447" i="3"/>
  <c r="G446" i="3" a="1"/>
  <c r="G446" i="3" s="1"/>
  <c r="D446" i="3" s="1"/>
  <c r="F446" i="3"/>
  <c r="G445" i="3" a="1"/>
  <c r="G445" i="3" s="1"/>
  <c r="D445" i="3" s="1"/>
  <c r="F445" i="3"/>
  <c r="G444" i="3" a="1"/>
  <c r="G444" i="3" s="1"/>
  <c r="D444" i="3" s="1"/>
  <c r="F444" i="3"/>
  <c r="G443" i="3" a="1"/>
  <c r="G443" i="3" s="1"/>
  <c r="D443" i="3" s="1"/>
  <c r="F443" i="3"/>
  <c r="G442" i="3" a="1"/>
  <c r="G442" i="3" s="1"/>
  <c r="D442" i="3" s="1"/>
  <c r="F442" i="3"/>
  <c r="G441" i="3" a="1"/>
  <c r="G441" i="3" s="1"/>
  <c r="D441" i="3" s="1"/>
  <c r="F441" i="3"/>
  <c r="G440" i="3" a="1"/>
  <c r="G440" i="3" s="1"/>
  <c r="D440" i="3" s="1"/>
  <c r="F440" i="3"/>
  <c r="G439" i="3" a="1"/>
  <c r="G439" i="3" s="1"/>
  <c r="D439" i="3" s="1"/>
  <c r="F439" i="3"/>
  <c r="G438" i="3" a="1"/>
  <c r="G438" i="3" s="1"/>
  <c r="D438" i="3" s="1"/>
  <c r="F438" i="3"/>
  <c r="G437" i="3" a="1"/>
  <c r="G437" i="3" s="1"/>
  <c r="D437" i="3" s="1"/>
  <c r="F437" i="3"/>
  <c r="G436" i="3" a="1"/>
  <c r="G436" i="3" s="1"/>
  <c r="D436" i="3" s="1"/>
  <c r="F436" i="3"/>
  <c r="G435" i="3" a="1"/>
  <c r="G435" i="3" s="1"/>
  <c r="D435" i="3" s="1"/>
  <c r="F435" i="3"/>
  <c r="G434" i="3" a="1"/>
  <c r="G434" i="3" s="1"/>
  <c r="D434" i="3" s="1"/>
  <c r="F434" i="3"/>
  <c r="G433" i="3" a="1"/>
  <c r="G433" i="3" s="1"/>
  <c r="D433" i="3" s="1"/>
  <c r="F433" i="3"/>
  <c r="G432" i="3" a="1"/>
  <c r="G432" i="3" s="1"/>
  <c r="D432" i="3" s="1"/>
  <c r="F432" i="3"/>
  <c r="G431" i="3" a="1"/>
  <c r="G431" i="3" s="1"/>
  <c r="D431" i="3" s="1"/>
  <c r="F431" i="3"/>
  <c r="G430" i="3" a="1"/>
  <c r="G430" i="3" s="1"/>
  <c r="D430" i="3" s="1"/>
  <c r="F430" i="3"/>
  <c r="G429" i="3" a="1"/>
  <c r="G429" i="3" s="1"/>
  <c r="D429" i="3" s="1"/>
  <c r="F429" i="3"/>
  <c r="G428" i="3" a="1"/>
  <c r="G428" i="3" s="1"/>
  <c r="D428" i="3" s="1"/>
  <c r="F428" i="3"/>
  <c r="G427" i="3" a="1"/>
  <c r="G427" i="3" s="1"/>
  <c r="D427" i="3" s="1"/>
  <c r="F427" i="3"/>
  <c r="G426" i="3" a="1"/>
  <c r="G426" i="3" s="1"/>
  <c r="D426" i="3" s="1"/>
  <c r="F426" i="3"/>
  <c r="G425" i="3" a="1"/>
  <c r="G425" i="3" s="1"/>
  <c r="D425" i="3" s="1"/>
  <c r="F425" i="3"/>
  <c r="G424" i="3" a="1"/>
  <c r="G424" i="3" s="1"/>
  <c r="D424" i="3" s="1"/>
  <c r="F424" i="3"/>
  <c r="G423" i="3" a="1"/>
  <c r="G423" i="3" s="1"/>
  <c r="D423" i="3" s="1"/>
  <c r="F423" i="3"/>
  <c r="G422" i="3" a="1"/>
  <c r="G422" i="3" s="1"/>
  <c r="D422" i="3" s="1"/>
  <c r="F422" i="3"/>
  <c r="G421" i="3" a="1"/>
  <c r="G421" i="3" s="1"/>
  <c r="D421" i="3" s="1"/>
  <c r="F421" i="3"/>
  <c r="G420" i="3" a="1"/>
  <c r="G420" i="3" s="1"/>
  <c r="D420" i="3" s="1"/>
  <c r="F420" i="3"/>
  <c r="G419" i="3" a="1"/>
  <c r="G419" i="3" s="1"/>
  <c r="D419" i="3" s="1"/>
  <c r="F419" i="3"/>
  <c r="G418" i="3" a="1"/>
  <c r="G418" i="3" s="1"/>
  <c r="D418" i="3" s="1"/>
  <c r="F418" i="3"/>
  <c r="G417" i="3" a="1"/>
  <c r="G417" i="3" s="1"/>
  <c r="D417" i="3" s="1"/>
  <c r="F417" i="3"/>
  <c r="G416" i="3" a="1"/>
  <c r="G416" i="3" s="1"/>
  <c r="D416" i="3" s="1"/>
  <c r="F416" i="3"/>
  <c r="G415" i="3" a="1"/>
  <c r="G415" i="3" s="1"/>
  <c r="D415" i="3" s="1"/>
  <c r="F415" i="3"/>
  <c r="G414" i="3" a="1"/>
  <c r="G414" i="3" s="1"/>
  <c r="D414" i="3" s="1"/>
  <c r="F414" i="3"/>
  <c r="G413" i="3" a="1"/>
  <c r="G413" i="3" s="1"/>
  <c r="D413" i="3" s="1"/>
  <c r="F413" i="3"/>
  <c r="G412" i="3" a="1"/>
  <c r="G412" i="3" s="1"/>
  <c r="D412" i="3" s="1"/>
  <c r="F412" i="3"/>
  <c r="G411" i="3" a="1"/>
  <c r="G411" i="3" s="1"/>
  <c r="D411" i="3" s="1"/>
  <c r="F411" i="3"/>
  <c r="G410" i="3" a="1"/>
  <c r="G410" i="3" s="1"/>
  <c r="D410" i="3" s="1"/>
  <c r="F410" i="3"/>
  <c r="G409" i="3" a="1"/>
  <c r="G409" i="3" s="1"/>
  <c r="D409" i="3" s="1"/>
  <c r="F409" i="3"/>
  <c r="G408" i="3" a="1"/>
  <c r="G408" i="3" s="1"/>
  <c r="D408" i="3" s="1"/>
  <c r="F408" i="3"/>
  <c r="G407" i="3" a="1"/>
  <c r="G407" i="3" s="1"/>
  <c r="D407" i="3" s="1"/>
  <c r="F407" i="3"/>
  <c r="G406" i="3" a="1"/>
  <c r="G406" i="3" s="1"/>
  <c r="D406" i="3" s="1"/>
  <c r="F406" i="3"/>
  <c r="G405" i="3" a="1"/>
  <c r="G405" i="3" s="1"/>
  <c r="D405" i="3" s="1"/>
  <c r="F405" i="3"/>
  <c r="G404" i="3" a="1"/>
  <c r="G404" i="3" s="1"/>
  <c r="D404" i="3" s="1"/>
  <c r="F404" i="3"/>
  <c r="G403" i="3" a="1"/>
  <c r="G403" i="3" s="1"/>
  <c r="D403" i="3" s="1"/>
  <c r="F403" i="3"/>
  <c r="G402" i="3" a="1"/>
  <c r="G402" i="3" s="1"/>
  <c r="D402" i="3" s="1"/>
  <c r="F402" i="3"/>
  <c r="G401" i="3" a="1"/>
  <c r="G401" i="3" s="1"/>
  <c r="D401" i="3" s="1"/>
  <c r="F401" i="3"/>
  <c r="G400" i="3" a="1"/>
  <c r="G400" i="3" s="1"/>
  <c r="D400" i="3" s="1"/>
  <c r="F400" i="3"/>
  <c r="G399" i="3" a="1"/>
  <c r="G399" i="3" s="1"/>
  <c r="D399" i="3" s="1"/>
  <c r="F399" i="3"/>
  <c r="G398" i="3" a="1"/>
  <c r="G398" i="3" s="1"/>
  <c r="D398" i="3" s="1"/>
  <c r="F398" i="3"/>
  <c r="G397" i="3" a="1"/>
  <c r="G397" i="3" s="1"/>
  <c r="D397" i="3" s="1"/>
  <c r="F397" i="3"/>
  <c r="G396" i="3" a="1"/>
  <c r="G396" i="3" s="1"/>
  <c r="D396" i="3" s="1"/>
  <c r="F396" i="3"/>
  <c r="G395" i="3" a="1"/>
  <c r="G395" i="3" s="1"/>
  <c r="D395" i="3" s="1"/>
  <c r="F395" i="3"/>
  <c r="G394" i="3" a="1"/>
  <c r="G394" i="3" s="1"/>
  <c r="D394" i="3" s="1"/>
  <c r="F394" i="3"/>
  <c r="G393" i="3" a="1"/>
  <c r="G393" i="3" s="1"/>
  <c r="D393" i="3" s="1"/>
  <c r="F393" i="3"/>
  <c r="G392" i="3" a="1"/>
  <c r="G392" i="3" s="1"/>
  <c r="D392" i="3" s="1"/>
  <c r="F392" i="3"/>
  <c r="G391" i="3" a="1"/>
  <c r="G391" i="3" s="1"/>
  <c r="D391" i="3" s="1"/>
  <c r="F391" i="3"/>
  <c r="G390" i="3" a="1"/>
  <c r="G390" i="3" s="1"/>
  <c r="D390" i="3" s="1"/>
  <c r="F390" i="3"/>
  <c r="G389" i="3" a="1"/>
  <c r="G389" i="3" s="1"/>
  <c r="D389" i="3" s="1"/>
  <c r="F389" i="3"/>
  <c r="G388" i="3" a="1"/>
  <c r="G388" i="3" s="1"/>
  <c r="D388" i="3" s="1"/>
  <c r="F388" i="3"/>
  <c r="G387" i="3" a="1"/>
  <c r="G387" i="3" s="1"/>
  <c r="D387" i="3" s="1"/>
  <c r="F387" i="3"/>
  <c r="G386" i="3" a="1"/>
  <c r="G386" i="3" s="1"/>
  <c r="D386" i="3" s="1"/>
  <c r="F386" i="3"/>
  <c r="G385" i="3" a="1"/>
  <c r="G385" i="3" s="1"/>
  <c r="D385" i="3" s="1"/>
  <c r="F385" i="3"/>
  <c r="G384" i="3" a="1"/>
  <c r="G384" i="3" s="1"/>
  <c r="D384" i="3" s="1"/>
  <c r="F384" i="3"/>
  <c r="G383" i="3" a="1"/>
  <c r="G383" i="3" s="1"/>
  <c r="D383" i="3" s="1"/>
  <c r="F383" i="3"/>
  <c r="G382" i="3" a="1"/>
  <c r="G382" i="3" s="1"/>
  <c r="D382" i="3" s="1"/>
  <c r="F382" i="3"/>
  <c r="G381" i="3" a="1"/>
  <c r="G381" i="3" s="1"/>
  <c r="D381" i="3" s="1"/>
  <c r="F381" i="3"/>
  <c r="G380" i="3" a="1"/>
  <c r="G380" i="3" s="1"/>
  <c r="D380" i="3" s="1"/>
  <c r="F380" i="3"/>
  <c r="G379" i="3" a="1"/>
  <c r="G379" i="3" s="1"/>
  <c r="D379" i="3" s="1"/>
  <c r="F379" i="3"/>
  <c r="G378" i="3" a="1"/>
  <c r="G378" i="3" s="1"/>
  <c r="D378" i="3" s="1"/>
  <c r="F378" i="3"/>
  <c r="G377" i="3" a="1"/>
  <c r="G377" i="3" s="1"/>
  <c r="D377" i="3" s="1"/>
  <c r="F377" i="3"/>
  <c r="G376" i="3" a="1"/>
  <c r="G376" i="3" s="1"/>
  <c r="D376" i="3" s="1"/>
  <c r="F376" i="3"/>
  <c r="G375" i="3" a="1"/>
  <c r="G375" i="3" s="1"/>
  <c r="D375" i="3" s="1"/>
  <c r="F375" i="3"/>
  <c r="G374" i="3" a="1"/>
  <c r="G374" i="3" s="1"/>
  <c r="D374" i="3" s="1"/>
  <c r="F374" i="3"/>
  <c r="G373" i="3" a="1"/>
  <c r="G373" i="3" s="1"/>
  <c r="D373" i="3" s="1"/>
  <c r="F373" i="3"/>
  <c r="G372" i="3" a="1"/>
  <c r="G372" i="3" s="1"/>
  <c r="D372" i="3" s="1"/>
  <c r="F372" i="3"/>
  <c r="G371" i="3" a="1"/>
  <c r="G371" i="3" s="1"/>
  <c r="D371" i="3" s="1"/>
  <c r="F371" i="3"/>
  <c r="G370" i="3" a="1"/>
  <c r="G370" i="3" s="1"/>
  <c r="D370" i="3" s="1"/>
  <c r="F370" i="3"/>
  <c r="G369" i="3" a="1"/>
  <c r="G369" i="3" s="1"/>
  <c r="D369" i="3" s="1"/>
  <c r="F369" i="3"/>
  <c r="G368" i="3" a="1"/>
  <c r="G368" i="3" s="1"/>
  <c r="D368" i="3" s="1"/>
  <c r="F368" i="3"/>
  <c r="G367" i="3" a="1"/>
  <c r="G367" i="3" s="1"/>
  <c r="D367" i="3" s="1"/>
  <c r="F367" i="3"/>
  <c r="G366" i="3" a="1"/>
  <c r="G366" i="3" s="1"/>
  <c r="D366" i="3" s="1"/>
  <c r="F366" i="3"/>
  <c r="G365" i="3" a="1"/>
  <c r="G365" i="3" s="1"/>
  <c r="D365" i="3" s="1"/>
  <c r="F365" i="3"/>
  <c r="G364" i="3" a="1"/>
  <c r="G364" i="3" s="1"/>
  <c r="D364" i="3" s="1"/>
  <c r="F364" i="3"/>
  <c r="G363" i="3" a="1"/>
  <c r="G363" i="3" s="1"/>
  <c r="D363" i="3" s="1"/>
  <c r="F363" i="3"/>
  <c r="G362" i="3" a="1"/>
  <c r="G362" i="3" s="1"/>
  <c r="D362" i="3" s="1"/>
  <c r="F362" i="3"/>
  <c r="G361" i="3" a="1"/>
  <c r="G361" i="3" s="1"/>
  <c r="D361" i="3" s="1"/>
  <c r="F361" i="3"/>
  <c r="G360" i="3" a="1"/>
  <c r="G360" i="3" s="1"/>
  <c r="D360" i="3" s="1"/>
  <c r="F360" i="3"/>
  <c r="G359" i="3" a="1"/>
  <c r="G359" i="3" s="1"/>
  <c r="D359" i="3" s="1"/>
  <c r="F359" i="3"/>
  <c r="G358" i="3" a="1"/>
  <c r="G358" i="3" s="1"/>
  <c r="D358" i="3" s="1"/>
  <c r="F358" i="3"/>
  <c r="G357" i="3" a="1"/>
  <c r="G357" i="3" s="1"/>
  <c r="D357" i="3" s="1"/>
  <c r="F357" i="3"/>
  <c r="G356" i="3" a="1"/>
  <c r="G356" i="3" s="1"/>
  <c r="D356" i="3" s="1"/>
  <c r="F356" i="3"/>
  <c r="G355" i="3" a="1"/>
  <c r="G355" i="3" s="1"/>
  <c r="D355" i="3" s="1"/>
  <c r="F355" i="3"/>
  <c r="G354" i="3" a="1"/>
  <c r="G354" i="3" s="1"/>
  <c r="D354" i="3" s="1"/>
  <c r="F354" i="3"/>
  <c r="G353" i="3" a="1"/>
  <c r="G353" i="3" s="1"/>
  <c r="D353" i="3" s="1"/>
  <c r="F353" i="3"/>
  <c r="G352" i="3" a="1"/>
  <c r="G352" i="3" s="1"/>
  <c r="D352" i="3" s="1"/>
  <c r="F352" i="3"/>
  <c r="G351" i="3" a="1"/>
  <c r="G351" i="3" s="1"/>
  <c r="D351" i="3" s="1"/>
  <c r="F351" i="3"/>
  <c r="G350" i="3" a="1"/>
  <c r="G350" i="3" s="1"/>
  <c r="D350" i="3" s="1"/>
  <c r="F350" i="3"/>
  <c r="G349" i="3" a="1"/>
  <c r="G349" i="3" s="1"/>
  <c r="D349" i="3" s="1"/>
  <c r="F349" i="3"/>
  <c r="G348" i="3" a="1"/>
  <c r="G348" i="3" s="1"/>
  <c r="D348" i="3" s="1"/>
  <c r="F348" i="3"/>
  <c r="G347" i="3" a="1"/>
  <c r="G347" i="3" s="1"/>
  <c r="D347" i="3" s="1"/>
  <c r="F347" i="3"/>
  <c r="G346" i="3" a="1"/>
  <c r="G346" i="3" s="1"/>
  <c r="D346" i="3" s="1"/>
  <c r="F346" i="3"/>
  <c r="G345" i="3" a="1"/>
  <c r="G345" i="3" s="1"/>
  <c r="D345" i="3" s="1"/>
  <c r="F345" i="3"/>
  <c r="G344" i="3" a="1"/>
  <c r="G344" i="3" s="1"/>
  <c r="D344" i="3" s="1"/>
  <c r="F344" i="3"/>
  <c r="G343" i="3" a="1"/>
  <c r="G343" i="3" s="1"/>
  <c r="D343" i="3" s="1"/>
  <c r="F343" i="3"/>
  <c r="G342" i="3" a="1"/>
  <c r="G342" i="3" s="1"/>
  <c r="D342" i="3" s="1"/>
  <c r="F342" i="3"/>
  <c r="G341" i="3" a="1"/>
  <c r="G341" i="3" s="1"/>
  <c r="D341" i="3" s="1"/>
  <c r="F341" i="3"/>
  <c r="G340" i="3" a="1"/>
  <c r="G340" i="3" s="1"/>
  <c r="D340" i="3" s="1"/>
  <c r="F340" i="3"/>
  <c r="G339" i="3" a="1"/>
  <c r="G339" i="3" s="1"/>
  <c r="D339" i="3" s="1"/>
  <c r="F339" i="3"/>
  <c r="G338" i="3" a="1"/>
  <c r="G338" i="3" s="1"/>
  <c r="D338" i="3" s="1"/>
  <c r="F338" i="3"/>
  <c r="G337" i="3" a="1"/>
  <c r="G337" i="3" s="1"/>
  <c r="D337" i="3" s="1"/>
  <c r="F337" i="3"/>
  <c r="G336" i="3" a="1"/>
  <c r="G336" i="3" s="1"/>
  <c r="D336" i="3" s="1"/>
  <c r="F336" i="3"/>
  <c r="G335" i="3" a="1"/>
  <c r="G335" i="3" s="1"/>
  <c r="D335" i="3" s="1"/>
  <c r="F335" i="3"/>
  <c r="G334" i="3" a="1"/>
  <c r="G334" i="3" s="1"/>
  <c r="D334" i="3" s="1"/>
  <c r="F334" i="3"/>
  <c r="G333" i="3" a="1"/>
  <c r="G333" i="3" s="1"/>
  <c r="D333" i="3" s="1"/>
  <c r="F333" i="3"/>
  <c r="G332" i="3" a="1"/>
  <c r="G332" i="3" s="1"/>
  <c r="D332" i="3" s="1"/>
  <c r="F332" i="3"/>
  <c r="G331" i="3" a="1"/>
  <c r="G331" i="3" s="1"/>
  <c r="D331" i="3" s="1"/>
  <c r="F331" i="3"/>
  <c r="G330" i="3" a="1"/>
  <c r="G330" i="3" s="1"/>
  <c r="D330" i="3" s="1"/>
  <c r="F330" i="3"/>
  <c r="G329" i="3" a="1"/>
  <c r="G329" i="3" s="1"/>
  <c r="D329" i="3" s="1"/>
  <c r="F329" i="3"/>
  <c r="G328" i="3" a="1"/>
  <c r="G328" i="3" s="1"/>
  <c r="D328" i="3" s="1"/>
  <c r="F328" i="3"/>
  <c r="G327" i="3" a="1"/>
  <c r="G327" i="3" s="1"/>
  <c r="D327" i="3" s="1"/>
  <c r="F327" i="3"/>
  <c r="G326" i="3" a="1"/>
  <c r="G326" i="3" s="1"/>
  <c r="D326" i="3" s="1"/>
  <c r="F326" i="3"/>
  <c r="G325" i="3" a="1"/>
  <c r="G325" i="3" s="1"/>
  <c r="D325" i="3" s="1"/>
  <c r="F325" i="3"/>
  <c r="G324" i="3" a="1"/>
  <c r="G324" i="3" s="1"/>
  <c r="D324" i="3" s="1"/>
  <c r="F324" i="3"/>
  <c r="G323" i="3" a="1"/>
  <c r="G323" i="3" s="1"/>
  <c r="D323" i="3" s="1"/>
  <c r="F323" i="3"/>
  <c r="G322" i="3" a="1"/>
  <c r="G322" i="3" s="1"/>
  <c r="D322" i="3" s="1"/>
  <c r="F322" i="3"/>
  <c r="G321" i="3" a="1"/>
  <c r="G321" i="3" s="1"/>
  <c r="D321" i="3" s="1"/>
  <c r="F321" i="3"/>
  <c r="G320" i="3" a="1"/>
  <c r="G320" i="3" s="1"/>
  <c r="D320" i="3" s="1"/>
  <c r="F320" i="3"/>
  <c r="G319" i="3" a="1"/>
  <c r="G319" i="3" s="1"/>
  <c r="D319" i="3" s="1"/>
  <c r="F319" i="3"/>
  <c r="G318" i="3" a="1"/>
  <c r="G318" i="3" s="1"/>
  <c r="D318" i="3" s="1"/>
  <c r="F318" i="3"/>
  <c r="G317" i="3" a="1"/>
  <c r="G317" i="3" s="1"/>
  <c r="D317" i="3" s="1"/>
  <c r="F317" i="3"/>
  <c r="G316" i="3" a="1"/>
  <c r="G316" i="3" s="1"/>
  <c r="D316" i="3" s="1"/>
  <c r="F316" i="3"/>
  <c r="G315" i="3" a="1"/>
  <c r="G315" i="3" s="1"/>
  <c r="D315" i="3" s="1"/>
  <c r="F315" i="3"/>
  <c r="G314" i="3" a="1"/>
  <c r="G314" i="3" s="1"/>
  <c r="D314" i="3" s="1"/>
  <c r="F314" i="3"/>
  <c r="G313" i="3" a="1"/>
  <c r="G313" i="3" s="1"/>
  <c r="D313" i="3" s="1"/>
  <c r="F313" i="3"/>
  <c r="G312" i="3" a="1"/>
  <c r="G312" i="3" s="1"/>
  <c r="D312" i="3" s="1"/>
  <c r="F312" i="3"/>
  <c r="G311" i="3" a="1"/>
  <c r="G311" i="3" s="1"/>
  <c r="D311" i="3" s="1"/>
  <c r="F311" i="3"/>
  <c r="G310" i="3" a="1"/>
  <c r="G310" i="3" s="1"/>
  <c r="D310" i="3" s="1"/>
  <c r="F310" i="3"/>
  <c r="G309" i="3" a="1"/>
  <c r="G309" i="3" s="1"/>
  <c r="D309" i="3" s="1"/>
  <c r="F309" i="3"/>
  <c r="G308" i="3" a="1"/>
  <c r="G308" i="3" s="1"/>
  <c r="D308" i="3" s="1"/>
  <c r="F308" i="3"/>
  <c r="G307" i="3" a="1"/>
  <c r="G307" i="3" s="1"/>
  <c r="D307" i="3" s="1"/>
  <c r="F307" i="3"/>
  <c r="G306" i="3" a="1"/>
  <c r="G306" i="3" s="1"/>
  <c r="D306" i="3" s="1"/>
  <c r="F306" i="3"/>
  <c r="G305" i="3" a="1"/>
  <c r="G305" i="3" s="1"/>
  <c r="D305" i="3" s="1"/>
  <c r="F305" i="3"/>
  <c r="G304" i="3" a="1"/>
  <c r="G304" i="3" s="1"/>
  <c r="D304" i="3" s="1"/>
  <c r="F304" i="3"/>
  <c r="G303" i="3" a="1"/>
  <c r="G303" i="3" s="1"/>
  <c r="D303" i="3" s="1"/>
  <c r="F303" i="3"/>
  <c r="G302" i="3" a="1"/>
  <c r="G302" i="3" s="1"/>
  <c r="D302" i="3" s="1"/>
  <c r="F302" i="3"/>
  <c r="G301" i="3" a="1"/>
  <c r="G301" i="3" s="1"/>
  <c r="D301" i="3" s="1"/>
  <c r="F301" i="3"/>
  <c r="G300" i="3" a="1"/>
  <c r="G300" i="3" s="1"/>
  <c r="D300" i="3" s="1"/>
  <c r="F300" i="3"/>
  <c r="G299" i="3" a="1"/>
  <c r="G299" i="3" s="1"/>
  <c r="D299" i="3" s="1"/>
  <c r="F299" i="3"/>
  <c r="G298" i="3" a="1"/>
  <c r="G298" i="3" s="1"/>
  <c r="D298" i="3" s="1"/>
  <c r="F298" i="3"/>
  <c r="G297" i="3" a="1"/>
  <c r="G297" i="3" s="1"/>
  <c r="D297" i="3" s="1"/>
  <c r="F297" i="3"/>
  <c r="G296" i="3" a="1"/>
  <c r="G296" i="3" s="1"/>
  <c r="D296" i="3" s="1"/>
  <c r="F296" i="3"/>
  <c r="G295" i="3" a="1"/>
  <c r="G295" i="3" s="1"/>
  <c r="D295" i="3" s="1"/>
  <c r="F295" i="3"/>
  <c r="G294" i="3" a="1"/>
  <c r="G294" i="3" s="1"/>
  <c r="D294" i="3" s="1"/>
  <c r="F294" i="3"/>
  <c r="G293" i="3" a="1"/>
  <c r="G293" i="3" s="1"/>
  <c r="D293" i="3" s="1"/>
  <c r="F293" i="3"/>
  <c r="G292" i="3" a="1"/>
  <c r="G292" i="3" s="1"/>
  <c r="D292" i="3" s="1"/>
  <c r="F292" i="3"/>
  <c r="G291" i="3" a="1"/>
  <c r="G291" i="3" s="1"/>
  <c r="D291" i="3" s="1"/>
  <c r="F291" i="3"/>
  <c r="G290" i="3" a="1"/>
  <c r="G290" i="3" s="1"/>
  <c r="D290" i="3" s="1"/>
  <c r="F290" i="3"/>
  <c r="G289" i="3" a="1"/>
  <c r="G289" i="3" s="1"/>
  <c r="D289" i="3" s="1"/>
  <c r="F289" i="3"/>
  <c r="G288" i="3" a="1"/>
  <c r="G288" i="3" s="1"/>
  <c r="D288" i="3" s="1"/>
  <c r="F288" i="3"/>
  <c r="G287" i="3" a="1"/>
  <c r="G287" i="3" s="1"/>
  <c r="D287" i="3" s="1"/>
  <c r="F287" i="3"/>
  <c r="G286" i="3" a="1"/>
  <c r="G286" i="3" s="1"/>
  <c r="D286" i="3" s="1"/>
  <c r="F286" i="3"/>
  <c r="G285" i="3" a="1"/>
  <c r="G285" i="3" s="1"/>
  <c r="D285" i="3" s="1"/>
  <c r="F285" i="3"/>
  <c r="G284" i="3" a="1"/>
  <c r="G284" i="3" s="1"/>
  <c r="D284" i="3" s="1"/>
  <c r="F284" i="3"/>
  <c r="G283" i="3" a="1"/>
  <c r="G283" i="3" s="1"/>
  <c r="D283" i="3" s="1"/>
  <c r="F283" i="3"/>
  <c r="G282" i="3" a="1"/>
  <c r="G282" i="3" s="1"/>
  <c r="D282" i="3" s="1"/>
  <c r="F282" i="3"/>
  <c r="G281" i="3" a="1"/>
  <c r="G281" i="3" s="1"/>
  <c r="D281" i="3" s="1"/>
  <c r="F281" i="3"/>
  <c r="G280" i="3" a="1"/>
  <c r="G280" i="3" s="1"/>
  <c r="D280" i="3" s="1"/>
  <c r="F280" i="3"/>
  <c r="G279" i="3" a="1"/>
  <c r="G279" i="3" s="1"/>
  <c r="D279" i="3" s="1"/>
  <c r="F279" i="3"/>
  <c r="G278" i="3" a="1"/>
  <c r="G278" i="3" s="1"/>
  <c r="D278" i="3" s="1"/>
  <c r="F278" i="3"/>
  <c r="G277" i="3" a="1"/>
  <c r="G277" i="3" s="1"/>
  <c r="D277" i="3" s="1"/>
  <c r="F277" i="3"/>
  <c r="G276" i="3" a="1"/>
  <c r="G276" i="3" s="1"/>
  <c r="D276" i="3" s="1"/>
  <c r="F276" i="3"/>
  <c r="G275" i="3" a="1"/>
  <c r="G275" i="3" s="1"/>
  <c r="D275" i="3" s="1"/>
  <c r="F275" i="3"/>
  <c r="G274" i="3" a="1"/>
  <c r="G274" i="3" s="1"/>
  <c r="D274" i="3" s="1"/>
  <c r="F274" i="3"/>
  <c r="G273" i="3" a="1"/>
  <c r="G273" i="3" s="1"/>
  <c r="D273" i="3" s="1"/>
  <c r="F273" i="3"/>
  <c r="G272" i="3" a="1"/>
  <c r="G272" i="3" s="1"/>
  <c r="D272" i="3" s="1"/>
  <c r="F272" i="3"/>
  <c r="G271" i="3" a="1"/>
  <c r="G271" i="3" s="1"/>
  <c r="D271" i="3" s="1"/>
  <c r="F271" i="3"/>
  <c r="G270" i="3" a="1"/>
  <c r="G270" i="3" s="1"/>
  <c r="D270" i="3" s="1"/>
  <c r="F270" i="3"/>
  <c r="G269" i="3" a="1"/>
  <c r="G269" i="3" s="1"/>
  <c r="D269" i="3" s="1"/>
  <c r="F269" i="3"/>
  <c r="G268" i="3" a="1"/>
  <c r="G268" i="3" s="1"/>
  <c r="D268" i="3" s="1"/>
  <c r="F268" i="3"/>
  <c r="G267" i="3" a="1"/>
  <c r="G267" i="3" s="1"/>
  <c r="D267" i="3" s="1"/>
  <c r="F267" i="3"/>
  <c r="G266" i="3" a="1"/>
  <c r="G266" i="3" s="1"/>
  <c r="D266" i="3" s="1"/>
  <c r="F266" i="3"/>
  <c r="G265" i="3" a="1"/>
  <c r="G265" i="3" s="1"/>
  <c r="D265" i="3" s="1"/>
  <c r="F265" i="3"/>
  <c r="G264" i="3" a="1"/>
  <c r="G264" i="3" s="1"/>
  <c r="D264" i="3" s="1"/>
  <c r="F264" i="3"/>
  <c r="G263" i="3" a="1"/>
  <c r="G263" i="3" s="1"/>
  <c r="D263" i="3" s="1"/>
  <c r="F263" i="3"/>
  <c r="G262" i="3" a="1"/>
  <c r="G262" i="3" s="1"/>
  <c r="D262" i="3" s="1"/>
  <c r="F262" i="3"/>
  <c r="G261" i="3" a="1"/>
  <c r="G261" i="3" s="1"/>
  <c r="D261" i="3" s="1"/>
  <c r="F261" i="3"/>
  <c r="G260" i="3" a="1"/>
  <c r="G260" i="3" s="1"/>
  <c r="D260" i="3" s="1"/>
  <c r="F260" i="3"/>
  <c r="G259" i="3" a="1"/>
  <c r="G259" i="3" s="1"/>
  <c r="D259" i="3" s="1"/>
  <c r="F259" i="3"/>
  <c r="G258" i="3" a="1"/>
  <c r="G258" i="3" s="1"/>
  <c r="D258" i="3" s="1"/>
  <c r="F258" i="3"/>
  <c r="G257" i="3" a="1"/>
  <c r="G257" i="3" s="1"/>
  <c r="D257" i="3" s="1"/>
  <c r="F257" i="3"/>
  <c r="G256" i="3" a="1"/>
  <c r="G256" i="3" s="1"/>
  <c r="D256" i="3" s="1"/>
  <c r="F256" i="3"/>
  <c r="G255" i="3" a="1"/>
  <c r="G255" i="3" s="1"/>
  <c r="D255" i="3" s="1"/>
  <c r="F255" i="3"/>
  <c r="G254" i="3" a="1"/>
  <c r="G254" i="3" s="1"/>
  <c r="D254" i="3" s="1"/>
  <c r="F254" i="3"/>
  <c r="G253" i="3" a="1"/>
  <c r="G253" i="3" s="1"/>
  <c r="D253" i="3" s="1"/>
  <c r="F253" i="3"/>
  <c r="G252" i="3" a="1"/>
  <c r="G252" i="3" s="1"/>
  <c r="D252" i="3" s="1"/>
  <c r="F252" i="3"/>
  <c r="G251" i="3" a="1"/>
  <c r="G251" i="3" s="1"/>
  <c r="D251" i="3" s="1"/>
  <c r="F251" i="3"/>
  <c r="G250" i="3" a="1"/>
  <c r="G250" i="3" s="1"/>
  <c r="D250" i="3" s="1"/>
  <c r="F250" i="3"/>
  <c r="G249" i="3" a="1"/>
  <c r="G249" i="3" s="1"/>
  <c r="D249" i="3" s="1"/>
  <c r="F249" i="3"/>
  <c r="G248" i="3" a="1"/>
  <c r="G248" i="3" s="1"/>
  <c r="D248" i="3" s="1"/>
  <c r="F248" i="3"/>
  <c r="G247" i="3" a="1"/>
  <c r="G247" i="3" s="1"/>
  <c r="D247" i="3" s="1"/>
  <c r="F247" i="3"/>
  <c r="G246" i="3" a="1"/>
  <c r="G246" i="3" s="1"/>
  <c r="D246" i="3" s="1"/>
  <c r="F246" i="3"/>
  <c r="G245" i="3" a="1"/>
  <c r="G245" i="3" s="1"/>
  <c r="D245" i="3" s="1"/>
  <c r="F245" i="3"/>
  <c r="G244" i="3" a="1"/>
  <c r="G244" i="3" s="1"/>
  <c r="D244" i="3" s="1"/>
  <c r="F244" i="3"/>
  <c r="G243" i="3" a="1"/>
  <c r="G243" i="3" s="1"/>
  <c r="D243" i="3" s="1"/>
  <c r="F243" i="3"/>
  <c r="G242" i="3" a="1"/>
  <c r="G242" i="3" s="1"/>
  <c r="D242" i="3" s="1"/>
  <c r="F242" i="3"/>
  <c r="G241" i="3" a="1"/>
  <c r="G241" i="3" s="1"/>
  <c r="D241" i="3" s="1"/>
  <c r="F241" i="3"/>
  <c r="G240" i="3" a="1"/>
  <c r="G240" i="3" s="1"/>
  <c r="D240" i="3" s="1"/>
  <c r="F240" i="3"/>
  <c r="G239" i="3" a="1"/>
  <c r="G239" i="3" s="1"/>
  <c r="D239" i="3" s="1"/>
  <c r="F239" i="3"/>
  <c r="G238" i="3" a="1"/>
  <c r="G238" i="3" s="1"/>
  <c r="D238" i="3" s="1"/>
  <c r="F238" i="3"/>
  <c r="G237" i="3" a="1"/>
  <c r="G237" i="3" s="1"/>
  <c r="D237" i="3" s="1"/>
  <c r="F237" i="3"/>
  <c r="G236" i="3" a="1"/>
  <c r="G236" i="3" s="1"/>
  <c r="D236" i="3" s="1"/>
  <c r="F236" i="3"/>
  <c r="G235" i="3" a="1"/>
  <c r="G235" i="3" s="1"/>
  <c r="D235" i="3" s="1"/>
  <c r="F235" i="3"/>
  <c r="G234" i="3" a="1"/>
  <c r="G234" i="3" s="1"/>
  <c r="D234" i="3" s="1"/>
  <c r="F234" i="3"/>
  <c r="G233" i="3" a="1"/>
  <c r="G233" i="3" s="1"/>
  <c r="D233" i="3" s="1"/>
  <c r="F233" i="3"/>
  <c r="G232" i="3" a="1"/>
  <c r="G232" i="3" s="1"/>
  <c r="D232" i="3" s="1"/>
  <c r="F232" i="3"/>
  <c r="G231" i="3" a="1"/>
  <c r="G231" i="3" s="1"/>
  <c r="D231" i="3" s="1"/>
  <c r="F231" i="3"/>
  <c r="G230" i="3" a="1"/>
  <c r="G230" i="3" s="1"/>
  <c r="D230" i="3" s="1"/>
  <c r="F230" i="3"/>
  <c r="G229" i="3" a="1"/>
  <c r="G229" i="3" s="1"/>
  <c r="D229" i="3" s="1"/>
  <c r="F229" i="3"/>
  <c r="G228" i="3" a="1"/>
  <c r="G228" i="3" s="1"/>
  <c r="D228" i="3" s="1"/>
  <c r="F228" i="3"/>
  <c r="G227" i="3" a="1"/>
  <c r="G227" i="3" s="1"/>
  <c r="D227" i="3" s="1"/>
  <c r="F227" i="3"/>
  <c r="G226" i="3" a="1"/>
  <c r="G226" i="3" s="1"/>
  <c r="D226" i="3" s="1"/>
  <c r="F226" i="3"/>
  <c r="G225" i="3" a="1"/>
  <c r="G225" i="3" s="1"/>
  <c r="D225" i="3" s="1"/>
  <c r="F225" i="3"/>
  <c r="G224" i="3" a="1"/>
  <c r="G224" i="3" s="1"/>
  <c r="D224" i="3" s="1"/>
  <c r="F224" i="3"/>
  <c r="G223" i="3" a="1"/>
  <c r="G223" i="3" s="1"/>
  <c r="D223" i="3" s="1"/>
  <c r="F223" i="3"/>
  <c r="G222" i="3" a="1"/>
  <c r="G222" i="3" s="1"/>
  <c r="D222" i="3" s="1"/>
  <c r="F222" i="3"/>
  <c r="G221" i="3" a="1"/>
  <c r="G221" i="3" s="1"/>
  <c r="D221" i="3" s="1"/>
  <c r="F221" i="3"/>
  <c r="G220" i="3" a="1"/>
  <c r="G220" i="3" s="1"/>
  <c r="D220" i="3" s="1"/>
  <c r="F220" i="3"/>
  <c r="G219" i="3" a="1"/>
  <c r="G219" i="3" s="1"/>
  <c r="D219" i="3" s="1"/>
  <c r="F219" i="3"/>
  <c r="G218" i="3" a="1"/>
  <c r="G218" i="3" s="1"/>
  <c r="D218" i="3" s="1"/>
  <c r="F218" i="3"/>
  <c r="G217" i="3" a="1"/>
  <c r="G217" i="3" s="1"/>
  <c r="D217" i="3" s="1"/>
  <c r="F217" i="3"/>
  <c r="G216" i="3" a="1"/>
  <c r="G216" i="3" s="1"/>
  <c r="D216" i="3" s="1"/>
  <c r="F216" i="3"/>
  <c r="G215" i="3" a="1"/>
  <c r="G215" i="3" s="1"/>
  <c r="D215" i="3" s="1"/>
  <c r="F215" i="3"/>
  <c r="G214" i="3" a="1"/>
  <c r="G214" i="3" s="1"/>
  <c r="D214" i="3" s="1"/>
  <c r="F214" i="3"/>
  <c r="G213" i="3" a="1"/>
  <c r="G213" i="3" s="1"/>
  <c r="D213" i="3" s="1"/>
  <c r="F213" i="3"/>
  <c r="G212" i="3" a="1"/>
  <c r="G212" i="3" s="1"/>
  <c r="D212" i="3" s="1"/>
  <c r="F212" i="3"/>
  <c r="G211" i="3" a="1"/>
  <c r="G211" i="3" s="1"/>
  <c r="D211" i="3" s="1"/>
  <c r="F211" i="3"/>
  <c r="G210" i="3" a="1"/>
  <c r="G210" i="3" s="1"/>
  <c r="D210" i="3" s="1"/>
  <c r="F210" i="3"/>
  <c r="G209" i="3" a="1"/>
  <c r="G209" i="3" s="1"/>
  <c r="D209" i="3" s="1"/>
  <c r="F209" i="3"/>
  <c r="G208" i="3" a="1"/>
  <c r="G208" i="3" s="1"/>
  <c r="D208" i="3" s="1"/>
  <c r="F208" i="3"/>
  <c r="G207" i="3" a="1"/>
  <c r="G207" i="3" s="1"/>
  <c r="D207" i="3" s="1"/>
  <c r="F207" i="3"/>
  <c r="G206" i="3" a="1"/>
  <c r="G206" i="3" s="1"/>
  <c r="D206" i="3" s="1"/>
  <c r="F206" i="3"/>
  <c r="G205" i="3" a="1"/>
  <c r="G205" i="3" s="1"/>
  <c r="D205" i="3" s="1"/>
  <c r="F205" i="3"/>
  <c r="G204" i="3" a="1"/>
  <c r="G204" i="3" s="1"/>
  <c r="D204" i="3" s="1"/>
  <c r="F204" i="3"/>
  <c r="G203" i="3" a="1"/>
  <c r="G203" i="3" s="1"/>
  <c r="D203" i="3" s="1"/>
  <c r="F203" i="3"/>
  <c r="G202" i="3" a="1"/>
  <c r="G202" i="3" s="1"/>
  <c r="D202" i="3" s="1"/>
  <c r="F202" i="3"/>
  <c r="G201" i="3" a="1"/>
  <c r="G201" i="3" s="1"/>
  <c r="D201" i="3" s="1"/>
  <c r="F201" i="3"/>
  <c r="G200" i="3" a="1"/>
  <c r="G200" i="3" s="1"/>
  <c r="D200" i="3" s="1"/>
  <c r="F200" i="3"/>
  <c r="G199" i="3" a="1"/>
  <c r="G199" i="3" s="1"/>
  <c r="D199" i="3" s="1"/>
  <c r="F199" i="3"/>
  <c r="G198" i="3" a="1"/>
  <c r="G198" i="3" s="1"/>
  <c r="D198" i="3" s="1"/>
  <c r="F198" i="3"/>
  <c r="G197" i="3" a="1"/>
  <c r="G197" i="3" s="1"/>
  <c r="D197" i="3" s="1"/>
  <c r="F197" i="3"/>
  <c r="G196" i="3" a="1"/>
  <c r="G196" i="3" s="1"/>
  <c r="D196" i="3" s="1"/>
  <c r="F196" i="3"/>
  <c r="G195" i="3" a="1"/>
  <c r="G195" i="3" s="1"/>
  <c r="D195" i="3" s="1"/>
  <c r="F195" i="3"/>
  <c r="G194" i="3" a="1"/>
  <c r="G194" i="3" s="1"/>
  <c r="D194" i="3" s="1"/>
  <c r="F194" i="3"/>
  <c r="G193" i="3" a="1"/>
  <c r="G193" i="3" s="1"/>
  <c r="D193" i="3" s="1"/>
  <c r="F193" i="3"/>
  <c r="G192" i="3" a="1"/>
  <c r="G192" i="3" s="1"/>
  <c r="D192" i="3" s="1"/>
  <c r="F192" i="3"/>
  <c r="G191" i="3" a="1"/>
  <c r="G191" i="3" s="1"/>
  <c r="D191" i="3" s="1"/>
  <c r="F191" i="3"/>
  <c r="G190" i="3" a="1"/>
  <c r="G190" i="3" s="1"/>
  <c r="D190" i="3" s="1"/>
  <c r="F190" i="3"/>
  <c r="G189" i="3" a="1"/>
  <c r="G189" i="3" s="1"/>
  <c r="D189" i="3" s="1"/>
  <c r="F189" i="3"/>
  <c r="G188" i="3" a="1"/>
  <c r="G188" i="3" s="1"/>
  <c r="D188" i="3" s="1"/>
  <c r="F188" i="3"/>
  <c r="G187" i="3" a="1"/>
  <c r="G187" i="3" s="1"/>
  <c r="D187" i="3" s="1"/>
  <c r="F187" i="3"/>
  <c r="G186" i="3" a="1"/>
  <c r="G186" i="3" s="1"/>
  <c r="D186" i="3" s="1"/>
  <c r="F186" i="3"/>
  <c r="G185" i="3" a="1"/>
  <c r="G185" i="3" s="1"/>
  <c r="D185" i="3" s="1"/>
  <c r="F185" i="3"/>
  <c r="G184" i="3" a="1"/>
  <c r="G184" i="3" s="1"/>
  <c r="D184" i="3" s="1"/>
  <c r="F184" i="3"/>
  <c r="G183" i="3" a="1"/>
  <c r="G183" i="3" s="1"/>
  <c r="D183" i="3" s="1"/>
  <c r="F183" i="3"/>
  <c r="G182" i="3" a="1"/>
  <c r="G182" i="3" s="1"/>
  <c r="D182" i="3" s="1"/>
  <c r="F182" i="3"/>
  <c r="G181" i="3" a="1"/>
  <c r="G181" i="3" s="1"/>
  <c r="D181" i="3" s="1"/>
  <c r="F181" i="3"/>
  <c r="G180" i="3" a="1"/>
  <c r="G180" i="3" s="1"/>
  <c r="D180" i="3" s="1"/>
  <c r="F180" i="3"/>
  <c r="G179" i="3" a="1"/>
  <c r="G179" i="3" s="1"/>
  <c r="D179" i="3" s="1"/>
  <c r="F179" i="3"/>
  <c r="G178" i="3" a="1"/>
  <c r="G178" i="3" s="1"/>
  <c r="D178" i="3" s="1"/>
  <c r="F178" i="3"/>
  <c r="G177" i="3" a="1"/>
  <c r="G177" i="3" s="1"/>
  <c r="D177" i="3" s="1"/>
  <c r="F177" i="3"/>
  <c r="G176" i="3" a="1"/>
  <c r="G176" i="3" s="1"/>
  <c r="D176" i="3" s="1"/>
  <c r="F176" i="3"/>
  <c r="G175" i="3" a="1"/>
  <c r="G175" i="3" s="1"/>
  <c r="D175" i="3" s="1"/>
  <c r="F175" i="3"/>
  <c r="G174" i="3" a="1"/>
  <c r="G174" i="3" s="1"/>
  <c r="D174" i="3" s="1"/>
  <c r="F174" i="3"/>
  <c r="G173" i="3" a="1"/>
  <c r="G173" i="3" s="1"/>
  <c r="D173" i="3" s="1"/>
  <c r="F173" i="3"/>
  <c r="G172" i="3" a="1"/>
  <c r="G172" i="3" s="1"/>
  <c r="D172" i="3" s="1"/>
  <c r="F172" i="3"/>
  <c r="G171" i="3" a="1"/>
  <c r="G171" i="3" s="1"/>
  <c r="D171" i="3" s="1"/>
  <c r="F171" i="3"/>
  <c r="G170" i="3" a="1"/>
  <c r="G170" i="3" s="1"/>
  <c r="D170" i="3" s="1"/>
  <c r="F170" i="3"/>
  <c r="G169" i="3" a="1"/>
  <c r="G169" i="3" s="1"/>
  <c r="D169" i="3" s="1"/>
  <c r="F169" i="3"/>
  <c r="G168" i="3" a="1"/>
  <c r="G168" i="3" s="1"/>
  <c r="D168" i="3" s="1"/>
  <c r="F168" i="3"/>
  <c r="G167" i="3" a="1"/>
  <c r="G167" i="3" s="1"/>
  <c r="D167" i="3" s="1"/>
  <c r="F167" i="3"/>
  <c r="G166" i="3" a="1"/>
  <c r="G166" i="3" s="1"/>
  <c r="D166" i="3" s="1"/>
  <c r="F166" i="3"/>
  <c r="G165" i="3" a="1"/>
  <c r="G165" i="3" s="1"/>
  <c r="D165" i="3" s="1"/>
  <c r="F165" i="3"/>
  <c r="G164" i="3" a="1"/>
  <c r="G164" i="3" s="1"/>
  <c r="D164" i="3" s="1"/>
  <c r="F164" i="3"/>
  <c r="G163" i="3" a="1"/>
  <c r="G163" i="3" s="1"/>
  <c r="D163" i="3" s="1"/>
  <c r="F163" i="3"/>
  <c r="G162" i="3" a="1"/>
  <c r="G162" i="3" s="1"/>
  <c r="D162" i="3" s="1"/>
  <c r="F162" i="3"/>
  <c r="G161" i="3" a="1"/>
  <c r="G161" i="3" s="1"/>
  <c r="D161" i="3" s="1"/>
  <c r="F161" i="3"/>
  <c r="G160" i="3" a="1"/>
  <c r="G160" i="3" s="1"/>
  <c r="D160" i="3" s="1"/>
  <c r="F160" i="3"/>
  <c r="G159" i="3" a="1"/>
  <c r="G159" i="3" s="1"/>
  <c r="D159" i="3" s="1"/>
  <c r="F159" i="3"/>
  <c r="G158" i="3" a="1"/>
  <c r="G158" i="3" s="1"/>
  <c r="D158" i="3" s="1"/>
  <c r="F158" i="3"/>
  <c r="G157" i="3" a="1"/>
  <c r="G157" i="3" s="1"/>
  <c r="D157" i="3" s="1"/>
  <c r="F157" i="3"/>
  <c r="G156" i="3" a="1"/>
  <c r="G156" i="3" s="1"/>
  <c r="D156" i="3" s="1"/>
  <c r="F156" i="3"/>
  <c r="G155" i="3" a="1"/>
  <c r="G155" i="3" s="1"/>
  <c r="D155" i="3" s="1"/>
  <c r="F155" i="3"/>
  <c r="G154" i="3" a="1"/>
  <c r="G154" i="3" s="1"/>
  <c r="D154" i="3" s="1"/>
  <c r="F154" i="3"/>
  <c r="G153" i="3" a="1"/>
  <c r="G153" i="3" s="1"/>
  <c r="D153" i="3" s="1"/>
  <c r="F153" i="3"/>
  <c r="G152" i="3" a="1"/>
  <c r="G152" i="3" s="1"/>
  <c r="D152" i="3" s="1"/>
  <c r="F152" i="3"/>
  <c r="G151" i="3" a="1"/>
  <c r="G151" i="3" s="1"/>
  <c r="D151" i="3" s="1"/>
  <c r="F151" i="3"/>
  <c r="G150" i="3" a="1"/>
  <c r="G150" i="3" s="1"/>
  <c r="D150" i="3" s="1"/>
  <c r="F150" i="3"/>
  <c r="G149" i="3" a="1"/>
  <c r="G149" i="3" s="1"/>
  <c r="D149" i="3" s="1"/>
  <c r="F149" i="3"/>
  <c r="G148" i="3" a="1"/>
  <c r="G148" i="3" s="1"/>
  <c r="D148" i="3" s="1"/>
  <c r="F148" i="3"/>
  <c r="G147" i="3" a="1"/>
  <c r="G147" i="3" s="1"/>
  <c r="D147" i="3" s="1"/>
  <c r="F147" i="3"/>
  <c r="G146" i="3" a="1"/>
  <c r="G146" i="3" s="1"/>
  <c r="D146" i="3" s="1"/>
  <c r="F146" i="3"/>
  <c r="G145" i="3" a="1"/>
  <c r="G145" i="3" s="1"/>
  <c r="D145" i="3" s="1"/>
  <c r="F145" i="3"/>
  <c r="G144" i="3" a="1"/>
  <c r="G144" i="3" s="1"/>
  <c r="D144" i="3" s="1"/>
  <c r="F144" i="3"/>
  <c r="G143" i="3" a="1"/>
  <c r="G143" i="3" s="1"/>
  <c r="D143" i="3" s="1"/>
  <c r="F143" i="3"/>
  <c r="G142" i="3" a="1"/>
  <c r="G142" i="3" s="1"/>
  <c r="D142" i="3" s="1"/>
  <c r="F142" i="3"/>
  <c r="G141" i="3" a="1"/>
  <c r="G141" i="3" s="1"/>
  <c r="D141" i="3" s="1"/>
  <c r="F141" i="3"/>
  <c r="G140" i="3" a="1"/>
  <c r="G140" i="3" s="1"/>
  <c r="D140" i="3" s="1"/>
  <c r="F140" i="3"/>
  <c r="G139" i="3" a="1"/>
  <c r="G139" i="3" s="1"/>
  <c r="D139" i="3" s="1"/>
  <c r="F139" i="3"/>
  <c r="G138" i="3" a="1"/>
  <c r="G138" i="3" s="1"/>
  <c r="D138" i="3" s="1"/>
  <c r="F138" i="3"/>
  <c r="G137" i="3" a="1"/>
  <c r="G137" i="3" s="1"/>
  <c r="D137" i="3" s="1"/>
  <c r="F137" i="3"/>
  <c r="G136" i="3" a="1"/>
  <c r="G136" i="3" s="1"/>
  <c r="D136" i="3" s="1"/>
  <c r="F136" i="3"/>
  <c r="G135" i="3" a="1"/>
  <c r="G135" i="3" s="1"/>
  <c r="D135" i="3" s="1"/>
  <c r="F135" i="3"/>
  <c r="G134" i="3" a="1"/>
  <c r="G134" i="3" s="1"/>
  <c r="D134" i="3" s="1"/>
  <c r="F134" i="3"/>
  <c r="G133" i="3" a="1"/>
  <c r="G133" i="3" s="1"/>
  <c r="D133" i="3" s="1"/>
  <c r="F133" i="3"/>
  <c r="G132" i="3" a="1"/>
  <c r="G132" i="3" s="1"/>
  <c r="D132" i="3" s="1"/>
  <c r="F132" i="3"/>
  <c r="G131" i="3" a="1"/>
  <c r="G131" i="3" s="1"/>
  <c r="D131" i="3" s="1"/>
  <c r="F131" i="3"/>
  <c r="G130" i="3" a="1"/>
  <c r="G130" i="3" s="1"/>
  <c r="D130" i="3" s="1"/>
  <c r="F130" i="3"/>
  <c r="G129" i="3" a="1"/>
  <c r="G129" i="3" s="1"/>
  <c r="D129" i="3" s="1"/>
  <c r="F129" i="3"/>
  <c r="G128" i="3" a="1"/>
  <c r="G128" i="3" s="1"/>
  <c r="D128" i="3" s="1"/>
  <c r="F128" i="3"/>
  <c r="G127" i="3" a="1"/>
  <c r="G127" i="3" s="1"/>
  <c r="D127" i="3" s="1"/>
  <c r="F127" i="3"/>
  <c r="G126" i="3" a="1"/>
  <c r="G126" i="3" s="1"/>
  <c r="D126" i="3" s="1"/>
  <c r="F126" i="3"/>
  <c r="G125" i="3" a="1"/>
  <c r="G125" i="3" s="1"/>
  <c r="D125" i="3" s="1"/>
  <c r="F125" i="3"/>
  <c r="G124" i="3" a="1"/>
  <c r="G124" i="3" s="1"/>
  <c r="D124" i="3" s="1"/>
  <c r="F124" i="3"/>
  <c r="G123" i="3" a="1"/>
  <c r="G123" i="3" s="1"/>
  <c r="D123" i="3" s="1"/>
  <c r="F123" i="3"/>
  <c r="G122" i="3" a="1"/>
  <c r="G122" i="3" s="1"/>
  <c r="D122" i="3" s="1"/>
  <c r="F122" i="3"/>
  <c r="G121" i="3" a="1"/>
  <c r="G121" i="3" s="1"/>
  <c r="D121" i="3" s="1"/>
  <c r="F121" i="3"/>
  <c r="G120" i="3" a="1"/>
  <c r="G120" i="3" s="1"/>
  <c r="D120" i="3" s="1"/>
  <c r="F120" i="3"/>
  <c r="G119" i="3" a="1"/>
  <c r="G119" i="3" s="1"/>
  <c r="D119" i="3" s="1"/>
  <c r="F119" i="3"/>
  <c r="G118" i="3" a="1"/>
  <c r="G118" i="3" s="1"/>
  <c r="D118" i="3" s="1"/>
  <c r="F118" i="3"/>
  <c r="G117" i="3" a="1"/>
  <c r="G117" i="3" s="1"/>
  <c r="D117" i="3" s="1"/>
  <c r="F117" i="3"/>
  <c r="G116" i="3" a="1"/>
  <c r="G116" i="3" s="1"/>
  <c r="D116" i="3" s="1"/>
  <c r="F116" i="3"/>
  <c r="G115" i="3" a="1"/>
  <c r="G115" i="3" s="1"/>
  <c r="D115" i="3" s="1"/>
  <c r="F115" i="3"/>
  <c r="G114" i="3" a="1"/>
  <c r="G114" i="3" s="1"/>
  <c r="D114" i="3" s="1"/>
  <c r="F114" i="3"/>
  <c r="G113" i="3" a="1"/>
  <c r="G113" i="3" s="1"/>
  <c r="D113" i="3" s="1"/>
  <c r="F113" i="3"/>
  <c r="G112" i="3" a="1"/>
  <c r="G112" i="3" s="1"/>
  <c r="D112" i="3" s="1"/>
  <c r="F112" i="3"/>
  <c r="G111" i="3" a="1"/>
  <c r="G111" i="3" s="1"/>
  <c r="D111" i="3" s="1"/>
  <c r="F111" i="3"/>
  <c r="G110" i="3" a="1"/>
  <c r="G110" i="3" s="1"/>
  <c r="D110" i="3" s="1"/>
  <c r="F110" i="3"/>
  <c r="G109" i="3" a="1"/>
  <c r="G109" i="3" s="1"/>
  <c r="D109" i="3" s="1"/>
  <c r="F109" i="3"/>
  <c r="G108" i="3" a="1"/>
  <c r="G108" i="3" s="1"/>
  <c r="D108" i="3" s="1"/>
  <c r="F108" i="3"/>
  <c r="G107" i="3" a="1"/>
  <c r="G107" i="3" s="1"/>
  <c r="D107" i="3" s="1"/>
  <c r="F107" i="3"/>
  <c r="G106" i="3" a="1"/>
  <c r="G106" i="3" s="1"/>
  <c r="D106" i="3" s="1"/>
  <c r="F106" i="3"/>
  <c r="G105" i="3" a="1"/>
  <c r="G105" i="3" s="1"/>
  <c r="D105" i="3" s="1"/>
  <c r="F105" i="3"/>
  <c r="G104" i="3" a="1"/>
  <c r="G104" i="3" s="1"/>
  <c r="D104" i="3" s="1"/>
  <c r="F104" i="3"/>
  <c r="G103" i="3" a="1"/>
  <c r="G103" i="3" s="1"/>
  <c r="D103" i="3" s="1"/>
  <c r="F103" i="3"/>
  <c r="G102" i="3" a="1"/>
  <c r="G102" i="3" s="1"/>
  <c r="D102" i="3" s="1"/>
  <c r="F102" i="3"/>
  <c r="G101" i="3" a="1"/>
  <c r="G101" i="3" s="1"/>
  <c r="D101" i="3" s="1"/>
  <c r="F101" i="3"/>
  <c r="G100" i="3" a="1"/>
  <c r="G100" i="3" s="1"/>
  <c r="D100" i="3" s="1"/>
  <c r="F100" i="3"/>
  <c r="G99" i="3" a="1"/>
  <c r="G99" i="3" s="1"/>
  <c r="D99" i="3" s="1"/>
  <c r="F99" i="3"/>
  <c r="G98" i="3" a="1"/>
  <c r="G98" i="3" s="1"/>
  <c r="D98" i="3" s="1"/>
  <c r="F98" i="3"/>
  <c r="G97" i="3" a="1"/>
  <c r="G97" i="3" s="1"/>
  <c r="D97" i="3" s="1"/>
  <c r="F97" i="3"/>
  <c r="G96" i="3" a="1"/>
  <c r="G96" i="3" s="1"/>
  <c r="D96" i="3" s="1"/>
  <c r="F96" i="3"/>
  <c r="G95" i="3" a="1"/>
  <c r="G95" i="3" s="1"/>
  <c r="D95" i="3" s="1"/>
  <c r="F95" i="3"/>
  <c r="G94" i="3" a="1"/>
  <c r="G94" i="3" s="1"/>
  <c r="D94" i="3" s="1"/>
  <c r="F94" i="3"/>
  <c r="G93" i="3" a="1"/>
  <c r="G93" i="3" s="1"/>
  <c r="D93" i="3" s="1"/>
  <c r="F93" i="3"/>
  <c r="G92" i="3" a="1"/>
  <c r="G92" i="3" s="1"/>
  <c r="D92" i="3" s="1"/>
  <c r="F92" i="3"/>
  <c r="G91" i="3" a="1"/>
  <c r="G91" i="3" s="1"/>
  <c r="D91" i="3" s="1"/>
  <c r="F91" i="3"/>
  <c r="G90" i="3" a="1"/>
  <c r="G90" i="3" s="1"/>
  <c r="D90" i="3" s="1"/>
  <c r="F90" i="3"/>
  <c r="G89" i="3" a="1"/>
  <c r="G89" i="3" s="1"/>
  <c r="D89" i="3" s="1"/>
  <c r="F89" i="3"/>
  <c r="G88" i="3" a="1"/>
  <c r="G88" i="3" s="1"/>
  <c r="D88" i="3" s="1"/>
  <c r="F88" i="3"/>
  <c r="G87" i="3" a="1"/>
  <c r="G87" i="3" s="1"/>
  <c r="D87" i="3" s="1"/>
  <c r="F87" i="3"/>
  <c r="G86" i="3" a="1"/>
  <c r="G86" i="3" s="1"/>
  <c r="D86" i="3" s="1"/>
  <c r="F86" i="3"/>
  <c r="G85" i="3" a="1"/>
  <c r="G85" i="3" s="1"/>
  <c r="D85" i="3" s="1"/>
  <c r="F85" i="3"/>
  <c r="G84" i="3" a="1"/>
  <c r="G84" i="3" s="1"/>
  <c r="D84" i="3" s="1"/>
  <c r="F84" i="3"/>
  <c r="G83" i="3" a="1"/>
  <c r="G83" i="3" s="1"/>
  <c r="D83" i="3" s="1"/>
  <c r="F83" i="3"/>
  <c r="G82" i="3" a="1"/>
  <c r="G82" i="3" s="1"/>
  <c r="D82" i="3" s="1"/>
  <c r="F82" i="3"/>
  <c r="G81" i="3" a="1"/>
  <c r="G81" i="3" s="1"/>
  <c r="D81" i="3" s="1"/>
  <c r="F81" i="3"/>
  <c r="G80" i="3" a="1"/>
  <c r="G80" i="3" s="1"/>
  <c r="D80" i="3" s="1"/>
  <c r="F80" i="3"/>
  <c r="G79" i="3" a="1"/>
  <c r="G79" i="3" s="1"/>
  <c r="D79" i="3" s="1"/>
  <c r="F79" i="3"/>
  <c r="G78" i="3" a="1"/>
  <c r="G78" i="3" s="1"/>
  <c r="D78" i="3" s="1"/>
  <c r="F78" i="3"/>
  <c r="G77" i="3" a="1"/>
  <c r="G77" i="3" s="1"/>
  <c r="D77" i="3" s="1"/>
  <c r="F77" i="3"/>
  <c r="G76" i="3" a="1"/>
  <c r="G76" i="3" s="1"/>
  <c r="D76" i="3" s="1"/>
  <c r="F76" i="3"/>
  <c r="G75" i="3" a="1"/>
  <c r="G75" i="3" s="1"/>
  <c r="D75" i="3" s="1"/>
  <c r="F75" i="3"/>
  <c r="G74" i="3" a="1"/>
  <c r="G74" i="3" s="1"/>
  <c r="D74" i="3" s="1"/>
  <c r="F74" i="3"/>
  <c r="G73" i="3" a="1"/>
  <c r="G73" i="3" s="1"/>
  <c r="D73" i="3" s="1"/>
  <c r="F73" i="3"/>
  <c r="G72" i="3" a="1"/>
  <c r="G72" i="3" s="1"/>
  <c r="D72" i="3" s="1"/>
  <c r="F72" i="3"/>
  <c r="G71" i="3" a="1"/>
  <c r="G71" i="3" s="1"/>
  <c r="D71" i="3" s="1"/>
  <c r="F71" i="3"/>
  <c r="G70" i="3" a="1"/>
  <c r="G70" i="3" s="1"/>
  <c r="D70" i="3" s="1"/>
  <c r="F70" i="3"/>
  <c r="G69" i="3" a="1"/>
  <c r="G69" i="3" s="1"/>
  <c r="D69" i="3" s="1"/>
  <c r="F69" i="3"/>
  <c r="G68" i="3" a="1"/>
  <c r="G68" i="3" s="1"/>
  <c r="D68" i="3" s="1"/>
  <c r="F68" i="3"/>
  <c r="G67" i="3" a="1"/>
  <c r="G67" i="3" s="1"/>
  <c r="D67" i="3" s="1"/>
  <c r="F67" i="3"/>
  <c r="G66" i="3" a="1"/>
  <c r="G66" i="3" s="1"/>
  <c r="D66" i="3" s="1"/>
  <c r="F66" i="3"/>
  <c r="G65" i="3" a="1"/>
  <c r="G65" i="3" s="1"/>
  <c r="D65" i="3" s="1"/>
  <c r="F65" i="3"/>
  <c r="G64" i="3" a="1"/>
  <c r="G64" i="3" s="1"/>
  <c r="D64" i="3" s="1"/>
  <c r="F64" i="3"/>
  <c r="G63" i="3" a="1"/>
  <c r="G63" i="3" s="1"/>
  <c r="D63" i="3" s="1"/>
  <c r="F63" i="3"/>
  <c r="G62" i="3" a="1"/>
  <c r="G62" i="3" s="1"/>
  <c r="D62" i="3" s="1"/>
  <c r="F62" i="3"/>
  <c r="G61" i="3" a="1"/>
  <c r="G61" i="3" s="1"/>
  <c r="D61" i="3" s="1"/>
  <c r="F61" i="3"/>
  <c r="G60" i="3" a="1"/>
  <c r="G60" i="3" s="1"/>
  <c r="D60" i="3" s="1"/>
  <c r="F60" i="3"/>
  <c r="G59" i="3" a="1"/>
  <c r="G59" i="3" s="1"/>
  <c r="D59" i="3" s="1"/>
  <c r="F59" i="3"/>
  <c r="G58" i="3" a="1"/>
  <c r="G58" i="3" s="1"/>
  <c r="D58" i="3" s="1"/>
  <c r="F58" i="3"/>
  <c r="G57" i="3" a="1"/>
  <c r="G57" i="3" s="1"/>
  <c r="D57" i="3" s="1"/>
  <c r="F57" i="3"/>
  <c r="G56" i="3" a="1"/>
  <c r="G56" i="3" s="1"/>
  <c r="D56" i="3" s="1"/>
  <c r="F56" i="3"/>
  <c r="G55" i="3" a="1"/>
  <c r="G55" i="3" s="1"/>
  <c r="D55" i="3" s="1"/>
  <c r="F55" i="3"/>
  <c r="G54" i="3" a="1"/>
  <c r="G54" i="3" s="1"/>
  <c r="D54" i="3" s="1"/>
  <c r="F54" i="3"/>
  <c r="G53" i="3" a="1"/>
  <c r="G53" i="3" s="1"/>
  <c r="D53" i="3" s="1"/>
  <c r="F53" i="3"/>
  <c r="G52" i="3" a="1"/>
  <c r="G52" i="3" s="1"/>
  <c r="D52" i="3" s="1"/>
  <c r="F52" i="3"/>
  <c r="G51" i="3" a="1"/>
  <c r="G51" i="3" s="1"/>
  <c r="D51" i="3" s="1"/>
  <c r="F51" i="3"/>
  <c r="G50" i="3" a="1"/>
  <c r="G50" i="3" s="1"/>
  <c r="D50" i="3" s="1"/>
  <c r="F50" i="3"/>
  <c r="G49" i="3" a="1"/>
  <c r="G49" i="3" s="1"/>
  <c r="D49" i="3" s="1"/>
  <c r="F49" i="3"/>
  <c r="G48" i="3" a="1"/>
  <c r="G48" i="3" s="1"/>
  <c r="D48" i="3" s="1"/>
  <c r="F48" i="3"/>
  <c r="G47" i="3" a="1"/>
  <c r="G47" i="3" s="1"/>
  <c r="D47" i="3" s="1"/>
  <c r="F47" i="3"/>
  <c r="G46" i="3" a="1"/>
  <c r="G46" i="3" s="1"/>
  <c r="D46" i="3" s="1"/>
  <c r="F46" i="3"/>
  <c r="G45" i="3" a="1"/>
  <c r="G45" i="3" s="1"/>
  <c r="D45" i="3" s="1"/>
  <c r="F45" i="3"/>
  <c r="G44" i="3" a="1"/>
  <c r="G44" i="3" s="1"/>
  <c r="D44" i="3" s="1"/>
  <c r="F44" i="3"/>
  <c r="G43" i="3" a="1"/>
  <c r="G43" i="3" s="1"/>
  <c r="D43" i="3" s="1"/>
  <c r="F43" i="3"/>
  <c r="G42" i="3" a="1"/>
  <c r="G42" i="3" s="1"/>
  <c r="D42" i="3" s="1"/>
  <c r="F42" i="3"/>
  <c r="G41" i="3" a="1"/>
  <c r="G41" i="3" s="1"/>
  <c r="D41" i="3" s="1"/>
  <c r="F41" i="3"/>
  <c r="G40" i="3" a="1"/>
  <c r="G40" i="3" s="1"/>
  <c r="D40" i="3" s="1"/>
  <c r="F40" i="3"/>
  <c r="G39" i="3" a="1"/>
  <c r="G39" i="3" s="1"/>
  <c r="D39" i="3" s="1"/>
  <c r="F39" i="3"/>
  <c r="G38" i="3" a="1"/>
  <c r="G38" i="3" s="1"/>
  <c r="D38" i="3" s="1"/>
  <c r="F38" i="3"/>
  <c r="G37" i="3" a="1"/>
  <c r="G37" i="3" s="1"/>
  <c r="D37" i="3" s="1"/>
  <c r="F37" i="3"/>
  <c r="G36" i="3" a="1"/>
  <c r="G36" i="3" s="1"/>
  <c r="D36" i="3" s="1"/>
  <c r="F36" i="3"/>
  <c r="G35" i="3" a="1"/>
  <c r="G35" i="3" s="1"/>
  <c r="D35" i="3" s="1"/>
  <c r="F35" i="3"/>
  <c r="G34" i="3" a="1"/>
  <c r="G34" i="3" s="1"/>
  <c r="D34" i="3" s="1"/>
  <c r="F34" i="3"/>
  <c r="G33" i="3" a="1"/>
  <c r="G33" i="3" s="1"/>
  <c r="D33" i="3" s="1"/>
  <c r="F33" i="3"/>
  <c r="G32" i="3" a="1"/>
  <c r="G32" i="3" s="1"/>
  <c r="D32" i="3" s="1"/>
  <c r="F32" i="3"/>
  <c r="G31" i="3" a="1"/>
  <c r="G31" i="3" s="1"/>
  <c r="D31" i="3" s="1"/>
  <c r="F31" i="3"/>
  <c r="G30" i="3" a="1"/>
  <c r="G30" i="3" s="1"/>
  <c r="D30" i="3" s="1"/>
  <c r="F30" i="3"/>
  <c r="G29" i="3" a="1"/>
  <c r="G29" i="3" s="1"/>
  <c r="D29" i="3" s="1"/>
  <c r="F29" i="3"/>
  <c r="G28" i="3" a="1"/>
  <c r="G28" i="3" s="1"/>
  <c r="D28" i="3" s="1"/>
  <c r="F28" i="3"/>
  <c r="G27" i="3" a="1"/>
  <c r="G27" i="3" s="1"/>
  <c r="D27" i="3" s="1"/>
  <c r="F27" i="3"/>
  <c r="G26" i="3" a="1"/>
  <c r="G26" i="3" s="1"/>
  <c r="D26" i="3" s="1"/>
  <c r="F26" i="3"/>
  <c r="G25" i="3" a="1"/>
  <c r="G25" i="3" s="1"/>
  <c r="D25" i="3" s="1"/>
  <c r="F25" i="3"/>
  <c r="G24" i="3" a="1"/>
  <c r="G24" i="3" s="1"/>
  <c r="D24" i="3" s="1"/>
  <c r="F24" i="3"/>
  <c r="G23" i="3" a="1"/>
  <c r="G23" i="3" s="1"/>
  <c r="D23" i="3" s="1"/>
  <c r="F23" i="3"/>
  <c r="G22" i="3" a="1"/>
  <c r="G22" i="3" s="1"/>
  <c r="D22" i="3" s="1"/>
  <c r="F22" i="3"/>
  <c r="G21" i="3" a="1"/>
  <c r="G21" i="3" s="1"/>
  <c r="D21" i="3" s="1"/>
  <c r="F21" i="3"/>
  <c r="G20" i="3" a="1"/>
  <c r="G20" i="3" s="1"/>
  <c r="D20" i="3" s="1"/>
  <c r="F20" i="3"/>
  <c r="D19" i="3"/>
  <c r="F19" i="3"/>
  <c r="D18" i="3"/>
  <c r="F18" i="3"/>
  <c r="D17" i="3"/>
  <c r="F17" i="3"/>
  <c r="D16" i="3"/>
  <c r="F16" i="3"/>
  <c r="D15" i="3"/>
  <c r="F15" i="3"/>
  <c r="D14" i="3"/>
  <c r="F14" i="3"/>
  <c r="D13" i="3"/>
  <c r="F13" i="3"/>
  <c r="D12" i="3"/>
  <c r="F12" i="3"/>
  <c r="D11" i="3"/>
  <c r="F11" i="3"/>
  <c r="D10" i="3"/>
  <c r="F10" i="3"/>
  <c r="D9" i="3"/>
  <c r="F9" i="3"/>
  <c r="D8" i="3"/>
  <c r="F8" i="3"/>
  <c r="D7"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D1160" i="3" s="1"/>
  <c r="G1101" i="3"/>
  <c r="D1101" i="3" s="1"/>
  <c r="G1174" i="3"/>
  <c r="D1174" i="3" s="1"/>
  <c r="A1023" i="3"/>
  <c r="G1070" i="3"/>
  <c r="D1070" i="3" s="1"/>
  <c r="G1102" i="3"/>
  <c r="D1102" i="3" s="1"/>
  <c r="G1068" i="3"/>
  <c r="D1068" i="3" s="1"/>
  <c r="G1156" i="3"/>
  <c r="D1156" i="3" s="1"/>
  <c r="A1027" i="3"/>
  <c r="G1076" i="3"/>
  <c r="D1076" i="3" s="1"/>
  <c r="A1025" i="3"/>
  <c r="G1036" i="3"/>
  <c r="D1036" i="3" s="1"/>
  <c r="G1148" i="3"/>
  <c r="D1148" i="3" s="1"/>
  <c r="G1084" i="3"/>
  <c r="D1084" i="3" s="1"/>
  <c r="G1170" i="3"/>
  <c r="D1170" i="3" s="1"/>
  <c r="G1124" i="3"/>
  <c r="D1124" i="3" s="1"/>
  <c r="G1132" i="3"/>
  <c r="D1132" i="3" s="1"/>
  <c r="G1196" i="3"/>
  <c r="D1196" i="3" s="1"/>
  <c r="G1283" i="3"/>
  <c r="D1283" i="3" s="1"/>
  <c r="G1328" i="3"/>
  <c r="D1328" i="3" s="1"/>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<sst xmlns="http://schemas.openxmlformats.org/spreadsheetml/2006/main" count="58447" uniqueCount="5043">
  <si>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</si>
  <si>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</si>
  <si>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</si>
  <si>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</si>
  <si>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</si>
  <si>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</si>
  <si>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</si>
  <si>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</si>
  <si>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</si>
  <si>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</si>
  <si>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</si>
  <si>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</si>
  <si>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</si>
  <si>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</si>
  <si>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</si>
  <si>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</si>
  <si>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</si>
  <si>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</si>
  <si>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</si>
  <si>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</si>
  <si>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</si>
  <si>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</si>
  <si>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</si>
  <si>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</si>
  <si>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</si>
  <si>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</si>
  <si>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</si>
  <si>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</si>
  <si>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</si>
  <si>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</si>
  <si>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</si>
  <si>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</si>
  <si>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</si>
  <si>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</si>
  <si>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</si>
  <si>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</si>
  <si>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</si>
  <si>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</si>
  <si>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</si>
  <si>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</si>
  <si>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</si>
  <si>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</si>
  <si>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</si>
  <si>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</si>
  <si>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</si>
  <si>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</si>
  <si>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</si>
  <si>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</si>
  <si>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</si>
  <si>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</si>
  <si>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</si>
  <si>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</si>
  <si>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</si>
  <si>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</si>
  <si>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</si>
  <si>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</si>
  <si>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</si>
  <si>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</si>
  <si>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</si>
  <si>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</si>
  <si>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</si>
  <si>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</si>
  <si>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</si>
  <si>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</si>
  <si>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</si>
  <si>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</si>
  <si>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</si>
  <si>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</si>
  <si>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</si>
  <si>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</si>
  <si>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</si>
  <si>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</si>
  <si>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</si>
  <si>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</si>
  <si>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</si>
  <si>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</si>
  <si>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</si>
  <si>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</si>
  <si>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</si>
  <si>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</si>
  <si>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</si>
  <si>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</si>
  <si>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</si>
  <si>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</si>
  <si>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</si>
  <si>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</si>
  <si>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</si>
  <si>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</si>
  <si>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</si>
  <si>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</si>
  <si>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</si>
  <si>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</si>
  <si>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</si>
  <si>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</si>
  <si>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</si>
  <si>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</si>
  <si>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</si>
  <si>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</si>
  <si>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</si>
  <si>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</si>
  <si>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</si>
  <si>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</si>
  <si>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</si>
  <si>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</si>
  <si>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</si>
  <si>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</si>
  <si>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</si>
  <si>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</si>
  <si>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</si>
  <si>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</si>
  <si>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</si>
  <si>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</si>
  <si>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</si>
  <si>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</si>
  <si>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</si>
  <si>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</si>
  <si>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</si>
  <si>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</si>
  <si>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</si>
  <si>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</si>
  <si>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</si>
  <si>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</si>
  <si>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</si>
  <si>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</si>
  <si>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</si>
  <si>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</si>
  <si>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</si>
  <si>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</si>
  <si>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</si>
  <si>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</si>
  <si>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</si>
  <si>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</si>
  <si>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</si>
  <si>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</si>
  <si>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</si>
  <si>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</si>
  <si>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</si>
  <si>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</si>
  <si>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</si>
  <si>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</si>
  <si>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</si>
  <si>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</si>
  <si>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</si>
  <si>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</si>
  <si>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</si>
  <si>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</si>
  <si>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</si>
  <si>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</si>
  <si>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</si>
  <si>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</si>
  <si>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</si>
  <si>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</si>
  <si>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</si>
  <si>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</si>
  <si>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</si>
  <si>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</si>
  <si>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</si>
  <si>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</si>
  <si>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</si>
  <si>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</si>
  <si>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</si>
  <si>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</si>
  <si>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</si>
  <si>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</si>
  <si>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</si>
  <si>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</si>
  <si>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</si>
  <si>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</si>
  <si>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</si>
  <si>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</si>
  <si>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</si>
  <si>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</si>
  <si>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</si>
  <si>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</si>
  <si>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</si>
  <si>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</si>
  <si>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</si>
  <si>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</si>
  <si>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</si>
  <si>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</si>
  <si>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</si>
  <si>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</si>
  <si>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</si>
  <si>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</si>
  <si>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</si>
  <si>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</si>
  <si>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</si>
  <si>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</si>
  <si>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</si>
  <si>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</si>
  <si>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</si>
  <si>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</si>
  <si>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</si>
  <si>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</si>
  <si>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</si>
  <si>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</si>
  <si>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</si>
  <si>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</si>
  <si>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</si>
  <si>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</si>
  <si>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</si>
  <si>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</si>
  <si>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</si>
  <si>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</si>
  <si>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</si>
  <si>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</si>
  <si>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</si>
  <si>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</si>
  <si>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</si>
  <si>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</si>
  <si>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</si>
  <si>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</si>
  <si>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</si>
  <si>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</si>
  <si>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</si>
  <si>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</si>
  <si>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</si>
  <si>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</si>
  <si>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</si>
  <si>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</si>
  <si>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</si>
  <si>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</si>
  <si>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</si>
  <si>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</si>
  <si>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</si>
  <si>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</si>
  <si>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</si>
  <si>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</si>
  <si>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</si>
  <si>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</si>
  <si>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</si>
  <si>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</si>
  <si>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</si>
  <si>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</si>
  <si>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</si>
  <si>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</si>
  <si>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</si>
  <si>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</si>
  <si>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</si>
  <si>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</si>
  <si>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</si>
  <si>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</si>
  <si>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</si>
  <si>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</si>
  <si>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</si>
  <si>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</si>
  <si>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</si>
  <si>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</si>
  <si>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</si>
  <si>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</si>
  <si>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</si>
  <si>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</si>
  <si>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</si>
  <si>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</si>
  <si>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</si>
  <si>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</si>
  <si>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</si>
  <si>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</si>
  <si>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</si>
  <si>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</si>
  <si>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</si>
  <si>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</si>
  <si>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</si>
  <si>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</si>
  <si>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</si>
  <si>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</si>
  <si>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</si>
  <si>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</si>
  <si>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</si>
  <si>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</si>
  <si>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</si>
  <si>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</si>
  <si>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</si>
  <si>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</si>
  <si>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</si>
  <si>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</si>
  <si>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</si>
  <si>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</si>
  <si>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</si>
  <si>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</si>
  <si>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</si>
  <si>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</si>
  <si>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</si>
  <si>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</si>
  <si>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</si>
  <si>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</si>
  <si>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</si>
  <si>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</si>
  <si>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</si>
  <si>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</si>
  <si>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</si>
  <si>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</si>
  <si>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</si>
  <si>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</si>
  <si>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</si>
  <si>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</si>
  <si>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</si>
  <si>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</si>
  <si>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</si>
  <si>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</si>
  <si>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</si>
  <si>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</si>
  <si>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</si>
  <si>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</si>
  <si>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</si>
  <si>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</si>
  <si>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</si>
  <si>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</si>
  <si>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</si>
  <si>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</si>
  <si>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</si>
  <si>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</si>
  <si>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</si>
  <si>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</si>
  <si>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</si>
  <si>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</si>
  <si>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</si>
  <si>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</si>
  <si>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</si>
  <si>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</si>
  <si>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</si>
  <si>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</si>
  <si>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</si>
  <si>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</si>
  <si>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</si>
  <si>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</si>
  <si>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</si>
  <si>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</si>
  <si>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</si>
  <si>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</si>
  <si>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</si>
  <si>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</si>
  <si>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</si>
  <si>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</si>
  <si>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</si>
  <si>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</si>
  <si>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</si>
  <si>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</si>
  <si>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</si>
  <si>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</si>
  <si>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</si>
  <si>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</si>
  <si>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</si>
  <si>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</si>
  <si>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</si>
  <si>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</si>
  <si>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</si>
  <si>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</si>
  <si>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</si>
  <si>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</si>
  <si>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</si>
  <si>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</si>
  <si>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</si>
  <si>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</si>
  <si>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</si>
  <si>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</si>
  <si>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</si>
  <si>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</si>
  <si>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</si>
  <si>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</si>
  <si>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</si>
  <si>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</si>
  <si>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</si>
  <si>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</si>
  <si>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</si>
  <si>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</si>
  <si>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</si>
  <si>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</si>
  <si>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</si>
  <si>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</si>
  <si>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</si>
  <si>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</si>
  <si>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</si>
  <si>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</si>
  <si>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</si>
  <si>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</si>
  <si>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</si>
  <si>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</si>
  <si>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</si>
  <si>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</si>
  <si>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</si>
  <si>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</si>
  <si>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</si>
  <si>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</si>
  <si>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</si>
  <si>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</si>
  <si>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</si>
  <si>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</si>
  <si>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</si>
  <si>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</si>
  <si>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</si>
  <si>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</si>
  <si>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</si>
  <si>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</si>
  <si>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</si>
  <si>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</si>
  <si>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</si>
  <si>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</si>
  <si>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</si>
  <si>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</si>
  <si>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</si>
  <si>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</si>
  <si>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</si>
  <si>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</si>
  <si>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</si>
  <si>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</si>
  <si>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</si>
  <si>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</si>
  <si>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</si>
  <si>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</si>
  <si>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</si>
  <si>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</si>
  <si>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</si>
  <si>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</si>
  <si>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</si>
  <si>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</si>
  <si>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</si>
  <si>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</si>
  <si>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</si>
  <si>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</si>
  <si>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</si>
  <si>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</si>
  <si>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</si>
  <si>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</si>
  <si>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</si>
  <si>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</si>
  <si>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</si>
  <si>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</si>
  <si>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</si>
  <si>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</si>
  <si>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</si>
  <si>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</si>
  <si>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</si>
  <si>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</si>
  <si>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</si>
  <si>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</si>
  <si>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</si>
  <si>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</si>
  <si>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</si>
  <si>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</si>
  <si>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</si>
  <si>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</si>
  <si>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</si>
  <si>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</si>
  <si>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</si>
  <si>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</si>
  <si>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</si>
  <si>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</si>
  <si>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</si>
  <si>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</si>
  <si>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</si>
  <si>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</si>
  <si>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</si>
  <si>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</si>
  <si>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</si>
  <si>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</si>
  <si>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</si>
  <si>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</si>
  <si>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</si>
  <si>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</si>
  <si>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</si>
  <si>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</si>
  <si>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</si>
  <si>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</si>
  <si>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</si>
  <si>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</si>
  <si>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</si>
  <si>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</si>
  <si>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</si>
  <si>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</si>
  <si>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</si>
  <si>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</si>
  <si>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</si>
  <si>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</si>
  <si>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</si>
  <si>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</si>
  <si>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</si>
  <si>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</si>
  <si>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</si>
  <si>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</si>
  <si>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</si>
  <si>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</si>
  <si>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</si>
  <si>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</si>
  <si>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</si>
  <si>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</si>
  <si>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</si>
  <si>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</si>
  <si>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</si>
  <si>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</si>
  <si>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</si>
  <si>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</si>
  <si>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</si>
  <si>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</si>
  <si>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</si>
  <si>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</si>
  <si>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</si>
  <si>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</si>
  <si>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</si>
  <si>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</si>
  <si>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</si>
  <si>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</si>
  <si>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</si>
  <si>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</si>
  <si>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</si>
  <si>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</si>
  <si>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</si>
  <si>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</si>
  <si>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</si>
  <si>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</si>
  <si>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</si>
  <si>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</si>
  <si>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</si>
  <si>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</si>
  <si>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</si>
  <si>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</si>
  <si>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</si>
  <si>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</si>
  <si>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</si>
  <si>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</si>
  <si>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</si>
  <si>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</si>
  <si>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</si>
  <si>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</si>
  <si>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</si>
  <si>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</si>
  <si>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</si>
  <si>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</si>
  <si>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</si>
  <si>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</si>
  <si>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</si>
  <si>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</si>
  <si>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</si>
  <si>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</si>
  <si>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</si>
  <si>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</si>
  <si>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</si>
  <si>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</si>
  <si>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</si>
  <si>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</si>
  <si>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</si>
  <si>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</si>
  <si>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</si>
  <si>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</si>
  <si>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</si>
  <si>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</si>
  <si>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</si>
  <si>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</si>
  <si>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</si>
  <si>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</si>
  <si>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</si>
  <si>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</si>
  <si>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</si>
  <si>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</si>
  <si>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</si>
  <si>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</si>
  <si>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</si>
  <si>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</si>
  <si>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</si>
  <si>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</si>
  <si>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</si>
  <si>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</si>
  <si>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</si>
  <si>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</si>
  <si>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</si>
  <si>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</si>
  <si>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</si>
  <si>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</si>
  <si>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</si>
  <si>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</si>
  <si>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</si>
  <si>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</si>
  <si>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</si>
  <si>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</si>
  <si>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</si>
  <si>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</si>
  <si>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</si>
  <si>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</si>
  <si>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</si>
  <si>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</si>
  <si>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</si>
  <si>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</si>
  <si>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</si>
  <si>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</si>
  <si>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</si>
  <si>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</si>
  <si>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</si>
  <si>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</si>
  <si>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</si>
  <si>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</si>
  <si>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</si>
  <si>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</si>
  <si>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</si>
  <si>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</si>
  <si>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</si>
  <si>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</si>
  <si>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</si>
  <si>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</si>
  <si>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</si>
  <si>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</si>
  <si>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</si>
  <si>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</si>
  <si>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</si>
  <si>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</si>
  <si>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</si>
  <si>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</si>
  <si>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</si>
  <si>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</si>
  <si>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</si>
  <si>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</si>
  <si>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</si>
  <si>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</si>
  <si>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</si>
  <si>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</si>
  <si>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</si>
  <si>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</si>
  <si>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</si>
  <si>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</si>
  <si>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</si>
  <si>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</si>
  <si>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</si>
  <si>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</si>
  <si>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</si>
  <si>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</si>
  <si>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</si>
  <si>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</si>
  <si>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</si>
  <si>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</si>
  <si>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</si>
  <si>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</si>
  <si>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</si>
  <si>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</si>
  <si>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</si>
  <si>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</si>
  <si>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</si>
  <si>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</si>
  <si>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</si>
  <si>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</si>
  <si>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</si>
  <si>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</si>
  <si>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</si>
  <si>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</si>
  <si>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</si>
  <si>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</si>
  <si>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</si>
  <si>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</si>
  <si>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</si>
  <si>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</si>
  <si>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</si>
  <si>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</si>
  <si>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</si>
  <si>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</si>
  <si>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</si>
  <si>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</si>
  <si>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</si>
  <si>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</si>
  <si>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</si>
  <si>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</si>
  <si>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</si>
  <si>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</si>
  <si>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</si>
  <si>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</si>
  <si>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</si>
  <si>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</si>
  <si>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</si>
  <si>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</si>
  <si>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</si>
  <si>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</si>
  <si>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</si>
  <si>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</si>
  <si>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</si>
  <si>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</si>
  <si>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</si>
  <si>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</si>
  <si>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</si>
  <si>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</si>
  <si>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</si>
  <si>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</si>
  <si>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</si>
  <si>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</si>
  <si>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</si>
  <si>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</si>
  <si>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</si>
  <si>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</si>
  <si>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</si>
  <si>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</si>
  <si>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</si>
  <si>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</si>
  <si>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</si>
  <si>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</si>
  <si>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</si>
  <si>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</si>
  <si>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</si>
  <si>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</si>
  <si>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</si>
  <si>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</si>
  <si>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</si>
  <si>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</si>
  <si>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</si>
  <si>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</si>
  <si>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</si>
  <si>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</si>
  <si>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</si>
  <si>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</si>
  <si>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</si>
  <si>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</si>
  <si>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</si>
  <si>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</si>
  <si>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</si>
  <si>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</si>
  <si>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</si>
  <si>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</si>
  <si>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</si>
  <si>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</si>
  <si>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</si>
  <si>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</si>
  <si>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</si>
  <si>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</si>
  <si>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</si>
  <si>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</si>
  <si>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</si>
  <si>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</si>
  <si>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</si>
  <si>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</si>
  <si>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</si>
  <si>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</si>
  <si>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</si>
  <si>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</si>
  <si>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</si>
  <si>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</si>
  <si>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</si>
  <si>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</si>
  <si>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</si>
  <si>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</si>
  <si>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</si>
  <si>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</si>
  <si>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</si>
  <si>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</si>
  <si>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</si>
  <si>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</si>
  <si>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</si>
  <si>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</si>
  <si>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</si>
  <si>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</si>
  <si>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</si>
  <si>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</si>
  <si>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</si>
  <si>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</si>
  <si>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</si>
  <si>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</si>
  <si>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</si>
  <si>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</si>
  <si>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</si>
  <si>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</si>
  <si>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</si>
  <si>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</si>
  <si>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</si>
  <si>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</si>
  <si>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</si>
  <si>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</si>
  <si>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</si>
  <si>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</si>
  <si>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</si>
  <si>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</si>
  <si>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</si>
  <si>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</si>
  <si>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</si>
  <si>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</si>
  <si>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</si>
  <si>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</si>
  <si>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</si>
  <si>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</si>
  <si>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</si>
  <si>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</si>
  <si>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</si>
  <si>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</si>
  <si>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</si>
  <si>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</si>
  <si>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</si>
  <si>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</si>
  <si>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</si>
  <si>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</si>
  <si>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</si>
  <si>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</si>
  <si>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</si>
  <si>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</si>
  <si>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</si>
  <si>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</si>
  <si>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</si>
  <si>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</si>
  <si>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</si>
  <si>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</si>
  <si>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</si>
  <si>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</si>
  <si>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</si>
  <si>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</si>
  <si>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</si>
  <si>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</si>
  <si>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</si>
  <si>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</si>
  <si>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</si>
  <si>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</si>
  <si>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</si>
  <si>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</si>
  <si>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</si>
  <si>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</si>
  <si>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</si>
  <si>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</si>
  <si>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</si>
  <si>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</si>
  <si>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</si>
  <si>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</si>
  <si>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</si>
  <si>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</si>
  <si>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</si>
  <si>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</si>
  <si>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</si>
  <si>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</si>
  <si>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</si>
  <si>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</si>
  <si>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</si>
  <si>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</si>
  <si>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</si>
  <si>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</si>
  <si>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</si>
  <si>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</si>
  <si>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</si>
  <si>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</si>
  <si>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</si>
  <si>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</si>
  <si>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</si>
  <si>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</si>
  <si>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</si>
  <si>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</si>
  <si>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</si>
  <si>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</si>
  <si>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</si>
  <si>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</si>
  <si>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</si>
  <si>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</si>
  <si>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</si>
  <si>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</si>
  <si>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</si>
  <si>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</si>
  <si>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</si>
  <si>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</si>
  <si>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</si>
  <si>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</si>
  <si>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</si>
  <si>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</si>
  <si>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</si>
  <si>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</si>
  <si>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</si>
  <si>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</si>
  <si>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</si>
  <si>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</si>
  <si>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</si>
  <si>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</si>
  <si>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</si>
  <si>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</si>
  <si>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</si>
  <si>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</si>
  <si>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</si>
  <si>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</si>
  <si>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</si>
  <si>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</si>
  <si>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</si>
  <si>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</si>
  <si>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</si>
  <si>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</si>
  <si>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</si>
  <si>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</si>
  <si>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</si>
  <si>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</si>
  <si>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</si>
  <si>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</si>
  <si>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</si>
  <si>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</si>
  <si>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</si>
  <si>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</si>
  <si>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</si>
  <si>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</si>
  <si>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</si>
  <si>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</si>
  <si>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</si>
  <si>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</si>
  <si>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</si>
  <si>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</si>
  <si>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</si>
  <si>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</si>
  <si>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</si>
  <si>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</si>
  <si>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</si>
  <si>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</si>
  <si>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</si>
  <si>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</si>
  <si>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</si>
  <si>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</si>
  <si>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</si>
  <si>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</si>
  <si>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</si>
  <si>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</si>
  <si>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</si>
  <si>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</si>
  <si>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</si>
  <si>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</si>
  <si>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</si>
  <si>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</si>
  <si>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</si>
  <si>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</si>
  <si>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</si>
  <si>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</si>
  <si>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</si>
  <si>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</si>
  <si>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</si>
  <si>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</si>
  <si>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</si>
  <si>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</si>
  <si>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</si>
  <si>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</si>
  <si>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</si>
  <si>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</si>
  <si>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</si>
  <si>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</si>
  <si>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</si>
  <si>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</si>
  <si>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</si>
  <si>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</si>
  <si>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</si>
  <si>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</si>
  <si>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</si>
  <si>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</si>
  <si>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</si>
  <si>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</si>
  <si>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</si>
  <si>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</si>
  <si>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</si>
  <si>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</si>
  <si>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</si>
  <si>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</si>
  <si>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</si>
  <si>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</si>
  <si>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</si>
  <si>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</si>
  <si>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</si>
  <si>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</si>
  <si>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</si>
  <si>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</si>
  <si>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</si>
  <si>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</si>
  <si>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</si>
  <si>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</si>
  <si>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</si>
  <si>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</si>
  <si>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</si>
  <si>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</si>
  <si>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</si>
  <si>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</si>
  <si>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</si>
  <si>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</si>
  <si>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</si>
  <si>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</si>
  <si>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</si>
  <si>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</si>
  <si>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</si>
  <si>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</si>
  <si>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</si>
  <si>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</si>
  <si>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</si>
  <si>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</si>
  <si>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</si>
  <si>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</si>
  <si>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</si>
  <si>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</si>
  <si>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</si>
  <si>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</si>
  <si>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</si>
  <si>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</si>
  <si>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</si>
  <si>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</si>
  <si>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</si>
  <si>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</si>
  <si>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</si>
  <si>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</si>
  <si>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</si>
  <si>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</si>
  <si>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</si>
  <si>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</si>
  <si>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</si>
  <si>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</si>
  <si>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</si>
  <si>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</si>
  <si>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</si>
  <si>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</si>
  <si>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</si>
  <si>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</si>
  <si>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</si>
  <si>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</si>
  <si>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</si>
  <si>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</si>
  <si>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</si>
  <si>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</si>
  <si>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</si>
  <si>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</si>
  <si>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</si>
  <si>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</si>
  <si>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</si>
  <si>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</si>
  <si>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</si>
  <si>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</si>
  <si>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</si>
  <si>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</si>
  <si>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</si>
  <si>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</si>
  <si>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</si>
  <si>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</si>
  <si>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</si>
  <si>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</si>
  <si>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</si>
  <si>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</si>
  <si>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</si>
  <si>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</si>
  <si>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</si>
  <si>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</si>
  <si>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</si>
  <si>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</si>
  <si>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</si>
  <si>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</si>
  <si>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</si>
  <si>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</si>
  <si>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</si>
  <si>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</si>
  <si>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</si>
  <si>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</si>
  <si>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</si>
  <si>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</si>
  <si>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</si>
  <si>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</si>
  <si>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</si>
  <si>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</si>
  <si>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</si>
  <si>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</si>
  <si>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</si>
  <si>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</si>
  <si>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</si>
  <si>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</si>
  <si>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</si>
  <si>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</si>
  <si>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</si>
  <si>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</si>
  <si>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</si>
  <si>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</si>
  <si>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</si>
  <si>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</si>
  <si>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</si>
  <si>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</si>
  <si>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</si>
  <si>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</si>
  <si>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</si>
  <si>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</si>
  <si>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</si>
  <si>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</si>
  <si>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</si>
  <si>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</si>
  <si>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</si>
  <si>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</si>
  <si>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</si>
  <si>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</si>
  <si>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</si>
  <si>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</si>
  <si>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</si>
  <si>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</si>
  <si>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</si>
  <si>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</si>
  <si>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</si>
  <si>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</si>
  <si>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</si>
  <si>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</si>
  <si>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</si>
  <si>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</si>
  <si>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</si>
  <si>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</si>
  <si>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</si>
  <si>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</si>
  <si>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</si>
  <si>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</si>
  <si>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</si>
  <si>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</si>
  <si>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</si>
  <si>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</si>
  <si>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</si>
  <si>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</si>
  <si>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</si>
  <si>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</si>
  <si>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</si>
  <si>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</si>
  <si>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</si>
  <si>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</si>
  <si>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</si>
  <si>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</si>
  <si>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</si>
  <si>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</si>
  <si>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</si>
  <si>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</si>
  <si>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</si>
  <si>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</si>
  <si>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</si>
  <si>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</si>
  <si>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</si>
  <si>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</si>
  <si>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</si>
  <si>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</si>
  <si>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</si>
  <si>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</si>
  <si>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</si>
  <si>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</si>
  <si>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</si>
  <si>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</si>
  <si>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</si>
  <si>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</si>
  <si>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</si>
  <si>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</si>
  <si>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</si>
  <si>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</si>
  <si>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</si>
  <si>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</si>
  <si>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</si>
  <si>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</si>
  <si>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</si>
  <si>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</si>
  <si>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</si>
  <si>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</si>
  <si>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</si>
  <si>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</si>
  <si>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</si>
  <si>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</si>
  <si>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</si>
  <si>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</si>
  <si>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</si>
  <si>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</si>
  <si>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</si>
  <si>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</si>
  <si>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</si>
  <si>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</si>
  <si>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</si>
  <si>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</si>
  <si>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</si>
  <si>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</si>
  <si>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</si>
  <si>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</si>
  <si>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</si>
  <si>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</si>
  <si>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</si>
  <si>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</si>
  <si>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</si>
  <si>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</si>
  <si>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</si>
  <si>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</si>
  <si>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</si>
  <si>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</si>
  <si>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</si>
  <si>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</si>
  <si>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</si>
  <si>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</si>
  <si>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</si>
  <si>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</si>
  <si>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</si>
  <si>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</si>
  <si>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</si>
  <si>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</si>
  <si>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</si>
  <si>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</si>
  <si>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</si>
  <si>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</si>
  <si>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</si>
  <si>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</si>
  <si>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</si>
  <si>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</si>
  <si>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</si>
  <si>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</si>
  <si>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</si>
  <si>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</si>
  <si>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</si>
  <si>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</si>
  <si>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</si>
  <si>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</si>
  <si>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</si>
  <si>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</si>
  <si>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</si>
  <si>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</si>
  <si>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</si>
  <si>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</si>
  <si>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</si>
  <si>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</si>
  <si>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</si>
  <si>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</si>
  <si>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</si>
  <si>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</si>
  <si>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</si>
  <si>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</si>
  <si>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</si>
  <si>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</si>
  <si>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</si>
  <si>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</si>
  <si>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</si>
  <si>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</si>
  <si>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</si>
  <si>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</si>
  <si>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</si>
  <si>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</si>
  <si>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</si>
  <si>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</si>
  <si>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</si>
  <si>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</si>
  <si>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</si>
  <si>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</si>
  <si>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</si>
  <si>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</si>
  <si>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</si>
  <si>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</si>
  <si>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</si>
  <si>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</si>
  <si>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</si>
  <si>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</si>
  <si>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</si>
  <si>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</si>
  <si>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</si>
  <si>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</si>
  <si>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</si>
  <si>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</si>
  <si>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</si>
  <si>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</si>
  <si>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</si>
  <si>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</si>
  <si>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</si>
  <si>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</si>
  <si>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</si>
  <si>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</si>
  <si>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</si>
  <si>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</si>
  <si>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</si>
  <si>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</si>
  <si>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</si>
  <si>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</si>
  <si>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</si>
  <si>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</si>
  <si>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</si>
  <si>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</si>
  <si>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</si>
  <si>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</si>
  <si>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</si>
  <si>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</si>
  <si>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</si>
  <si>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</si>
  <si>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</si>
  <si>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</si>
  <si>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</si>
  <si>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</si>
  <si>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</si>
  <si>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</si>
  <si>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</si>
  <si>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</si>
  <si>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</si>
  <si>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</si>
  <si>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</si>
  <si>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</si>
  <si>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</si>
  <si>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</si>
  <si>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</si>
  <si>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</si>
  <si>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</si>
  <si>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</si>
  <si>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</si>
  <si>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</si>
  <si>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</si>
  <si>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</si>
  <si>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</si>
  <si>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</si>
  <si>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</si>
  <si>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</si>
  <si>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</si>
  <si>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</si>
  <si>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</si>
  <si>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</si>
  <si>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</si>
  <si>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</si>
  <si>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</si>
  <si>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</si>
  <si>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</si>
  <si>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</si>
  <si>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</si>
  <si>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</si>
  <si>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</si>
  <si>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</si>
  <si>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</si>
  <si>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</si>
  <si>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</si>
  <si>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</si>
  <si>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</si>
  <si>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</si>
  <si>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</si>
  <si>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</si>
  <si>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</si>
  <si>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</si>
  <si>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</si>
  <si>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</si>
  <si>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</si>
  <si>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</si>
  <si>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</si>
  <si>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</si>
  <si>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</si>
  <si>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</si>
  <si>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</si>
  <si>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</si>
  <si>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</si>
  <si>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</si>
  <si>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</si>
  <si>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</si>
  <si>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</si>
  <si>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</si>
  <si>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</si>
  <si>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</si>
  <si>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</si>
  <si>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</si>
  <si>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</si>
  <si>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</si>
  <si>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</si>
  <si>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</si>
  <si>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</si>
  <si>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</si>
  <si>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</si>
  <si>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</si>
  <si>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</si>
  <si>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</si>
  <si>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</si>
  <si>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</si>
  <si>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</si>
  <si>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</si>
  <si>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</si>
  <si>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</si>
  <si>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</si>
  <si>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</si>
  <si>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</si>
  <si>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</si>
  <si>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</si>
  <si>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</si>
  <si>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</si>
  <si>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</si>
  <si>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</si>
  <si>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</si>
  <si>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</si>
  <si>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</si>
  <si>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</si>
  <si>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</si>
  <si>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</si>
  <si>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</si>
  <si>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</si>
  <si>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</si>
  <si>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</si>
  <si>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</si>
  <si>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</si>
  <si>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</si>
  <si>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</si>
  <si>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</si>
  <si>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</si>
  <si>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</si>
  <si>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</si>
  <si>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</si>
  <si>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</si>
  <si>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</si>
  <si>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</si>
  <si>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</si>
  <si>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</si>
  <si>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</si>
  <si>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</si>
  <si>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</si>
  <si>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</si>
  <si>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</si>
  <si>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</si>
  <si>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</si>
  <si>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</si>
  <si>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</si>
  <si>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</si>
  <si>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</si>
  <si>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</si>
  <si>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</si>
  <si>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</si>
  <si>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</si>
  <si>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</si>
  <si>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</si>
  <si>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</si>
  <si>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</si>
  <si>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</si>
  <si>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</si>
  <si>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</si>
  <si>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</si>
  <si>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</si>
  <si>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</si>
  <si>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</si>
  <si>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</si>
  <si>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</si>
  <si>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</si>
  <si>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</si>
  <si>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</si>
  <si>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</si>
  <si>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</si>
  <si>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</si>
  <si>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</si>
  <si>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</si>
  <si>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</si>
  <si>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</si>
  <si>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</si>
  <si>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</si>
  <si>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</si>
  <si>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</si>
  <si>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</si>
  <si>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</si>
  <si>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</si>
  <si>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</si>
  <si>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</si>
  <si>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</si>
  <si>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</si>
  <si>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</si>
  <si>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</si>
  <si>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</si>
  <si>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</si>
  <si>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</si>
  <si>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</si>
  <si>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</si>
  <si>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</si>
  <si>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</si>
  <si>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</si>
  <si>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</si>
  <si>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</si>
  <si>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</si>
  <si>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</si>
  <si>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</si>
  <si>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</si>
  <si>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</si>
  <si>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</si>
  <si>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</si>
  <si>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</si>
  <si>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</si>
  <si>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</si>
  <si>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</si>
  <si>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</si>
  <si>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</si>
  <si>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</si>
  <si>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</si>
  <si>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</si>
  <si>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</si>
  <si>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</si>
  <si>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</si>
  <si>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</si>
  <si>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</si>
  <si>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</si>
  <si>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</si>
  <si>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</si>
  <si>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</si>
  <si>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</si>
  <si>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</si>
  <si>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</si>
  <si>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</si>
  <si>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</si>
  <si>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</si>
  <si>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</si>
  <si>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</si>
  <si>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</si>
  <si>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</si>
  <si>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</si>
  <si>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</si>
  <si>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</si>
  <si>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</si>
  <si>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</si>
  <si>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</si>
  <si>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</si>
  <si>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</si>
  <si>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</si>
  <si>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</si>
  <si>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</si>
  <si>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</si>
  <si>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</si>
  <si>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</si>
  <si>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</si>
  <si>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</si>
  <si>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</si>
  <si>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</si>
  <si>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</si>
  <si>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</si>
  <si>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</si>
  <si>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</si>
  <si>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</si>
  <si>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</si>
  <si>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</si>
  <si>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</si>
  <si>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</si>
  <si>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</si>
  <si>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</si>
  <si>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</si>
  <si>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</si>
  <si>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</si>
  <si>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</si>
  <si>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</si>
  <si>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</si>
  <si>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</si>
  <si>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</si>
  <si>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</si>
  <si>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</si>
  <si>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</si>
  <si>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</si>
  <si>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</si>
  <si>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</si>
  <si>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</si>
  <si>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</si>
  <si>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</si>
  <si>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</si>
  <si>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</si>
  <si>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</si>
  <si>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</si>
  <si>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</si>
  <si>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</si>
  <si>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</si>
  <si>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</si>
  <si>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</si>
  <si>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</si>
  <si>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</si>
  <si>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</si>
  <si>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</si>
  <si>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</si>
  <si>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</si>
  <si>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</si>
  <si>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</si>
  <si>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</si>
  <si>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</si>
  <si>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</si>
  <si>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</si>
  <si>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</si>
  <si>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</si>
  <si>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</si>
  <si>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</si>
  <si>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</si>
  <si>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</si>
  <si>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</si>
  <si>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</si>
  <si>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</si>
  <si>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</si>
  <si>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</si>
  <si>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</si>
  <si>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</si>
  <si>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</si>
  <si>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</si>
  <si>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</si>
  <si>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</si>
  <si>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</si>
  <si>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</si>
  <si>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</si>
  <si>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</si>
  <si>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</si>
  <si>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</si>
  <si>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</si>
  <si>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</si>
  <si>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</si>
  <si>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</si>
  <si>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</si>
  <si>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</si>
  <si>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</si>
  <si>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</si>
  <si>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</si>
  <si>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</si>
  <si>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</si>
  <si>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</si>
  <si>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</si>
  <si>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</si>
  <si>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</si>
  <si>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</si>
  <si>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</si>
  <si>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</si>
  <si>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</si>
  <si>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</si>
  <si>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</si>
  <si>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</si>
  <si>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</si>
  <si>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</si>
  <si>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</si>
  <si>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</si>
  <si>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</si>
  <si>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</si>
  <si>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</si>
  <si>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</si>
  <si>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</si>
  <si>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</si>
  <si>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</si>
  <si>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</si>
  <si>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</si>
  <si>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</si>
  <si>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</si>
  <si>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</si>
  <si>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</si>
  <si>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</si>
  <si>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</si>
  <si>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</si>
  <si>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</si>
  <si>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</si>
  <si>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</si>
  <si>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</si>
  <si>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</si>
  <si>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</si>
  <si>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</si>
  <si>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</si>
  <si>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</si>
  <si>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</si>
  <si>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</si>
  <si>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</si>
  <si>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</si>
  <si>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</si>
  <si>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</si>
  <si>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</si>
  <si>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</si>
  <si>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</si>
  <si>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</si>
  <si>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</si>
  <si>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</si>
  <si>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</si>
  <si>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</si>
  <si>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</si>
  <si>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</si>
  <si>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</si>
  <si>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</si>
  <si>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</si>
  <si>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</si>
  <si>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</si>
  <si>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</si>
  <si>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</si>
  <si>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</si>
  <si>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</si>
  <si>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</si>
  <si>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</si>
  <si>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</si>
  <si>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</si>
  <si>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</si>
  <si>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</si>
  <si>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</si>
  <si>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</si>
  <si>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</si>
  <si>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</si>
  <si>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</si>
  <si>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</si>
  <si>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</si>
  <si>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</si>
  <si>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</si>
  <si>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</si>
  <si>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</si>
  <si>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</si>
  <si>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</si>
  <si>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</si>
  <si>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</si>
  <si>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</si>
  <si>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</si>
  <si>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</si>
  <si>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</si>
  <si>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</si>
  <si>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</si>
  <si>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</si>
  <si>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</si>
  <si>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</si>
  <si>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</si>
  <si>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</si>
  <si>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</si>
  <si>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</si>
  <si>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</si>
  <si>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</si>
  <si>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</si>
  <si>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</si>
  <si>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</si>
  <si>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</si>
  <si>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</si>
  <si>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</si>
  <si>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</si>
  <si>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</si>
  <si>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</si>
  <si>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</si>
  <si>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</si>
  <si>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</si>
  <si>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</si>
  <si>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</si>
  <si>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</si>
  <si>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</si>
  <si>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</si>
  <si>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</si>
  <si>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</si>
  <si>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</si>
  <si>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</si>
  <si>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</si>
  <si>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</si>
  <si>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</si>
  <si>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</si>
  <si>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</si>
  <si>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</si>
  <si>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</si>
  <si>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</si>
  <si>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</si>
  <si>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</si>
  <si>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</si>
  <si>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</si>
  <si>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</si>
  <si>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</si>
  <si>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</si>
  <si>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</si>
  <si>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</si>
  <si>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</si>
  <si>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</si>
  <si>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</si>
  <si>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</si>
  <si>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</si>
  <si>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</si>
  <si>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</si>
  <si>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</si>
  <si>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</si>
  <si>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</si>
  <si>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</si>
  <si>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</si>
  <si>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</si>
  <si>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</si>
  <si>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</si>
  <si>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</si>
  <si>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</si>
  <si>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</si>
  <si>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</si>
  <si>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</si>
  <si>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</si>
  <si>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</si>
  <si>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</si>
  <si>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</si>
  <si>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</si>
  <si>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</si>
  <si>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</si>
  <si>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</si>
  <si>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</si>
  <si>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</si>
  <si>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</si>
  <si>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</si>
  <si>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</si>
  <si>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</si>
  <si>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</si>
  <si>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</si>
  <si>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</si>
  <si>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</si>
  <si>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</si>
  <si>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</si>
  <si>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</si>
  <si>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</si>
  <si>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</si>
  <si>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</si>
  <si>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</si>
  <si>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</si>
  <si>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</si>
  <si>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</si>
  <si>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</si>
  <si>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</si>
  <si>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</si>
  <si>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</si>
  <si>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</si>
  <si>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</si>
  <si>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</si>
  <si>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</si>
  <si>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</si>
  <si>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</si>
  <si>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</si>
  <si>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</si>
  <si>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</si>
  <si>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</si>
  <si>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</si>
  <si>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</si>
  <si>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</si>
  <si>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</si>
  <si>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</si>
  <si>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</si>
  <si>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</si>
  <si>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</si>
  <si>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</si>
  <si>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</si>
  <si>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</si>
  <si>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</si>
  <si>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</si>
  <si>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</si>
  <si>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</si>
  <si>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</si>
  <si>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</si>
  <si>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</si>
  <si>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</si>
  <si>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</si>
  <si>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</si>
  <si>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</si>
  <si>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</si>
  <si>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</si>
  <si>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</si>
  <si>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</si>
  <si>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</si>
  <si>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</si>
  <si>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</si>
  <si>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</si>
  <si>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</si>
  <si>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</si>
  <si>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</si>
  <si>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</si>
  <si>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</si>
  <si>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</si>
  <si>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</si>
  <si>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</si>
  <si>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</si>
  <si>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</si>
  <si>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</si>
  <si>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</si>
  <si>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</si>
  <si>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</si>
  <si>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</si>
  <si>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</si>
  <si>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</si>
  <si>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</si>
  <si>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</si>
  <si>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</si>
  <si>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</si>
  <si>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</si>
  <si>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</si>
  <si>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</si>
  <si>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</si>
  <si>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</si>
  <si>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</si>
  <si>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</si>
  <si>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</si>
  <si>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</si>
  <si>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</si>
  <si>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</si>
  <si>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</si>
  <si>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</si>
  <si>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</si>
  <si>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</si>
  <si>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</si>
  <si>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</si>
  <si>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</si>
  <si>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</si>
  <si>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</si>
  <si>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</si>
  <si>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</si>
  <si>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</si>
  <si>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</si>
  <si>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</si>
  <si>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</si>
  <si>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</si>
  <si>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</si>
  <si>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</si>
  <si>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</si>
  <si>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</si>
  <si>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</si>
  <si>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</si>
  <si>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</si>
  <si>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</si>
  <si>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</si>
  <si>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</si>
  <si>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</si>
  <si>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</si>
  <si>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</si>
  <si>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</si>
  <si>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</si>
  <si>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</si>
  <si>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</si>
  <si>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</si>
  <si>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</si>
  <si>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</si>
  <si>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</si>
  <si>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</si>
  <si>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</si>
  <si>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</si>
  <si>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</si>
  <si>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</si>
  <si>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</si>
  <si>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</si>
  <si>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</si>
  <si>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</si>
  <si>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</si>
  <si>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</si>
  <si>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</si>
  <si>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</si>
  <si>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</si>
  <si>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</si>
  <si>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</si>
  <si>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</si>
  <si>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</si>
  <si>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</si>
  <si>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</si>
  <si>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</si>
  <si>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</si>
  <si>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</si>
  <si>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</si>
  <si>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</si>
  <si>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</si>
  <si>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</si>
  <si>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</si>
  <si>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</si>
  <si>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</si>
  <si>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</si>
  <si>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</si>
  <si>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</si>
  <si>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</si>
  <si>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</si>
  <si>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</si>
  <si>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</si>
  <si>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</si>
  <si>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</si>
  <si>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</si>
  <si>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</si>
  <si>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</si>
  <si>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</si>
  <si>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</si>
  <si>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</si>
  <si>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</si>
  <si>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</si>
  <si>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</si>
  <si>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</si>
  <si>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</si>
  <si>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</si>
  <si>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</si>
  <si>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</si>
  <si>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</si>
  <si>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</si>
  <si>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</si>
  <si>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</si>
  <si>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</si>
  <si>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</si>
  <si>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</si>
  <si>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</si>
  <si>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</si>
  <si>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</si>
  <si>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</si>
  <si>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</si>
  <si>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</si>
  <si>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</si>
  <si>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</si>
  <si>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</si>
  <si>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</si>
  <si>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</si>
  <si>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</si>
  <si>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</si>
  <si>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</si>
  <si>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</si>
  <si>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</si>
  <si>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</si>
  <si>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</si>
  <si>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</si>
  <si>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</si>
  <si>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</si>
  <si>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</si>
  <si>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</si>
  <si>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</si>
  <si>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</si>
  <si>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</si>
  <si>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</si>
  <si>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</si>
  <si>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</si>
  <si>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</si>
  <si>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</si>
  <si>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</si>
  <si>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</si>
  <si>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</si>
  <si>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</si>
  <si>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</si>
  <si>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</si>
  <si>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</si>
  <si>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</si>
  <si>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</si>
  <si>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</si>
  <si>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</si>
  <si>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</si>
  <si>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</si>
  <si>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</si>
  <si>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</si>
  <si>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</si>
  <si>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</si>
  <si>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</si>
  <si>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</si>
  <si>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</si>
  <si>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</si>
  <si>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</si>
  <si>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</si>
  <si>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</si>
  <si>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</si>
  <si>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</si>
  <si>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</si>
  <si>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</si>
  <si>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</si>
  <si>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</si>
  <si>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</si>
  <si>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</si>
  <si>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</si>
  <si>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</si>
  <si>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</si>
  <si>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</si>
  <si>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</si>
  <si>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</si>
  <si>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</si>
  <si>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</si>
  <si>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</si>
  <si>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</si>
  <si>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</si>
  <si>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</si>
  <si>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</si>
  <si>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</si>
  <si>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</si>
  <si>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</si>
  <si>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</si>
  <si>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</si>
  <si>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</si>
  <si>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</si>
  <si>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</si>
  <si>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</si>
  <si>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</si>
  <si>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</si>
  <si>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</si>
  <si>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</si>
  <si>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</si>
  <si>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</si>
  <si>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</si>
  <si>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</si>
  <si>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</si>
  <si>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</si>
  <si>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</si>
  <si>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</si>
  <si>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</si>
  <si>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</si>
  <si>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</si>
  <si>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</si>
  <si>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</si>
  <si>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</si>
  <si>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</si>
  <si>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</si>
  <si>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</si>
  <si>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</si>
  <si>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</si>
  <si>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</si>
  <si>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</si>
  <si>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</si>
  <si>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</si>
  <si>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</si>
  <si>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</si>
  <si>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</si>
  <si>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</si>
  <si>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</si>
  <si>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</si>
  <si>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</si>
  <si>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</si>
  <si>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</si>
  <si>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</si>
  <si>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</si>
  <si>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</si>
  <si>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</si>
  <si>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</si>
  <si>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</si>
  <si>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</si>
  <si>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</si>
  <si>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</si>
  <si>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</si>
  <si>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</si>
  <si>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</si>
  <si>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</si>
  <si>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</si>
  <si>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</si>
  <si>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</si>
  <si>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</si>
  <si>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</si>
  <si>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</si>
  <si>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</si>
  <si>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</si>
  <si>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</si>
  <si>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</si>
  <si>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</si>
  <si>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</si>
  <si>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</si>
  <si>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</si>
  <si>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</si>
  <si>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</si>
  <si>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</si>
  <si>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</si>
  <si>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</si>
  <si>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</si>
  <si>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</si>
  <si>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</si>
  <si>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</si>
  <si>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</si>
  <si>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</si>
  <si>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</si>
  <si>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</si>
  <si>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</si>
  <si>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</si>
  <si>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</si>
  <si>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</si>
  <si>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</si>
  <si>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</si>
  <si>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</si>
  <si>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</si>
  <si>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</si>
  <si>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</si>
  <si>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</si>
  <si>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</si>
  <si>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</si>
  <si>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</si>
  <si>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</si>
  <si>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</si>
  <si>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</si>
  <si>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</si>
  <si>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</si>
  <si>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</si>
  <si>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</si>
  <si>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</si>
  <si>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</si>
  <si>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</si>
  <si>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</si>
  <si>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</si>
  <si>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</si>
  <si>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</si>
  <si>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</si>
  <si>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</si>
  <si>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</si>
  <si>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</si>
  <si>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</si>
  <si>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</si>
  <si>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</si>
  <si>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</si>
  <si>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</si>
  <si>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</si>
  <si>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</si>
  <si>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</si>
  <si>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</si>
  <si>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</si>
  <si>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</si>
  <si>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</si>
  <si>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</si>
  <si>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</si>
  <si>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</si>
  <si>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</si>
  <si>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</si>
  <si>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</si>
  <si>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</si>
  <si>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</si>
  <si>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</si>
  <si>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</si>
  <si>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</si>
  <si>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</si>
  <si>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</si>
  <si>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</si>
  <si>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</si>
  <si>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</si>
  <si>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</si>
  <si>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</si>
  <si>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</si>
  <si>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</si>
  <si>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</si>
  <si>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</si>
  <si>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</si>
  <si>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</si>
  <si>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</si>
  <si>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</si>
  <si>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</si>
  <si>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</si>
  <si>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</si>
  <si>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</si>
  <si>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</si>
  <si>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</si>
  <si>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</si>
  <si>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</si>
  <si>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</si>
  <si>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</si>
  <si>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</si>
  <si>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</si>
  <si>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</si>
  <si>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</si>
  <si>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</si>
  <si>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</si>
  <si>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</si>
  <si>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</si>
  <si>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</si>
  <si>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</si>
  <si>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</si>
  <si>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</si>
  <si>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</si>
  <si>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</si>
  <si>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</si>
  <si>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</si>
  <si>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</si>
  <si>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</si>
  <si>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</si>
  <si>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</si>
  <si>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</si>
  <si>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</si>
  <si>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</si>
  <si>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</si>
  <si>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</si>
  <si>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</si>
  <si>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</si>
  <si>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</si>
  <si>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</si>
  <si>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</si>
  <si>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</si>
  <si>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</si>
  <si>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</si>
  <si>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</si>
  <si>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</si>
  <si>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</si>
  <si>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</si>
  <si>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</si>
  <si>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</si>
  <si>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</si>
  <si>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</si>
  <si>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</si>
  <si>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</si>
  <si>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</si>
  <si>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</si>
  <si>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</si>
  <si>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</si>
  <si>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</si>
  <si>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</si>
  <si>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</si>
  <si>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</si>
  <si>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</si>
  <si>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</si>
  <si>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</si>
  <si>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</si>
  <si>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</si>
  <si>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</si>
  <si>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</si>
  <si>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</si>
  <si>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</si>
  <si>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</si>
  <si>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</si>
  <si>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</si>
  <si>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</si>
  <si>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</si>
  <si>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</si>
  <si>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</si>
  <si>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</si>
  <si>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</si>
  <si>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</si>
  <si>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</si>
  <si>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</si>
  <si>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</si>
  <si>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</si>
  <si>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</si>
  <si>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</si>
  <si>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</si>
  <si>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</si>
  <si>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</si>
  <si>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</si>
  <si>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</si>
  <si>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</si>
  <si>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</si>
  <si>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</si>
  <si>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</si>
  <si>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</si>
  <si>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</si>
  <si>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</si>
  <si>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</si>
  <si>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</si>
  <si>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</si>
  <si>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</si>
  <si>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</si>
  <si>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</si>
  <si>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</si>
  <si>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</si>
  <si>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</si>
  <si>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</si>
  <si>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</si>
  <si>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</si>
  <si>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</si>
  <si>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</si>
  <si>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</si>
  <si>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</si>
  <si>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</si>
  <si>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</si>
  <si>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</si>
  <si>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</si>
  <si>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</si>
  <si>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</si>
  <si>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</si>
  <si>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</si>
  <si>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</si>
  <si>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</si>
  <si>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</si>
  <si>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</si>
  <si>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</si>
  <si>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</si>
  <si>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</si>
  <si>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</si>
  <si>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</si>
  <si>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</si>
  <si>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</si>
  <si>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</si>
  <si>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</si>
  <si>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</si>
  <si>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</si>
  <si>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</si>
  <si>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</si>
  <si>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</si>
  <si>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</si>
  <si>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</si>
  <si>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</si>
  <si>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</si>
  <si>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</si>
  <si>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</si>
  <si>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</si>
  <si>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</si>
  <si>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</si>
  <si>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</si>
  <si>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</si>
  <si>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</si>
  <si>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</si>
  <si>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</si>
  <si>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</si>
  <si>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</si>
  <si>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</si>
  <si>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</si>
  <si>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</si>
  <si>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</si>
  <si>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</si>
  <si>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</si>
  <si>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</si>
  <si>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</si>
  <si>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</si>
  <si>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</si>
  <si>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</si>
  <si>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</si>
  <si>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</si>
  <si>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</si>
  <si>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</si>
  <si>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</si>
  <si>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</si>
  <si>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</si>
  <si>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</si>
  <si>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</si>
  <si>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</si>
  <si>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</si>
  <si>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</si>
  <si>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</si>
  <si>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</si>
  <si>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</si>
  <si>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</si>
  <si>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</si>
  <si>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</si>
  <si>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</si>
  <si>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</si>
  <si>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</si>
  <si>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</si>
  <si>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</si>
  <si>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</si>
  <si>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</si>
  <si>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</si>
  <si>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</si>
  <si>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</si>
  <si>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</si>
  <si>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</si>
  <si>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</si>
  <si>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</si>
  <si>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</si>
  <si>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</si>
  <si>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</si>
  <si>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</si>
  <si>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</si>
  <si>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</si>
  <si>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</si>
  <si>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</si>
  <si>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</si>
  <si>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</si>
  <si>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</si>
  <si>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</si>
  <si>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</si>
  <si>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</si>
  <si>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</si>
  <si>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</si>
  <si>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</si>
  <si>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</si>
  <si>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</si>
  <si>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</si>
  <si>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</si>
  <si>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</si>
  <si>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</si>
  <si>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</si>
  <si>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</si>
  <si>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</si>
  <si>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</si>
  <si>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</si>
  <si>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</si>
  <si>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</si>
  <si>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</si>
  <si>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</si>
  <si>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</si>
  <si>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</si>
  <si>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</si>
  <si>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</si>
  <si>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</si>
  <si>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</si>
  <si>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</si>
  <si>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</si>
  <si>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</si>
  <si>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</si>
  <si>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</si>
  <si>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</si>
  <si>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</si>
  <si>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</si>
  <si>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</si>
  <si>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</si>
  <si>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</si>
  <si>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</si>
  <si>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</si>
  <si>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</si>
  <si>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</si>
  <si>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</si>
  <si>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</si>
  <si>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</si>
  <si>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</si>
  <si>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</si>
  <si>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</si>
  <si>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</si>
  <si>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</si>
  <si>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</si>
  <si>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</si>
  <si>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</si>
  <si>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</si>
  <si>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</si>
  <si>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</si>
  <si>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</si>
  <si>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</si>
  <si>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</si>
  <si>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</si>
  <si>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</si>
  <si>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</si>
  <si>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</si>
  <si>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</si>
  <si>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</si>
  <si>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</si>
  <si>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</si>
  <si>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</si>
  <si>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</si>
  <si>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</si>
  <si>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</si>
  <si>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</si>
  <si>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</si>
  <si>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</si>
  <si>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</si>
  <si>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</si>
  <si>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</si>
  <si>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</si>
  <si>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</si>
  <si>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</si>
  <si>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</si>
  <si>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</si>
  <si>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</si>
  <si>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</si>
  <si>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</si>
  <si>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</si>
  <si>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</si>
  <si>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</si>
  <si>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</si>
  <si>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</si>
  <si>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</si>
  <si>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</si>
  <si>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</si>
  <si>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</si>
  <si>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</si>
  <si>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</si>
  <si>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</si>
  <si>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</si>
  <si>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</si>
  <si>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</si>
  <si>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</si>
  <si>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</si>
  <si>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</si>
  <si>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</si>
  <si>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</si>
  <si>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</si>
  <si>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</si>
  <si>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</si>
  <si>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</si>
  <si>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</si>
  <si>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</si>
  <si>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</si>
  <si>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</si>
  <si>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</si>
  <si>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</si>
  <si>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</si>
  <si>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</si>
  <si>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</si>
  <si>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</si>
  <si>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</si>
  <si>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</si>
  <si>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</si>
  <si>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</si>
  <si>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</si>
  <si>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</si>
  <si>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</si>
  <si>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</si>
  <si>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</si>
  <si>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</si>
  <si>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</si>
  <si>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</si>
  <si>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</si>
  <si>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</si>
  <si>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</si>
  <si>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</si>
  <si>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</si>
  <si>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</si>
  <si>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</si>
  <si>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</si>
  <si>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</si>
  <si>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</si>
  <si>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</si>
  <si>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</si>
  <si>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</si>
  <si>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</si>
  <si>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</si>
  <si>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</si>
  <si>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</si>
  <si>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</si>
  <si>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</si>
  <si>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</si>
  <si>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</si>
  <si>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</si>
  <si>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</si>
  <si>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</si>
  <si>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</si>
  <si>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</si>
  <si>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</si>
  <si>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</si>
  <si>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</si>
  <si>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</si>
  <si>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</si>
  <si>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</si>
  <si>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</si>
  <si>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</si>
  <si>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</si>
  <si>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</si>
  <si>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</si>
  <si>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</si>
  <si>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</si>
  <si>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</si>
  <si>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</si>
  <si>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</si>
  <si>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</si>
  <si>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</si>
  <si>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</si>
  <si>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</si>
  <si>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</si>
  <si>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</si>
  <si>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</si>
  <si>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</si>
  <si>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</si>
  <si>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</si>
  <si>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</si>
  <si>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</si>
  <si>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</si>
  <si>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</si>
  <si>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</si>
  <si>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</si>
  <si>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</si>
  <si>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</si>
  <si>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</si>
  <si>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</si>
  <si>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</si>
  <si>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</si>
  <si>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</si>
  <si>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</si>
  <si>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</si>
  <si>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</si>
  <si>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</si>
  <si>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</si>
  <si>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</si>
  <si>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</si>
  <si>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</si>
  <si>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</si>
  <si>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</si>
  <si>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</si>
  <si>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</si>
  <si>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</si>
  <si>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</si>
  <si>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</si>
  <si>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</si>
  <si>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</si>
  <si>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</si>
  <si>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</si>
  <si>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</si>
  <si>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</si>
  <si>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</si>
  <si>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</si>
  <si>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</si>
  <si>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</si>
  <si>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</si>
  <si>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</si>
  <si>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</si>
  <si>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</si>
  <si>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</si>
  <si>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</si>
  <si>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</si>
  <si>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</si>
  <si>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</si>
  <si>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</si>
  <si>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</si>
  <si>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</si>
  <si>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</si>
  <si>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</si>
  <si>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</si>
  <si>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</si>
  <si>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</si>
  <si>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</si>
  <si>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</si>
  <si>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</si>
  <si>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</si>
  <si>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</si>
  <si>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</si>
  <si>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</si>
  <si>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</si>
  <si>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</si>
  <si>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</si>
  <si>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</si>
  <si>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</si>
  <si>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</si>
  <si>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</si>
  <si>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</si>
  <si>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</si>
  <si>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</si>
  <si>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</si>
  <si>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</si>
  <si>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</si>
  <si>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</si>
  <si>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</si>
  <si>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</si>
  <si>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</si>
  <si>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</si>
  <si>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</si>
  <si>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</si>
  <si>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</si>
  <si>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</si>
  <si>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</si>
  <si>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</si>
  <si>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</si>
  <si>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</si>
  <si>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</si>
  <si>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</si>
  <si>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</si>
  <si>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</si>
  <si>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</si>
  <si>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</si>
  <si>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</si>
  <si>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</si>
  <si>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</si>
  <si>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</si>
  <si>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</si>
  <si>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</si>
  <si>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</si>
  <si>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</si>
  <si>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</si>
  <si>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</si>
  <si>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</si>
  <si>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</si>
  <si>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</si>
  <si>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</si>
  <si>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</si>
  <si>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</si>
  <si>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</si>
  <si>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</si>
  <si>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</si>
  <si>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</si>
  <si>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</si>
  <si>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</si>
  <si>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</si>
  <si>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</si>
  <si>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</si>
  <si>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</si>
  <si>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</si>
  <si>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</si>
  <si>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</si>
  <si>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</si>
  <si>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</si>
  <si>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</si>
  <si>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</si>
  <si>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</si>
  <si>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</si>
  <si>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</si>
  <si>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</si>
  <si>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</si>
  <si>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</si>
  <si>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</si>
  <si>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</si>
  <si>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</si>
  <si>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</si>
  <si>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</si>
  <si>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</si>
  <si>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</si>
  <si>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</si>
  <si>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</si>
  <si>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</si>
  <si>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</si>
  <si>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</si>
  <si>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</si>
  <si>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</si>
  <si>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</si>
  <si>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</si>
  <si>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</si>
  <si>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</si>
  <si>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</si>
  <si>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</si>
  <si>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</si>
  <si>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</si>
  <si>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</si>
  <si>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</si>
  <si>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</si>
  <si>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</si>
  <si>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</si>
  <si>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</si>
  <si>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</si>
  <si>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</si>
  <si>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</si>
  <si>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</si>
  <si>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</si>
  <si>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</si>
  <si>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</si>
  <si>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</si>
  <si>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</si>
  <si>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</si>
  <si>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</si>
  <si>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</si>
  <si>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</si>
  <si>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</si>
  <si>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</si>
  <si>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</si>
  <si>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</si>
  <si>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</si>
  <si>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</si>
  <si>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</si>
  <si>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</si>
  <si>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</si>
  <si>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</si>
  <si>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</si>
  <si>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</si>
  <si>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</si>
  <si>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</si>
  <si>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</si>
  <si>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</si>
  <si>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</si>
  <si>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</si>
  <si>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</si>
  <si>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</si>
  <si>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</si>
  <si>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</si>
  <si>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</si>
  <si>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</si>
  <si>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</si>
  <si>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</si>
  <si>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</si>
  <si>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</si>
  <si>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</si>
  <si>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</si>
  <si>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</si>
  <si>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</si>
  <si>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</si>
  <si>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</si>
  <si>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</si>
  <si>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</si>
  <si>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</si>
  <si>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</si>
  <si>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</si>
  <si>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</si>
  <si>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</si>
  <si>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</si>
  <si>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</si>
  <si>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</si>
  <si>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</si>
  <si>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</si>
  <si>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</si>
  <si>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</si>
  <si>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</si>
  <si>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</si>
  <si>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</si>
  <si>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</si>
  <si>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</si>
  <si>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</si>
  <si>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</si>
  <si>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</si>
  <si>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</si>
  <si>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</si>
  <si>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</si>
  <si>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</si>
  <si>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</si>
  <si>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</si>
  <si>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</si>
  <si>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</si>
  <si>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</si>
  <si>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</si>
  <si>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</si>
  <si>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</si>
  <si>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</si>
  <si>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</si>
  <si>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</si>
  <si>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</si>
  <si>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</si>
  <si>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</si>
  <si>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</si>
  <si>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</si>
  <si>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</si>
  <si>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</si>
  <si>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</si>
  <si>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</si>
  <si>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</si>
  <si>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</si>
  <si>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</si>
  <si>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</si>
  <si>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</si>
  <si>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</si>
  <si>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</si>
  <si>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</si>
  <si>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</si>
  <si>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</si>
  <si>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</si>
  <si>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</si>
  <si>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</si>
  <si>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</si>
  <si>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</si>
  <si>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</si>
  <si>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</si>
  <si>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</si>
  <si>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</si>
  <si>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</si>
  <si>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</si>
  <si>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</si>
  <si>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</si>
  <si>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</si>
  <si>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</si>
  <si>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</si>
  <si>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</si>
  <si>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</si>
  <si>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</si>
  <si>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</si>
  <si>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</si>
  <si>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</si>
  <si>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</si>
  <si>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</si>
  <si>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</si>
  <si>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</si>
  <si>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</si>
  <si>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</si>
  <si>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</si>
  <si>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</si>
  <si>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</si>
  <si>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</si>
  <si>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</si>
  <si>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</si>
  <si>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</si>
  <si>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</si>
  <si>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</si>
  <si>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</si>
  <si>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</si>
  <si>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</si>
  <si>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</si>
  <si>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</si>
  <si>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</si>
  <si>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</si>
  <si>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</si>
  <si>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</si>
  <si>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</si>
  <si>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</si>
  <si>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</si>
  <si>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</si>
  <si>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</si>
  <si>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</si>
  <si>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</si>
  <si>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</si>
  <si>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</si>
  <si>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</si>
  <si>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</si>
  <si>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</si>
  <si>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</si>
  <si>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</si>
  <si>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</si>
  <si>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</si>
  <si>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</si>
  <si>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</si>
  <si>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</si>
  <si>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</si>
  <si>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</si>
  <si>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</si>
  <si>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</si>
  <si>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</si>
  <si>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</si>
  <si>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</si>
  <si>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</si>
  <si>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</si>
  <si>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</si>
  <si>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</si>
  <si>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</si>
  <si>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</si>
  <si>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</si>
  <si>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</si>
  <si>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</si>
  <si>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</si>
  <si>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</si>
  <si>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</si>
  <si>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</si>
  <si>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</si>
  <si>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</si>
  <si>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</si>
  <si>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</si>
  <si>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</si>
  <si>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</si>
  <si>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</si>
  <si>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</si>
  <si>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</si>
  <si>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</si>
  <si>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</si>
  <si>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</si>
  <si>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</si>
  <si>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</si>
  <si>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</si>
  <si>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</si>
  <si>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</si>
  <si>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</si>
  <si>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</si>
  <si>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</si>
  <si>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</si>
  <si>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</si>
  <si>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</si>
  <si>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</si>
  <si>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</si>
  <si>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</si>
  <si>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</si>
  <si>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</si>
  <si>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</si>
  <si>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</si>
  <si>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</si>
  <si>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</si>
  <si>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</si>
  <si>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</si>
  <si>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</si>
  <si>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</si>
  <si>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</si>
  <si>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</si>
  <si>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</si>
  <si>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</si>
  <si>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</si>
  <si>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</si>
  <si>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</si>
  <si>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</si>
  <si>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</si>
  <si>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</si>
  <si>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</si>
  <si>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</si>
  <si>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</si>
  <si>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</si>
  <si>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</si>
  <si>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</si>
  <si>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</si>
  <si>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</si>
  <si>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</si>
  <si>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</si>
  <si>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</si>
  <si>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</si>
  <si>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</si>
  <si>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</si>
  <si>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</si>
  <si>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</si>
  <si>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</si>
  <si>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</si>
  <si>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</si>
  <si>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</si>
  <si>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</si>
  <si>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</si>
  <si>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</si>
  <si>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</si>
  <si>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</si>
  <si>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</si>
  <si>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</si>
  <si>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</si>
  <si>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</si>
  <si>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</si>
  <si>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</si>
  <si>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</si>
  <si>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</si>
  <si>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</si>
  <si>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</si>
  <si>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</si>
  <si>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</si>
  <si>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</si>
  <si>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</si>
  <si>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</si>
  <si>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</si>
  <si>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</si>
  <si>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</si>
  <si>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</si>
  <si>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</si>
  <si>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</si>
  <si>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</si>
  <si>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</si>
  <si>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</si>
  <si>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</si>
  <si>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</si>
  <si>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</si>
  <si>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</si>
  <si>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</si>
  <si>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</si>
  <si>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</si>
  <si>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</si>
  <si>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</si>
  <si>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</si>
  <si>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</si>
  <si>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</si>
  <si>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</si>
  <si>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</si>
  <si>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</si>
  <si>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</si>
  <si>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</si>
  <si>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</si>
  <si>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</si>
  <si>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</si>
  <si>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</si>
  <si>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</si>
  <si>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</si>
  <si>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</si>
  <si>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</si>
  <si>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</si>
  <si>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</si>
  <si>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</si>
  <si>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</si>
  <si>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</si>
  <si>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</si>
  <si>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</si>
  <si>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</si>
  <si>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</si>
  <si>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</si>
  <si>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</si>
  <si>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</si>
  <si>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</si>
  <si>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</si>
  <si>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</si>
  <si>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</si>
  <si>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</si>
  <si>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</si>
  <si>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</si>
  <si>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</si>
  <si>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</si>
  <si>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</si>
  <si>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</si>
  <si>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</si>
  <si>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</si>
  <si>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</si>
  <si>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</si>
  <si>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</si>
  <si>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</si>
  <si>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</si>
  <si>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</si>
  <si>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</si>
  <si>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</si>
  <si>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</si>
  <si>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</si>
  <si>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</si>
  <si>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</si>
  <si>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</si>
  <si>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</si>
  <si>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</si>
  <si>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</si>
  <si>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</si>
  <si>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</si>
  <si>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</si>
  <si>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</si>
  <si>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</si>
  <si>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</si>
  <si>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</si>
  <si>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</si>
  <si>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</si>
  <si>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</si>
  <si>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</si>
  <si>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</si>
  <si>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</si>
  <si>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</si>
  <si>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</si>
  <si>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</si>
  <si>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</si>
  <si>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</si>
  <si>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</si>
  <si>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</si>
  <si>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</si>
  <si>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</si>
  <si>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</si>
  <si>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</si>
  <si>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</si>
  <si>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</si>
  <si>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</si>
  <si>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</si>
  <si>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</si>
  <si>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</si>
  <si>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</si>
  <si>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</si>
  <si>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</si>
  <si>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</si>
  <si>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</si>
  <si>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</si>
  <si>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</si>
  <si>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</si>
  <si>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</si>
  <si>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</si>
  <si>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</si>
  <si>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</si>
  <si>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</si>
  <si>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</si>
  <si>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</si>
  <si>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</si>
  <si>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</si>
  <si>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</si>
  <si>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</si>
  <si>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</si>
  <si>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</si>
  <si>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</si>
  <si>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</si>
  <si>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</si>
  <si>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</si>
  <si>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</si>
  <si>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</si>
  <si>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</si>
  <si>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</si>
  <si>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</si>
  <si>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</si>
  <si>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</si>
  <si>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</si>
  <si>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</si>
  <si>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</si>
  <si>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</si>
  <si>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</si>
  <si>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</si>
  <si>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</si>
  <si>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</si>
  <si>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</si>
  <si>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</si>
  <si>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</si>
  <si>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</si>
  <si>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</si>
  <si>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</si>
  <si>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</si>
  <si>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</si>
  <si>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</si>
  <si>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</si>
  <si>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</si>
  <si>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</si>
  <si>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</si>
  <si>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</si>
  <si>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</si>
  <si>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</si>
  <si>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</si>
  <si>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</si>
  <si>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</si>
  <si>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</si>
  <si>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</si>
  <si>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</si>
  <si>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</si>
  <si>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</si>
  <si>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</si>
  <si>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</si>
  <si>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</si>
  <si>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</si>
  <si>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</si>
  <si>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</si>
  <si>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</si>
  <si>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</si>
  <si>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</si>
  <si>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</si>
  <si>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</si>
  <si>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</si>
  <si>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</si>
  <si>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</si>
  <si>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</si>
  <si>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</si>
  <si>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</si>
  <si>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</si>
  <si>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</si>
  <si>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</si>
  <si>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</si>
  <si>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</si>
  <si>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</si>
  <si>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</si>
  <si>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</si>
  <si>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</si>
  <si>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</si>
  <si>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</si>
  <si>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</si>
  <si>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</si>
  <si>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</si>
  <si>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</si>
  <si>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</si>
  <si>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</si>
  <si>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</si>
  <si>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</si>
  <si>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</si>
  <si>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</si>
  <si>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</si>
  <si>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</si>
  <si>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</si>
  <si>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</si>
  <si>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</si>
  <si>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</si>
  <si>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</si>
  <si>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</si>
  <si>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</si>
  <si>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</si>
  <si>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</si>
  <si>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</si>
  <si>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</si>
  <si>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</si>
  <si>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</si>
  <si>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</si>
  <si>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</si>
  <si>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</si>
  <si>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</si>
  <si>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</si>
  <si>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</si>
  <si>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</si>
  <si>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</si>
  <si>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</si>
  <si>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</si>
  <si>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</si>
  <si>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</si>
  <si>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</si>
  <si>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</si>
  <si>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</si>
  <si>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</si>
  <si>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</si>
  <si>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</si>
  <si>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</si>
  <si>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</si>
  <si>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</si>
  <si>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</si>
  <si>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</si>
  <si>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</si>
  <si>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</si>
  <si>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</si>
  <si>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</si>
  <si>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</si>
  <si>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</si>
  <si>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</si>
  <si>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</si>
  <si>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</si>
  <si>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</si>
  <si>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</si>
  <si>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</si>
  <si>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</si>
  <si>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</si>
  <si>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</si>
  <si>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</si>
  <si>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</si>
  <si>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</si>
  <si>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</si>
  <si>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</si>
  <si>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</si>
  <si>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</si>
  <si>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</si>
  <si>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</si>
  <si>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</si>
  <si>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</si>
  <si>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</si>
  <si>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</si>
  <si>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</si>
  <si>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</si>
  <si>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</si>
  <si>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</si>
  <si>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</si>
  <si>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</si>
  <si>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</si>
  <si>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</si>
  <si>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</si>
  <si>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</si>
  <si>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</si>
  <si>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</si>
  <si>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</si>
  <si>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</si>
  <si>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</si>
  <si>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</si>
  <si>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</si>
  <si>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</si>
  <si>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</si>
  <si>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</si>
  <si>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</si>
  <si>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</si>
  <si>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</si>
  <si>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</si>
  <si>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</si>
  <si>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</si>
  <si>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</si>
  <si>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</si>
  <si>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</si>
  <si>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</si>
  <si>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</si>
  <si>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</si>
  <si>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</si>
  <si>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</si>
  <si>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</si>
  <si>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</si>
  <si>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</si>
  <si>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</si>
  <si>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</si>
  <si>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</si>
  <si>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</si>
  <si>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</si>
  <si>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</si>
  <si>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</si>
  <si>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</si>
  <si>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</si>
  <si>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</si>
  <si>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</si>
  <si>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</si>
  <si>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</si>
  <si>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</si>
  <si>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</si>
  <si>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</si>
  <si>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</si>
  <si>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</si>
  <si>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</si>
  <si>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</si>
  <si>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</si>
  <si>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</si>
  <si>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</si>
  <si>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</si>
  <si>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</si>
  <si>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</si>
  <si>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</si>
  <si>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</si>
  <si>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</si>
  <si>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</si>
  <si>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</si>
  <si>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</si>
  <si>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</si>
  <si>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</si>
  <si>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</si>
  <si>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</si>
  <si>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</si>
  <si>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</si>
  <si>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</si>
  <si>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</si>
  <si>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</si>
  <si>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</si>
  <si>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</si>
  <si>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</si>
  <si>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</si>
  <si>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</si>
  <si>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</si>
  <si>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</si>
  <si>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</si>
  <si>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</si>
  <si>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</si>
  <si>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</si>
  <si>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</si>
  <si>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</si>
  <si>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</si>
  <si>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</si>
  <si>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</si>
  <si>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</si>
  <si>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</si>
  <si>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</si>
  <si>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</si>
  <si>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</si>
  <si>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</si>
  <si>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</si>
  <si>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</si>
  <si>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</si>
  <si>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</si>
  <si>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</si>
  <si>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</si>
  <si>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</si>
  <si>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</si>
  <si>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</si>
  <si>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</si>
  <si>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</si>
  <si>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</si>
  <si>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</si>
  <si>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</si>
  <si>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</si>
  <si>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</si>
  <si>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</si>
  <si>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</si>
  <si>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</si>
  <si>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</si>
  <si>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</si>
  <si>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</si>
  <si>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</si>
  <si>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</si>
  <si>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</si>
  <si>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</si>
  <si>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</si>
  <si>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</si>
  <si>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</si>
  <si>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</si>
  <si>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</si>
  <si>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</si>
  <si>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</si>
  <si>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</si>
  <si>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</si>
  <si>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</si>
  <si>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</si>
  <si>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</si>
  <si>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</si>
  <si>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</si>
  <si>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</si>
  <si>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</si>
  <si>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</si>
  <si>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</si>
  <si>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</si>
  <si>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</si>
  <si>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</si>
  <si>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</si>
  <si>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</si>
  <si>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</si>
  <si>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</si>
  <si>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</si>
  <si>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</si>
  <si>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</si>
  <si>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</si>
  <si>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</si>
  <si>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</si>
  <si>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</si>
  <si>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</si>
  <si>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</si>
  <si>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</si>
  <si>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</si>
  <si>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</si>
  <si>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</si>
  <si>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</si>
  <si>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</si>
  <si>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</si>
  <si>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</si>
  <si>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</si>
  <si>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</si>
  <si>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</si>
  <si>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</si>
  <si>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</si>
  <si>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</si>
  <si>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</si>
  <si>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</si>
  <si>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</si>
  <si>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</si>
  <si>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</si>
  <si>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</si>
  <si>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</si>
  <si>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</si>
  <si>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</si>
  <si>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</si>
  <si>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</si>
  <si>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</si>
  <si>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</si>
  <si>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</si>
  <si>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</si>
  <si>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</si>
  <si>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</si>
  <si>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</si>
  <si>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</si>
  <si>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</si>
  <si>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</si>
  <si>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</si>
  <si>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</si>
  <si>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</si>
  <si>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</si>
  <si>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</si>
  <si>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</si>
  <si>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</si>
  <si>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</si>
  <si>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</si>
  <si>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</si>
  <si>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</si>
  <si>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</si>
  <si>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</si>
  <si>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</si>
  <si>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</si>
  <si>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</si>
  <si>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</si>
  <si>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</si>
  <si>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</si>
  <si>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</si>
  <si>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</si>
  <si>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</si>
  <si>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</si>
  <si>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</si>
  <si>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</si>
  <si>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</si>
  <si>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</si>
  <si>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</si>
  <si>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</si>
  <si>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</si>
  <si>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</si>
  <si>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</si>
  <si>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</si>
  <si>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</si>
  <si>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</si>
  <si>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</si>
  <si>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</si>
  <si>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</si>
  <si>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</si>
  <si>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</si>
  <si>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</si>
  <si>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</si>
  <si>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</si>
  <si>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</si>
  <si>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</si>
  <si>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</si>
  <si>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</si>
  <si>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</si>
  <si>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</si>
  <si>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</si>
  <si>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</si>
  <si>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</si>
  <si>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</si>
  <si>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</si>
  <si>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</si>
  <si>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</si>
  <si>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</si>
  <si>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</si>
  <si>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</si>
  <si>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</si>
  <si>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</si>
  <si>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</si>
  <si>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</si>
  <si>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</si>
  <si>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</si>
  <si>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</si>
  <si>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</si>
  <si>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</si>
  <si>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</si>
  <si>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</si>
  <si>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</si>
  <si>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</si>
  <si>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</si>
  <si>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</si>
  <si>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</si>
  <si>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</si>
  <si>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</si>
  <si>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</si>
  <si>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</si>
  <si>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</si>
  <si>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</si>
  <si>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</si>
  <si>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</si>
  <si>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</si>
  <si>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</si>
  <si>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</si>
  <si>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</si>
  <si>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</si>
  <si>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</si>
  <si>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</si>
  <si>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</si>
  <si>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</si>
  <si>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</si>
  <si>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</si>
  <si>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</si>
  <si>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</si>
  <si>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</si>
  <si>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</si>
  <si>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</si>
  <si>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</si>
  <si>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</si>
  <si>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</si>
  <si>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</si>
  <si>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</si>
  <si>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</si>
  <si>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</si>
  <si>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</si>
  <si>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</si>
  <si>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</si>
  <si>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</si>
  <si>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</si>
  <si>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</si>
  <si>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</si>
  <si>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</si>
  <si>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</si>
  <si>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</si>
  <si>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</si>
  <si>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</si>
  <si>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</si>
  <si>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</si>
  <si>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</si>
  <si>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</si>
  <si>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</si>
  <si>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</si>
  <si>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</si>
  <si>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</si>
  <si>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</si>
  <si>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</si>
  <si>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</si>
  <si>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</si>
  <si>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</si>
  <si>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</si>
  <si>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</si>
  <si>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</si>
  <si>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</si>
  <si>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</si>
  <si>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</si>
  <si>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</si>
  <si>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</si>
  <si>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</si>
  <si>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</si>
  <si>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</si>
  <si>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</si>
  <si>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</si>
  <si>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</si>
  <si>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</si>
  <si>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</si>
  <si>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</si>
  <si>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</si>
  <si>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</si>
  <si>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</si>
  <si>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</si>
  <si>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</si>
  <si>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</si>
  <si>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</si>
  <si>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</si>
  <si>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</si>
  <si>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</si>
  <si>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</si>
  <si>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</si>
  <si>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</si>
  <si>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</si>
  <si>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</si>
  <si>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</si>
  <si>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</si>
  <si>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</si>
  <si>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</si>
  <si>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</si>
  <si>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</si>
  <si>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</si>
  <si>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</si>
  <si>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</si>
  <si>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</si>
  <si>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</si>
  <si>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</si>
  <si>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</si>
  <si>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</si>
  <si>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</si>
  <si>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</si>
  <si>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</si>
  <si>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</si>
  <si>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</si>
  <si>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</si>
  <si>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</si>
  <si>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</si>
  <si>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</si>
  <si>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</si>
  <si>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</si>
  <si>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</si>
  <si>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</si>
  <si>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</si>
  <si>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</si>
  <si>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</si>
  <si>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</si>
  <si>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</si>
  <si>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</si>
  <si>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</si>
  <si>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</si>
  <si>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</si>
  <si>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</si>
  <si>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</si>
  <si>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</si>
  <si>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</si>
  <si>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</si>
  <si>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</si>
  <si>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</si>
  <si>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</si>
  <si>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</si>
  <si>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</si>
  <si>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</si>
  <si>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</si>
  <si>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</si>
  <si>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</si>
  <si>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</si>
  <si>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</si>
  <si>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</si>
  <si>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</si>
  <si>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</si>
  <si>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</si>
  <si>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</si>
  <si>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</si>
  <si>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</si>
  <si>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</si>
  <si>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</si>
  <si>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</si>
  <si>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</si>
  <si>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</si>
  <si>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</si>
  <si>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</si>
  <si>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</si>
  <si>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</si>
  <si>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</si>
  <si>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</si>
  <si>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</si>
  <si>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</si>
  <si>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</si>
  <si>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</si>
  <si>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</si>
  <si>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</si>
  <si>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</si>
  <si>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</si>
  <si>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</si>
  <si>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</si>
  <si>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</si>
  <si>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</si>
  <si>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</si>
  <si>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</si>
  <si>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</si>
  <si>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</si>
  <si>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</si>
  <si>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</si>
  <si>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</si>
  <si>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</si>
  <si>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</si>
  <si>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</si>
  <si>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</si>
  <si>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</si>
  <si>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</si>
  <si>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</si>
  <si>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</si>
  <si>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</si>
  <si>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</si>
  <si>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</si>
  <si>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</si>
  <si>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</si>
  <si>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</si>
  <si>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</si>
  <si>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</si>
  <si>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</si>
  <si>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</si>
  <si>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</si>
  <si>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</si>
  <si>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</si>
  <si>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</si>
  <si>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</si>
  <si>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</si>
  <si>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</si>
  <si>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</si>
  <si>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</si>
  <si>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</si>
  <si>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</si>
  <si>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</si>
  <si>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</si>
  <si>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</si>
  <si>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</si>
  <si>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</si>
  <si>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</si>
  <si>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</si>
  <si>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</si>
  <si>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</si>
  <si>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</si>
  <si>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</si>
  <si>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</si>
  <si>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</si>
  <si>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</si>
  <si>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</si>
  <si>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</si>
  <si>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</si>
  <si>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</si>
  <si>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</si>
  <si>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</si>
  <si>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</si>
  <si>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</si>
  <si>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</si>
  <si>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</si>
  <si>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</si>
  <si>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</si>
  <si>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</si>
  <si>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</si>
  <si>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</si>
  <si>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</si>
  <si>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</si>
  <si>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</si>
  <si>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</si>
  <si>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</si>
  <si>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</si>
  <si>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</si>
  <si>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</si>
  <si>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</si>
  <si>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</si>
  <si>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</si>
  <si>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</si>
  <si>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</si>
  <si>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</si>
  <si>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</si>
  <si>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</si>
  <si>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</si>
  <si>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</si>
  <si>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</si>
  <si>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</si>
  <si>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</si>
  <si>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</si>
  <si>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</si>
  <si>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</si>
  <si>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</si>
  <si>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</si>
  <si>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</si>
  <si>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</si>
  <si>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</si>
  <si>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</si>
  <si>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</si>
  <si>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</si>
  <si>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</si>
  <si>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</si>
  <si>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</si>
  <si>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</si>
  <si>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</si>
  <si>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</si>
  <si>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</si>
  <si>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</si>
  <si>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</si>
  <si>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</si>
  <si>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</si>
  <si>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</si>
  <si>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</si>
  <si>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</si>
  <si>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</si>
  <si>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</si>
  <si>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</si>
  <si>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</si>
  <si>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</si>
  <si>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</si>
  <si>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</si>
  <si>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</si>
  <si>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</si>
  <si>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</si>
  <si>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</si>
  <si>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</si>
  <si>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</si>
  <si>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</si>
  <si>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</si>
  <si>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</si>
  <si>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</si>
  <si>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</si>
  <si>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</si>
  <si>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</si>
  <si>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</si>
  <si>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</si>
  <si>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</si>
  <si>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</si>
  <si>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</si>
  <si>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</si>
  <si>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</si>
  <si>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</si>
  <si>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</si>
  <si>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</si>
  <si>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</si>
  <si>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</si>
  <si>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</si>
  <si>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</si>
  <si>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</si>
  <si>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</si>
  <si>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</si>
  <si>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</si>
  <si>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</si>
  <si>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</si>
  <si>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</si>
  <si>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</si>
  <si>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</si>
  <si>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</si>
  <si>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</si>
  <si>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</si>
  <si>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</si>
  <si>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</si>
  <si>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</si>
  <si>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</si>
  <si>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</si>
  <si>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</si>
  <si>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</si>
  <si>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</si>
  <si>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</si>
  <si>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</si>
  <si>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</si>
  <si>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</si>
  <si>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</si>
  <si>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</si>
  <si>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</si>
  <si>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</si>
  <si>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</si>
  <si>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</si>
  <si>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</si>
  <si>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</si>
  <si>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</si>
  <si>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</si>
  <si>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</si>
  <si>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</si>
  <si>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</si>
  <si>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</si>
  <si>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</si>
  <si>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</si>
  <si>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</si>
  <si>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</si>
  <si>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</si>
  <si>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</si>
  <si>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</si>
  <si>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</si>
  <si>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</si>
  <si>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</si>
  <si>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</si>
  <si>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</si>
  <si>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</si>
  <si>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</si>
  <si>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</si>
  <si>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</si>
  <si>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</si>
  <si>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</si>
  <si>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</si>
  <si>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</si>
  <si>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</si>
  <si>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</si>
  <si>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</si>
  <si>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</si>
  <si>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</si>
  <si>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</si>
  <si>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</si>
  <si>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</si>
  <si>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</si>
  <si>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</si>
  <si>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</si>
  <si>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</si>
  <si>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</si>
  <si>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</si>
  <si>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</si>
  <si>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</si>
  <si>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</si>
  <si>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</si>
  <si>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</si>
  <si>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</si>
  <si>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</si>
  <si>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</si>
  <si>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</si>
  <si>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</si>
  <si>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</si>
  <si>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</si>
  <si>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</si>
  <si>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</si>
  <si>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</si>
  <si>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</si>
  <si>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</si>
  <si>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</si>
  <si>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</si>
  <si>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</si>
  <si>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</si>
  <si>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</si>
  <si>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</si>
  <si>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</si>
  <si>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</si>
  <si>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</si>
  <si>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</si>
  <si>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</si>
  <si>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</si>
  <si>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</si>
  <si>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</si>
  <si>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</si>
  <si>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</si>
  <si>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</si>
  <si>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</si>
  <si>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</si>
  <si>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</si>
  <si>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</si>
  <si>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</si>
  <si>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</si>
  <si>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</si>
  <si>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</si>
  <si>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</si>
  <si>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</si>
  <si>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</si>
  <si>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</si>
  <si>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</si>
  <si>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</si>
  <si>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</si>
  <si>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</si>
  <si>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</si>
  <si>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</si>
  <si>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</si>
  <si>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</si>
  <si>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</si>
  <si>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</si>
  <si>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</si>
  <si>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</si>
  <si>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</si>
  <si>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</si>
  <si>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</si>
  <si>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</si>
  <si>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</si>
  <si>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</si>
  <si>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</si>
  <si>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</si>
  <si>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</si>
  <si>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</si>
  <si>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</si>
  <si>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</si>
  <si>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</si>
  <si>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</si>
  <si>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</si>
  <si>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</si>
  <si>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</si>
  <si>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</si>
  <si>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</si>
  <si>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</si>
  <si>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</si>
  <si>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</si>
  <si>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</si>
  <si>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</si>
  <si>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</si>
  <si>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</si>
  <si>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</si>
  <si>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</si>
  <si>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</si>
  <si>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</si>
  <si>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</si>
  <si>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</si>
  <si>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</si>
  <si>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</si>
  <si>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</si>
  <si>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</si>
  <si>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</si>
  <si>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</si>
  <si>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</si>
  <si>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</si>
  <si>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</si>
  <si>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</si>
  <si>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</si>
  <si>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</si>
  <si>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</si>
  <si>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</si>
  <si>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</si>
  <si>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</si>
  <si>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</si>
  <si>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</si>
  <si>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</si>
  <si>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</si>
  <si>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</si>
  <si>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</si>
  <si>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</si>
  <si>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</si>
  <si>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</si>
  <si>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</si>
  <si>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</si>
  <si>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</si>
  <si>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</si>
  <si>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</si>
  <si>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</si>
  <si>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</si>
  <si>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</si>
  <si>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</si>
  <si>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</si>
  <si>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</si>
  <si>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</si>
  <si>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</si>
  <si>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</si>
  <si>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</si>
  <si>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</si>
  <si>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</si>
  <si>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</si>
  <si>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</si>
  <si>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</si>
  <si>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</si>
  <si>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</si>
  <si>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</si>
  <si>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</si>
  <si>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</si>
  <si>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</si>
  <si>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</si>
  <si>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</si>
  <si>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</si>
  <si>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</si>
  <si>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</si>
  <si>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</si>
  <si>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</si>
  <si>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</si>
  <si>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</si>
  <si>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</si>
  <si>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</si>
  <si>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</si>
  <si>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</si>
  <si>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</si>
  <si>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</si>
  <si>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</si>
  <si>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</si>
  <si>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</si>
  <si>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</si>
  <si>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</si>
  <si>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</si>
  <si>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</si>
  <si>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</si>
  <si>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</si>
  <si>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</si>
  <si>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</si>
  <si>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</si>
  <si>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</si>
  <si>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</si>
  <si>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</si>
  <si>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</si>
  <si>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</si>
  <si>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</si>
  <si>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</si>
  <si>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</si>
  <si>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</si>
  <si>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</si>
  <si>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</si>
  <si>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</si>
  <si>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</si>
  <si>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</si>
  <si>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</si>
  <si>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</si>
  <si>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</si>
  <si>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</si>
  <si>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</si>
  <si>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</si>
  <si>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</si>
  <si>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</si>
  <si>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</si>
  <si>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</si>
  <si>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</si>
  <si>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</si>
  <si>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</si>
  <si>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</si>
  <si>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</si>
  <si>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</si>
  <si>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</si>
  <si>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</si>
  <si>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</si>
  <si>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</si>
  <si>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</si>
  <si>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</si>
  <si>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</si>
  <si>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</si>
  <si>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</si>
  <si>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</si>
  <si>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</si>
  <si>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</si>
  <si>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</si>
  <si>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</si>
  <si>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</si>
  <si>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</si>
  <si>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</si>
  <si>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</si>
  <si>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</si>
  <si>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</si>
  <si>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</si>
  <si>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</si>
  <si>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</si>
  <si>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</si>
  <si>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</si>
  <si>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</si>
  <si>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</si>
  <si>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</si>
  <si>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</si>
  <si>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</si>
  <si>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</si>
  <si>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</si>
  <si>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</si>
  <si>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</si>
  <si>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</si>
  <si>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</si>
  <si>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</si>
  <si>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</si>
  <si>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</si>
  <si>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</si>
  <si>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</si>
  <si>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</si>
  <si>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</si>
  <si>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</si>
  <si>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</si>
  <si>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</si>
  <si>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</si>
  <si>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</si>
  <si>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</si>
  <si>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</si>
  <si>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</si>
  <si>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</si>
  <si>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</si>
  <si>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</si>
  <si>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</si>
  <si>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</si>
  <si>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</si>
  <si>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</si>
  <si>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</si>
  <si>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</si>
  <si>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</si>
  <si>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</si>
  <si>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</si>
  <si>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</si>
  <si>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</si>
  <si>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</si>
  <si>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</si>
  <si>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</si>
  <si>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</si>
  <si>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</si>
  <si>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</si>
  <si>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</si>
  <si>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</si>
  <si>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</si>
  <si>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</si>
  <si>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</si>
  <si>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</si>
  <si>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</si>
  <si>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</si>
  <si>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</si>
  <si>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</si>
  <si>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</si>
  <si>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</si>
  <si>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</si>
  <si>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</si>
  <si>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</si>
  <si>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</si>
  <si>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</si>
  <si>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</si>
  <si>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</si>
  <si>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</si>
  <si>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</si>
  <si>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</si>
  <si>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</si>
  <si>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</si>
  <si>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</si>
  <si>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</si>
  <si>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</si>
  <si>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</si>
  <si>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</si>
  <si>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</si>
  <si>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</si>
  <si>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</si>
  <si>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</si>
  <si>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</si>
  <si>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</si>
  <si>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</si>
  <si>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</si>
  <si>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</si>
  <si>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</si>
  <si>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</si>
  <si>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</si>
  <si>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</si>
  <si>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</si>
  <si>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</si>
  <si>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</si>
  <si>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</si>
  <si>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</si>
  <si>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</si>
  <si>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</si>
  <si>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</si>
  <si>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</si>
  <si>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</si>
  <si>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</si>
  <si>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</si>
  <si>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</si>
  <si>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</si>
  <si>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</si>
  <si>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</si>
  <si>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</si>
  <si>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</si>
  <si>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</si>
  <si>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</si>
  <si>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</si>
  <si>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</si>
  <si>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</si>
  <si>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</si>
  <si>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</si>
  <si>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</si>
  <si>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</si>
  <si>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</si>
  <si>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</si>
  <si>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</si>
  <si>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</si>
  <si>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</si>
  <si>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</si>
  <si>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</si>
  <si>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</si>
  <si>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</si>
  <si>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</si>
  <si>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</si>
  <si>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</si>
  <si>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</si>
  <si>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</si>
  <si>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</si>
  <si>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</si>
  <si>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</si>
  <si>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</si>
  <si>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</si>
  <si>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</si>
  <si>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</si>
  <si>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</si>
  <si>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</si>
  <si>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</si>
  <si>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</si>
  <si>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</si>
  <si>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</si>
  <si>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</si>
  <si>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</si>
  <si>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</si>
  <si>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</si>
  <si>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</si>
  <si>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</si>
  <si>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</si>
  <si>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</si>
  <si>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</si>
  <si>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</si>
  <si>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</si>
  <si>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</si>
  <si>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</si>
  <si>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</si>
  <si>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</si>
  <si>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</si>
  <si>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</si>
  <si>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</si>
  <si>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</si>
  <si>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</si>
  <si>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</si>
  <si>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</si>
  <si>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</si>
  <si>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</si>
  <si>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</si>
  <si>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</si>
  <si>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</si>
  <si>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</si>
  <si>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</si>
  <si>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</si>
  <si>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</si>
  <si>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</si>
  <si>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</si>
  <si>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</si>
  <si>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</si>
  <si>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</si>
  <si>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</si>
  <si>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</si>
  <si>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</si>
  <si>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</si>
  <si>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</si>
  <si>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</si>
  <si>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</si>
  <si>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</si>
  <si>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</si>
  <si>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</si>
  <si>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</si>
  <si>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</si>
  <si>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</si>
  <si>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</si>
  <si>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</si>
  <si>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</si>
  <si>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</si>
  <si>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</si>
  <si>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</si>
  <si>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</si>
  <si>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</si>
  <si>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</si>
  <si>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</si>
  <si>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</si>
  <si>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</si>
  <si>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</si>
  <si>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</si>
  <si>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</si>
  <si>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</si>
  <si>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</si>
  <si>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</si>
  <si>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</si>
  <si>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</si>
  <si>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</si>
  <si>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</si>
  <si>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</si>
  <si>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</si>
  <si>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</si>
  <si>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</si>
  <si>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</si>
  <si>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</si>
  <si>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Quantity</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</si>
  <si>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</si>
  <si>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</si>
  <si>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</si>
  <si>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</si>
  <si>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</si>
  <si>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</si>
  <si>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</si>
  <si>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</si>
  <si>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</si>
  <si>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</si>
  <si>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</si>
  <si>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</si>
  <si>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</si>
  <si>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</si>
  <si>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</si>
  <si>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</si>
  <si>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</si>
  <si>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</si>
  <si>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</si>
  <si>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</si>
  <si>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</si>
  <si>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</si>
  <si>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</si>
  <si>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</si>
  <si>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</si>
  <si>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</si>
  <si>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</si>
  <si>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</si>
  <si>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</si>
  <si>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</si>
  <si>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</si>
  <si>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</si>
  <si>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</si>
  <si>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</si>
  <si>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</si>
  <si>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</si>
  <si>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</si>
  <si>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</si>
  <si>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</si>
  <si>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</si>
  <si>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</si>
  <si>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</si>
  <si>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</si>
  <si>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</si>
  <si>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</si>
  <si>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</si>
  <si>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</si>
  <si>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</si>
  <si>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</si>
  <si>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</si>
  <si>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</si>
  <si>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</si>
  <si>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</si>
  <si>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</si>
  <si>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</si>
  <si>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</si>
  <si>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</si>
  <si>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</si>
  <si>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</si>
  <si>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</si>
  <si>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</si>
  <si>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</si>
  <si>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</si>
  <si>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</si>
  <si>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</si>
  <si>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</si>
  <si>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</si>
  <si>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</si>
  <si>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</si>
  <si>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</si>
  <si>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</si>
  <si>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</si>
  <si>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</si>
  <si>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</si>
  <si>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</si>
  <si>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</si>
  <si>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</si>
  <si>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</si>
  <si>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</si>
  <si>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</si>
  <si>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</si>
  <si>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</si>
  <si>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</si>
  <si>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</si>
  <si>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</si>
  <si>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</si>
  <si>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</si>
  <si>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</si>
  <si>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</si>
  <si>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</si>
  <si>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</si>
  <si>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</si>
  <si>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</si>
  <si>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</si>
  <si>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</si>
  <si>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</si>
  <si>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</si>
  <si>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</si>
  <si>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</si>
  <si>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</si>
  <si>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</si>
  <si>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</si>
  <si>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</si>
  <si>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</si>
  <si>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</si>
  <si>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</si>
  <si>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</si>
  <si>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</si>
  <si>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</si>
  <si>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</si>
  <si>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</si>
  <si>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</si>
  <si>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</si>
  <si>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</si>
  <si>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</si>
  <si>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</si>
  <si>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</si>
  <si>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</si>
  <si>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</si>
  <si>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</si>
  <si>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</si>
  <si>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</si>
  <si>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</si>
  <si>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</si>
  <si>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</si>
  <si>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</si>
  <si>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</si>
  <si>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</si>
  <si>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</si>
  <si>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</si>
  <si>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</si>
  <si>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</si>
  <si>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</si>
  <si>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</si>
  <si>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</si>
  <si>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</si>
  <si>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</si>
  <si>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</si>
  <si>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</si>
  <si>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</si>
  <si>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</si>
  <si>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</si>
  <si>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</si>
  <si>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</si>
  <si>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</si>
  <si>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</si>
  <si>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</si>
  <si>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</si>
  <si>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</si>
  <si>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</si>
  <si>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</si>
  <si>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</si>
  <si>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</si>
  <si>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</si>
  <si>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</si>
  <si>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</si>
  <si>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</si>
  <si>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</si>
  <si>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</si>
  <si>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</si>
  <si>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</si>
  <si>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</si>
  <si>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</si>
  <si>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</si>
  <si>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</si>
  <si>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</si>
  <si>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</si>
  <si>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</si>
  <si>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</si>
  <si>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</si>
  <si>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</si>
  <si>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</si>
  <si>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</si>
  <si>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</si>
  <si>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</si>
  <si>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</si>
  <si>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</si>
  <si>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</si>
  <si>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</si>
  <si>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</si>
  <si>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</si>
  <si>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</si>
  <si>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</si>
  <si>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</si>
  <si>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</si>
  <si>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</si>
  <si>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</si>
  <si>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</si>
  <si>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</si>
  <si>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</si>
  <si>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</si>
  <si>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</si>
  <si>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</si>
  <si>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</si>
  <si>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</si>
  <si>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</si>
  <si>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</si>
  <si>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</si>
  <si>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</si>
  <si>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</si>
  <si>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</si>
  <si>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</si>
  <si>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</si>
  <si>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</si>
  <si>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</si>
  <si>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</si>
  <si>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</si>
  <si>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</si>
  <si>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</si>
  <si>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</si>
  <si>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</si>
  <si>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</si>
  <si>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</si>
  <si>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</si>
  <si>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</si>
  <si>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</si>
  <si>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</si>
  <si>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</si>
  <si>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</si>
  <si>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</si>
  <si>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</si>
  <si>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</si>
  <si>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</si>
  <si>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</si>
  <si>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</si>
  <si>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</si>
  <si>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</si>
  <si>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</si>
  <si>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</si>
  <si>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</si>
  <si>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</si>
  <si>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</si>
  <si>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</si>
  <si>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</si>
  <si>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</si>
  <si>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</si>
  <si>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</si>
  <si>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</si>
  <si>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</si>
  <si>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</si>
  <si>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</si>
  <si>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</si>
  <si>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</si>
  <si>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</si>
  <si>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</si>
  <si>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</si>
  <si>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</si>
  <si>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</si>
  <si>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</si>
  <si>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</si>
  <si>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</si>
  <si>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</si>
  <si>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</si>
  <si>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</si>
  <si>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</si>
  <si>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</si>
  <si>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</si>
  <si>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</si>
  <si>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</si>
  <si>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</si>
  <si>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</si>
  <si>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</si>
  <si>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</si>
  <si>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</si>
  <si>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</si>
  <si>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</si>
  <si>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</si>
  <si>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</si>
  <si>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</si>
  <si>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</si>
  <si>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</si>
  <si>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</si>
  <si>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</si>
  <si>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</si>
  <si>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</si>
  <si>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</si>
  <si>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</si>
  <si>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</si>
  <si>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</si>
  <si>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</si>
  <si>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</si>
  <si>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</si>
  <si>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</si>
  <si>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</si>
  <si>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</si>
  <si>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</si>
  <si>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</si>
  <si>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</si>
  <si>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</si>
  <si>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</si>
  <si>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</si>
  <si>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</si>
  <si>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</si>
  <si>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</si>
  <si>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</si>
  <si>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</si>
  <si>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</si>
  <si>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</si>
  <si>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</si>
  <si>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</si>
  <si>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</si>
  <si>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</si>
  <si>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</si>
  <si>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</si>
  <si>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</si>
  <si>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</si>
  <si>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</si>
  <si>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</si>
  <si>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</si>
  <si>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</si>
  <si>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</si>
  <si>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</si>
  <si>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</si>
  <si>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</si>
  <si>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</si>
  <si>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</si>
  <si>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</si>
  <si>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</si>
  <si>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</si>
  <si>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</si>
  <si>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</si>
  <si>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</si>
  <si>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</si>
  <si>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</si>
  <si>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</si>
  <si>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</si>
  <si>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</si>
  <si>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</si>
  <si>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</si>
  <si>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</si>
  <si>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</si>
  <si>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</si>
  <si>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</si>
  <si>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</si>
  <si>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</si>
  <si>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</si>
  <si>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</si>
  <si>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</si>
  <si>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</si>
  <si>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</si>
  <si>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</si>
  <si>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</si>
  <si>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</si>
  <si>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</si>
  <si>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</si>
  <si>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</si>
  <si>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</si>
  <si>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</si>
  <si>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</si>
  <si>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</si>
  <si>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</si>
  <si>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</si>
  <si>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</si>
  <si>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</si>
  <si>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</si>
  <si>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</si>
  <si>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</si>
  <si>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</si>
  <si>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</si>
  <si>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</si>
  <si>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</si>
  <si>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</si>
  <si>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</si>
  <si>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</si>
  <si>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</si>
  <si>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</si>
  <si>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</si>
  <si>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</si>
  <si>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</si>
  <si>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</si>
  <si>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</si>
  <si>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</si>
  <si>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</si>
  <si>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</si>
  <si>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</si>
  <si>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</si>
  <si>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</si>
  <si>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</si>
  <si>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</si>
  <si>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</si>
  <si>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</si>
  <si>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</si>
  <si>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</si>
  <si>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</si>
  <si>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</si>
  <si>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</si>
  <si>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</si>
  <si>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</si>
  <si>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</si>
  <si>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</si>
  <si>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</si>
  <si>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</si>
  <si>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</si>
  <si>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</si>
  <si>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</si>
  <si>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</si>
  <si>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</si>
  <si>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</si>
  <si>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</si>
  <si>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</si>
  <si>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</si>
  <si>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</si>
  <si>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</si>
  <si>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</si>
  <si>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</si>
  <si>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</si>
  <si>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</si>
  <si>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</si>
  <si>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</si>
  <si>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</si>
  <si>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</si>
  <si>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</si>
  <si>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</si>
  <si>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</si>
  <si>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</si>
  <si>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</si>
  <si>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</si>
  <si>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</si>
  <si>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</si>
  <si>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</si>
  <si>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</si>
  <si>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</si>
  <si>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</si>
  <si>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</si>
  <si>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</si>
  <si>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</si>
  <si>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</si>
  <si>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</si>
  <si>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</si>
  <si>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</si>
  <si>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</si>
  <si>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</si>
  <si>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</si>
  <si>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</si>
  <si>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</si>
  <si>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</si>
  <si>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</si>
  <si>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</si>
  <si>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</si>
  <si>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</si>
  <si>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</si>
  <si>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</si>
  <si>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</si>
  <si>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</si>
  <si>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</si>
  <si>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</si>
  <si>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</si>
  <si>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</si>
  <si>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</si>
  <si>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</si>
  <si>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</si>
  <si>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</si>
  <si>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</si>
  <si>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</si>
  <si>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</si>
  <si>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</si>
  <si>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</si>
  <si>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</si>
  <si>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</si>
  <si>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</si>
  <si>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</si>
  <si>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</si>
  <si>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</si>
  <si>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</si>
  <si>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</si>
  <si>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</si>
  <si>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</si>
  <si>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</si>
  <si>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</si>
  <si>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</si>
  <si>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</si>
  <si>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</si>
  <si>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</si>
  <si>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</si>
  <si>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</si>
  <si>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</si>
  <si>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</si>
  <si>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</si>
  <si>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</si>
  <si>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</si>
  <si>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</si>
  <si>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</si>
  <si>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</si>
  <si>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</si>
  <si>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</si>
  <si>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</si>
  <si>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</si>
  <si>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</si>
  <si>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</si>
  <si>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</si>
  <si>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</si>
  <si>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</si>
  <si>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</si>
  <si>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</si>
  <si>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</si>
  <si>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</si>
  <si>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</si>
  <si>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</si>
  <si>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</si>
  <si>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</si>
  <si>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</si>
  <si>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</si>
  <si>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</si>
  <si>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</si>
  <si>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</si>
  <si>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</si>
  <si>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</si>
  <si>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</si>
  <si>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</si>
  <si>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</si>
  <si>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</si>
  <si>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</si>
  <si>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</si>
  <si>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</si>
  <si>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</si>
  <si>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</si>
  <si>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</si>
  <si>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</si>
  <si>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</si>
  <si>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</si>
  <si>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</si>
  <si>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</si>
  <si>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</si>
  <si>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</si>
  <si>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</si>
  <si>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</si>
  <si>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</si>
  <si>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</si>
  <si>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</si>
  <si>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</si>
  <si>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</si>
  <si>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</si>
  <si>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</si>
  <si>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</si>
  <si>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</si>
  <si>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</si>
  <si>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</si>
  <si>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</si>
  <si>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</si>
  <si>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</si>
  <si>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</si>
  <si>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</si>
  <si>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</si>
  <si>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</si>
  <si>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</si>
  <si>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</si>
  <si>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</si>
  <si>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</si>
  <si>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</si>
  <si>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</si>
  <si>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</si>
  <si>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</si>
  <si>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</si>
  <si>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</si>
  <si>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</si>
  <si>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</si>
  <si>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</si>
  <si>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</si>
  <si>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</si>
  <si>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</si>
  <si>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</si>
  <si>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</si>
  <si>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</si>
  <si>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</si>
  <si>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</si>
  <si>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</si>
  <si>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</si>
  <si>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</si>
  <si>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</si>
  <si>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</si>
  <si>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</si>
  <si>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</si>
  <si>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</si>
  <si>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</si>
  <si>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</si>
  <si>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</si>
  <si>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</si>
  <si>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</si>
  <si>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</si>
  <si>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</si>
  <si>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</si>
  <si>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</si>
  <si>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</si>
  <si>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</si>
  <si>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</si>
  <si>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</si>
  <si>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</si>
  <si>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</si>
  <si>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</si>
  <si>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</si>
  <si>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</si>
  <si>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</si>
  <si>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</si>
  <si>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</si>
  <si>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</si>
  <si>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</si>
  <si>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</si>
  <si>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</si>
  <si>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</si>
  <si>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</si>
  <si>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</si>
  <si>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</si>
  <si>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</si>
  <si>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</si>
  <si>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</si>
  <si>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</si>
  <si>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</si>
  <si>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</si>
  <si>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</si>
  <si>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</si>
  <si>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</si>
  <si>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</si>
  <si>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</si>
  <si>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</si>
  <si>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</si>
  <si>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</si>
  <si>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</si>
  <si>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</si>
  <si>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</si>
  <si>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</si>
  <si>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</si>
  <si>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</si>
  <si>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</si>
  <si>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</si>
  <si>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</si>
  <si>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</si>
  <si>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</si>
  <si>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</si>
  <si>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</si>
  <si>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</si>
  <si>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</si>
  <si>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</si>
  <si>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</si>
  <si>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</si>
  <si>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</si>
  <si>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</si>
  <si>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</si>
  <si>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</si>
  <si>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</si>
  <si>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</si>
  <si>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</si>
  <si>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</si>
  <si>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</si>
  <si>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</si>
  <si>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</si>
  <si>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</si>
  <si>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</si>
  <si>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</si>
  <si>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</si>
  <si>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</si>
  <si>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</si>
  <si>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</si>
  <si>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</si>
  <si>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</si>
  <si>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</si>
  <si>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</si>
  <si>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</si>
  <si>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</si>
  <si>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</si>
  <si>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</si>
  <si>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</si>
  <si>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</si>
  <si>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</si>
  <si>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</si>
  <si>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</si>
  <si>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</si>
  <si>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</si>
  <si>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</si>
  <si>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</si>
  <si>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</si>
  <si>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</si>
  <si>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</si>
  <si>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</si>
  <si>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</si>
  <si>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</si>
  <si>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</si>
  <si>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</si>
  <si>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</si>
  <si>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</si>
  <si>
    <t>Foundation Thickness</t>
    <phoneticPr fontId="2" type="noConversion"/>
  </si>
  <si>
    <t>Height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</si>
</sst>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4">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xf numFmtId="0" fontId="60" fillId="0" borderId="13" xfId="0" applyFont="1" applyBorder="1" applyAlignment="1">
      <alignment vertical="center" wrapText="1"/>
    </xf>
    <xf numFmtId="0" fontId="60" fillId="0" borderId="13" xfId="0" applyFont="1" applyBorder="1">
      <alignment vertical="center"/>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E17" sqref="E17"/>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7" t="s">
        <v>5017</v>
      </c>
      <c r="E2" s="387"/>
      <c r="F2" s="387"/>
      <c r="G2" s="387"/>
      <c r="H2" s="387"/>
      <c r="I2" s="388"/>
    </row>
    <row r="3" spans="4:48" ht="19.899999999999999"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
      </c>
      <c r="G6" s="85"/>
      <c r="H6" s="111"/>
      <c r="I6" s="111" t="s">
        <v>4363</v>
      </c>
    </row>
    <row r="7" spans="4:48" ht="27" customHeight="1">
      <c r="D7" s="113" t="str">
        <f>D6</f>
        <v>EARTH</v>
      </c>
      <c r="E7" s="115" t="s">
        <v>4875</v>
      </c>
      <c r="F7" s="117" t="str">
        <f t="shared" ref="F7" si="0">LEFT(G7,14)</f>
        <v/>
      </c>
      <c r="G7" s="85"/>
      <c r="H7" s="111"/>
      <c r="I7" s="111" t="s">
        <v>4363</v>
      </c>
    </row>
    <row r="8" spans="4:48" ht="27" customHeight="1">
      <c r="D8" s="113" t="str">
        <f>D6</f>
        <v>EARTH</v>
      </c>
      <c r="E8" s="115" t="s">
        <v>4876</v>
      </c>
      <c r="F8" s="117" t="str">
        <f t="shared" ref="F8:F10" si="1">LEFT(G8,14)</f>
        <v/>
      </c>
      <c r="G8" s="85"/>
      <c r="H8" s="111"/>
      <c r="I8" s="111" t="s">
        <v>4363</v>
      </c>
    </row>
    <row r="9" spans="4:48" ht="27" customHeight="1">
      <c r="D9" s="113" t="str">
        <f>D7</f>
        <v>EARTH</v>
      </c>
      <c r="E9" s="115" t="s">
        <v>4877</v>
      </c>
      <c r="F9" s="117" t="str">
        <f t="shared" ref="F9" si="2">LEFT(G9,14)</f>
        <v/>
      </c>
      <c r="G9" s="85"/>
      <c r="H9" s="111"/>
      <c r="I9" s="111" t="s">
        <v>4363</v>
      </c>
    </row>
    <row r="10" spans="4:48" ht="27" customHeight="1">
      <c r="D10" s="114" t="str">
        <f>D6</f>
        <v>EARTH</v>
      </c>
      <c r="E10" s="115" t="s">
        <v>21</v>
      </c>
      <c r="F10" s="117" t="str">
        <f t="shared" si="1"/>
        <v/>
      </c>
      <c r="G10" s="85"/>
      <c r="H10" s="111"/>
      <c r="I10" s="111" t="s">
        <v>4363</v>
      </c>
      <c r="AV10" s="351">
        <f>'2.C Input'!E23</f>
        <v>0.1</v>
      </c>
    </row>
    <row r="11" spans="4:48" ht="27" customHeight="1"/>
    <row r="12" spans="4:48" ht="27" customHeight="1">
      <c r="D12" s="116" t="s">
        <v>4263</v>
      </c>
      <c r="E12" s="115" t="s">
        <v>31</v>
      </c>
      <c r="F12" s="117" t="str">
        <f>LEFT(G12,14)</f>
        <v/>
      </c>
      <c r="G12" s="85"/>
      <c r="H12" s="111"/>
      <c r="I12" s="111" t="s">
        <v>4364</v>
      </c>
    </row>
    <row r="13" spans="4:48" ht="27" customHeight="1">
      <c r="D13" s="114" t="str">
        <f>D12</f>
        <v>BASE</v>
      </c>
      <c r="E13" s="115" t="s">
        <v>25</v>
      </c>
      <c r="F13" s="117" t="str">
        <f t="shared" ref="F13" si="3">LEFT(G13,14)</f>
        <v/>
      </c>
      <c r="G13" s="85"/>
      <c r="H13" s="111"/>
      <c r="I13" s="111" t="s">
        <v>4364</v>
      </c>
    </row>
    <row r="14" spans="4:48" ht="27" customHeight="1"/>
    <row r="15" spans="4:48" ht="27" customHeight="1">
      <c r="D15" s="116" t="s">
        <v>4525</v>
      </c>
      <c r="E15" s="115" t="s">
        <v>4526</v>
      </c>
      <c r="F15" s="117"/>
      <c r="G15" s="85"/>
      <c r="H15" s="111"/>
      <c r="I15" s="111" t="s">
        <v>4531</v>
      </c>
    </row>
    <row r="16" spans="4:48" ht="27" customHeight="1">
      <c r="D16" s="114" t="str">
        <f>D15</f>
        <v>PILE</v>
      </c>
      <c r="E16" s="115" t="s">
        <v>4527</v>
      </c>
      <c r="F16" s="117"/>
      <c r="G16" s="85"/>
      <c r="H16" s="111"/>
      <c r="I16" s="111" t="s">
        <v>4530</v>
      </c>
    </row>
    <row r="17" spans="4:9" ht="27" customHeight="1"/>
    <row r="18" spans="4:9" ht="27" customHeight="1">
      <c r="D18" s="109" t="s">
        <v>4240</v>
      </c>
      <c r="E18" s="110"/>
    </row>
    <row r="19" spans="4:9" ht="27" customHeight="1">
      <c r="D19" s="116" t="s">
        <v>4477</v>
      </c>
      <c r="E19" s="115" t="s">
        <v>4297</v>
      </c>
      <c r="F19" s="117" t="str">
        <f>LEFT(G19,14)</f>
        <v/>
      </c>
      <c r="G19" s="85"/>
      <c r="H19" s="111"/>
      <c r="I19" s="111" t="s">
        <v>4363</v>
      </c>
    </row>
    <row r="20" spans="4:9" ht="27" customHeight="1">
      <c r="D20" s="113" t="str">
        <f>D19</f>
        <v>RC-AG</v>
      </c>
      <c r="E20" s="115" t="s">
        <v>4298</v>
      </c>
      <c r="F20" s="117" t="str">
        <f t="shared" ref="F20:F21" si="4">LEFT(G20,14)</f>
        <v/>
      </c>
      <c r="G20" s="85"/>
      <c r="H20" s="123"/>
      <c r="I20" s="123" t="s">
        <v>4364</v>
      </c>
    </row>
    <row r="21" spans="4:9" ht="27" customHeight="1">
      <c r="D21" s="114" t="str">
        <f>D19</f>
        <v>RC-AG</v>
      </c>
      <c r="E21" s="115" t="s">
        <v>13</v>
      </c>
      <c r="F21" s="117" t="str">
        <f t="shared" si="4"/>
        <v/>
      </c>
      <c r="G21" s="85"/>
      <c r="H21" s="111"/>
      <c r="I21" s="111" t="s">
        <v>4365</v>
      </c>
    </row>
    <row r="22" spans="4:9" ht="27" customHeight="1">
      <c r="D22" s="116" t="s">
        <v>4405</v>
      </c>
      <c r="E22" s="118" t="s">
        <v>4297</v>
      </c>
      <c r="F22" s="117" t="str">
        <f>LEFT(G22,14)</f>
        <v/>
      </c>
      <c r="G22" s="85"/>
      <c r="H22" s="111"/>
      <c r="I22" s="111" t="s">
        <v>4363</v>
      </c>
    </row>
    <row r="23" spans="4:9" ht="27" customHeight="1">
      <c r="D23" s="113" t="str">
        <f>D22</f>
        <v>RC-AGD</v>
      </c>
      <c r="E23" s="118" t="s">
        <v>4298</v>
      </c>
      <c r="F23" s="117" t="str">
        <f t="shared" ref="F23:F25" si="5">LEFT(G23,14)</f>
        <v/>
      </c>
      <c r="G23" s="85"/>
      <c r="H23" s="111"/>
      <c r="I23" s="123" t="s">
        <v>4364</v>
      </c>
    </row>
    <row r="24" spans="4:9" ht="27" customHeight="1">
      <c r="D24" s="113" t="str">
        <f>D22</f>
        <v>RC-AGD</v>
      </c>
      <c r="E24" s="118" t="s">
        <v>4299</v>
      </c>
      <c r="F24" s="117" t="str">
        <f t="shared" si="5"/>
        <v/>
      </c>
      <c r="G24" s="85"/>
      <c r="H24" s="111"/>
      <c r="I24" s="123" t="s">
        <v>4364</v>
      </c>
    </row>
    <row r="25" spans="4:9" ht="27" customHeight="1">
      <c r="D25" s="114" t="str">
        <f>D22</f>
        <v>RC-AGD</v>
      </c>
      <c r="E25" s="118" t="s">
        <v>13</v>
      </c>
      <c r="F25" s="117" t="str">
        <f t="shared" si="5"/>
        <v/>
      </c>
      <c r="G25" s="85"/>
      <c r="H25" s="111"/>
      <c r="I25" s="111" t="s">
        <v>4365</v>
      </c>
    </row>
    <row r="26" spans="4:9" ht="27" customHeight="1"/>
    <row r="27" spans="4:9" ht="27" customHeight="1">
      <c r="D27" s="116" t="s">
        <v>4406</v>
      </c>
      <c r="E27" s="118" t="s">
        <v>4297</v>
      </c>
      <c r="F27" s="117" t="str">
        <f>LEFT(G27,14)</f>
        <v/>
      </c>
      <c r="G27" s="85"/>
      <c r="H27" s="111"/>
      <c r="I27" s="111" t="s">
        <v>4363</v>
      </c>
    </row>
    <row r="28" spans="4:9" ht="27" customHeight="1">
      <c r="D28" s="113" t="str">
        <f>D27</f>
        <v>RC-UG</v>
      </c>
      <c r="E28" s="118" t="s">
        <v>4298</v>
      </c>
      <c r="F28" s="117" t="str">
        <f t="shared" ref="F28:F30" si="6">LEFT(G28,14)</f>
        <v/>
      </c>
      <c r="G28" s="85"/>
      <c r="H28" s="111"/>
      <c r="I28" s="111" t="s">
        <v>4364</v>
      </c>
    </row>
    <row r="29" spans="4:9" ht="27" customHeight="1">
      <c r="D29" s="113" t="str">
        <f>D27</f>
        <v>RC-UG</v>
      </c>
      <c r="E29" s="118" t="s">
        <v>13</v>
      </c>
      <c r="F29" s="117" t="str">
        <f t="shared" si="6"/>
        <v/>
      </c>
      <c r="G29" s="85"/>
      <c r="H29" s="111"/>
      <c r="I29" s="111" t="s">
        <v>4365</v>
      </c>
    </row>
    <row r="30" spans="4:9" ht="27" customHeight="1">
      <c r="D30" s="114" t="str">
        <f>D27</f>
        <v>RC-UG</v>
      </c>
      <c r="E30" s="118" t="s">
        <v>22</v>
      </c>
      <c r="F30" s="117" t="str">
        <f t="shared" si="6"/>
        <v/>
      </c>
      <c r="G30" s="85"/>
      <c r="H30" s="111"/>
      <c r="I30" s="111" t="s">
        <v>4363</v>
      </c>
    </row>
    <row r="31" spans="4:9" ht="27" customHeight="1">
      <c r="D31" s="116" t="s">
        <v>4407</v>
      </c>
      <c r="E31" s="118" t="s">
        <v>4297</v>
      </c>
      <c r="F31" s="117" t="str">
        <f>LEFT(G31,14)</f>
        <v/>
      </c>
      <c r="G31" s="85"/>
      <c r="H31" s="111"/>
      <c r="I31" s="111" t="s">
        <v>4363</v>
      </c>
    </row>
    <row r="32" spans="4:9" ht="27" customHeight="1">
      <c r="D32" s="113" t="str">
        <f>D31</f>
        <v>RC-MS</v>
      </c>
      <c r="E32" s="118" t="s">
        <v>4298</v>
      </c>
      <c r="F32" s="117" t="str">
        <f t="shared" ref="F32:F34" si="7">LEFT(G32,14)</f>
        <v/>
      </c>
      <c r="G32" s="85"/>
      <c r="H32" s="111"/>
      <c r="I32" s="111" t="s">
        <v>4364</v>
      </c>
    </row>
    <row r="33" spans="4:9" ht="27" customHeight="1">
      <c r="D33" s="113" t="str">
        <f>D31</f>
        <v>RC-MS</v>
      </c>
      <c r="E33" s="118" t="s">
        <v>13</v>
      </c>
      <c r="F33" s="117" t="str">
        <f t="shared" si="7"/>
        <v/>
      </c>
      <c r="G33" s="85"/>
      <c r="H33" s="111"/>
      <c r="I33" s="111" t="s">
        <v>4365</v>
      </c>
    </row>
    <row r="34" spans="4:9" ht="27" customHeight="1">
      <c r="D34" s="114" t="str">
        <f>D31</f>
        <v>RC-MS</v>
      </c>
      <c r="E34" s="118" t="s">
        <v>22</v>
      </c>
      <c r="F34" s="117" t="str">
        <f t="shared" si="7"/>
        <v/>
      </c>
      <c r="G34" s="85"/>
      <c r="H34" s="111"/>
      <c r="I34" s="111" t="s">
        <v>4363</v>
      </c>
    </row>
    <row r="35" spans="4:9" ht="27" customHeight="1">
      <c r="D35" s="116" t="s">
        <v>4408</v>
      </c>
      <c r="E35" s="118" t="s">
        <v>4297</v>
      </c>
      <c r="F35" s="117" t="str">
        <f>LEFT(G35,14)</f>
        <v/>
      </c>
      <c r="G35" s="85"/>
      <c r="H35" s="111"/>
      <c r="I35" s="111" t="s">
        <v>4363</v>
      </c>
    </row>
    <row r="36" spans="4:9" ht="27" customHeight="1">
      <c r="D36" s="113" t="str">
        <f>D35</f>
        <v>RC-EF</v>
      </c>
      <c r="E36" s="118" t="s">
        <v>4298</v>
      </c>
      <c r="F36" s="117" t="str">
        <f t="shared" ref="F36:F38" si="8">LEFT(G36,14)</f>
        <v/>
      </c>
      <c r="G36" s="85"/>
      <c r="H36" s="111"/>
      <c r="I36" s="111" t="s">
        <v>4364</v>
      </c>
    </row>
    <row r="37" spans="4:9" ht="27" customHeight="1">
      <c r="D37" s="113" t="str">
        <f>D35</f>
        <v>RC-EF</v>
      </c>
      <c r="E37" s="118" t="s">
        <v>13</v>
      </c>
      <c r="F37" s="117" t="str">
        <f t="shared" si="8"/>
        <v/>
      </c>
      <c r="G37" s="85"/>
      <c r="H37" s="111"/>
      <c r="I37" s="111" t="s">
        <v>4365</v>
      </c>
    </row>
    <row r="38" spans="4:9" ht="27" customHeight="1">
      <c r="D38" s="114" t="str">
        <f>D35</f>
        <v>RC-EF</v>
      </c>
      <c r="E38" s="118" t="s">
        <v>22</v>
      </c>
      <c r="F38" s="117" t="str">
        <f t="shared" si="8"/>
        <v/>
      </c>
      <c r="G38" s="85"/>
      <c r="H38" s="111"/>
      <c r="I38" s="111" t="s">
        <v>4363</v>
      </c>
    </row>
    <row r="39" spans="4:9" ht="27" customHeight="1"/>
    <row r="40" spans="4:9" ht="27" customHeight="1">
      <c r="D40" s="109" t="s">
        <v>4195</v>
      </c>
      <c r="E40" s="110"/>
    </row>
    <row r="41" spans="4:9" ht="27" customHeight="1">
      <c r="D41" s="116" t="s">
        <v>4242</v>
      </c>
      <c r="E41" s="115" t="s">
        <v>4243</v>
      </c>
      <c r="F41" s="117" t="str">
        <f>LEFT(G41,14)</f>
        <v/>
      </c>
      <c r="G41" s="85"/>
      <c r="H41" s="111"/>
      <c r="I41" s="111" t="s">
        <v>4364</v>
      </c>
    </row>
    <row r="42" spans="4:9" ht="27" customHeight="1">
      <c r="D42" s="113" t="str">
        <f>D41</f>
        <v>UG-PT</v>
      </c>
      <c r="E42" s="115" t="s">
        <v>4913</v>
      </c>
      <c r="F42" s="117" t="str">
        <f t="shared" ref="F42:F43" si="9">LEFT(G42,14)</f>
        <v/>
      </c>
      <c r="G42" s="85"/>
      <c r="H42" s="111"/>
      <c r="I42" s="111" t="s">
        <v>4364</v>
      </c>
    </row>
    <row r="43" spans="4:9" ht="27" customHeight="1">
      <c r="D43" s="114" t="str">
        <f>D41</f>
        <v>UG-PT</v>
      </c>
      <c r="E43" s="118" t="s">
        <v>4246</v>
      </c>
      <c r="F43" s="117" t="str">
        <f t="shared" si="9"/>
        <v/>
      </c>
      <c r="G43" s="85"/>
      <c r="H43" s="111"/>
      <c r="I43" s="111" t="s">
        <v>4364</v>
      </c>
    </row>
    <row r="44" spans="4:9" ht="27" customHeight="1"/>
    <row r="45" spans="4:9" ht="27" customHeight="1">
      <c r="D45" s="109" t="s">
        <v>4249</v>
      </c>
      <c r="E45" s="110"/>
    </row>
    <row r="46" spans="4:9" ht="27" customHeight="1">
      <c r="D46" s="116" t="s">
        <v>4341</v>
      </c>
      <c r="E46" s="118" t="s">
        <v>4340</v>
      </c>
      <c r="F46" s="117" t="str">
        <f>LEFT(G46,14)</f>
        <v/>
      </c>
      <c r="G46" s="85"/>
      <c r="H46" s="119"/>
      <c r="I46" s="111" t="s">
        <v>4365</v>
      </c>
    </row>
    <row r="47" spans="4:9" ht="27" customHeight="1">
      <c r="D47" s="113" t="str">
        <f>D46</f>
        <v>ST-EH</v>
      </c>
      <c r="E47" s="118" t="s">
        <v>4339</v>
      </c>
      <c r="F47" s="117" t="str">
        <f t="shared" ref="F47:F49" si="10">LEFT(G47,14)</f>
        <v/>
      </c>
      <c r="G47" s="85"/>
      <c r="H47" s="111"/>
      <c r="I47" s="111" t="s">
        <v>4365</v>
      </c>
    </row>
    <row r="48" spans="4:9" ht="27" customHeight="1">
      <c r="D48" s="113" t="str">
        <f>D46</f>
        <v>ST-EH</v>
      </c>
      <c r="E48" s="118" t="s">
        <v>4250</v>
      </c>
      <c r="F48" s="117" t="str">
        <f t="shared" si="10"/>
        <v/>
      </c>
      <c r="G48" s="85"/>
      <c r="H48" s="111"/>
      <c r="I48" s="111" t="s">
        <v>4365</v>
      </c>
    </row>
    <row r="49" spans="4:9" ht="27" customHeight="1">
      <c r="D49" s="114" t="str">
        <f>D46</f>
        <v>ST-EH</v>
      </c>
      <c r="E49" s="118" t="s">
        <v>4267</v>
      </c>
      <c r="F49" s="117" t="str">
        <f t="shared" si="10"/>
        <v/>
      </c>
      <c r="G49" s="85"/>
      <c r="H49" s="111"/>
      <c r="I49" s="111" t="s">
        <v>4365</v>
      </c>
    </row>
    <row r="50" spans="4:9" ht="27" customHeight="1">
      <c r="D50" s="116" t="s">
        <v>4258</v>
      </c>
      <c r="E50" s="118" t="s">
        <v>4340</v>
      </c>
      <c r="F50" s="117" t="str">
        <f>LEFT(G50,14)</f>
        <v/>
      </c>
      <c r="G50" s="85"/>
      <c r="H50" s="119"/>
      <c r="I50" s="111" t="s">
        <v>4365</v>
      </c>
    </row>
    <row r="51" spans="4:9" ht="27" customHeight="1">
      <c r="D51" s="113" t="str">
        <f>D50</f>
        <v>ST-HV</v>
      </c>
      <c r="E51" s="118" t="s">
        <v>4339</v>
      </c>
      <c r="F51" s="117" t="str">
        <f t="shared" ref="F51:F53" si="11">LEFT(G51,14)</f>
        <v/>
      </c>
      <c r="G51" s="85"/>
      <c r="H51" s="111"/>
      <c r="I51" s="111" t="s">
        <v>4365</v>
      </c>
    </row>
    <row r="52" spans="4:9" ht="27" customHeight="1">
      <c r="D52" s="113" t="str">
        <f>D50</f>
        <v>ST-HV</v>
      </c>
      <c r="E52" s="118" t="s">
        <v>4250</v>
      </c>
      <c r="F52" s="117" t="str">
        <f t="shared" si="11"/>
        <v/>
      </c>
      <c r="G52" s="85"/>
      <c r="H52" s="111"/>
      <c r="I52" s="111" t="s">
        <v>4365</v>
      </c>
    </row>
    <row r="53" spans="4:9" ht="27" customHeight="1">
      <c r="D53" s="114" t="str">
        <f>D50</f>
        <v>ST-HV</v>
      </c>
      <c r="E53" s="118" t="s">
        <v>4267</v>
      </c>
      <c r="F53" s="117" t="str">
        <f t="shared" si="11"/>
        <v/>
      </c>
      <c r="G53" s="85"/>
      <c r="H53" s="111"/>
      <c r="I53" s="111" t="s">
        <v>4365</v>
      </c>
    </row>
    <row r="54" spans="4:9" ht="27" customHeight="1">
      <c r="D54" s="116" t="s">
        <v>4343</v>
      </c>
      <c r="E54" s="118" t="s">
        <v>4340</v>
      </c>
      <c r="F54" s="117" t="str">
        <f>LEFT(G54,14)</f>
        <v/>
      </c>
      <c r="G54" s="85"/>
      <c r="H54" s="119"/>
      <c r="I54" s="111" t="s">
        <v>4365</v>
      </c>
    </row>
    <row r="55" spans="4:9" ht="27" customHeight="1">
      <c r="D55" s="113" t="str">
        <f>D54</f>
        <v>ST-MD</v>
      </c>
      <c r="E55" s="118" t="s">
        <v>4339</v>
      </c>
      <c r="F55" s="117" t="str">
        <f t="shared" ref="F55:F57" si="12">LEFT(G55,14)</f>
        <v/>
      </c>
      <c r="G55" s="85"/>
      <c r="H55" s="111"/>
      <c r="I55" s="111" t="s">
        <v>4365</v>
      </c>
    </row>
    <row r="56" spans="4:9" ht="27" customHeight="1">
      <c r="D56" s="113" t="str">
        <f>D54</f>
        <v>ST-MD</v>
      </c>
      <c r="E56" s="118" t="s">
        <v>4250</v>
      </c>
      <c r="F56" s="117" t="str">
        <f t="shared" si="12"/>
        <v/>
      </c>
      <c r="G56" s="85"/>
      <c r="H56" s="111"/>
      <c r="I56" s="111" t="s">
        <v>4365</v>
      </c>
    </row>
    <row r="57" spans="4:9" ht="27" customHeight="1">
      <c r="D57" s="114" t="str">
        <f>D54</f>
        <v>ST-MD</v>
      </c>
      <c r="E57" s="118" t="s">
        <v>4267</v>
      </c>
      <c r="F57" s="117" t="str">
        <f t="shared" si="12"/>
        <v/>
      </c>
      <c r="G57" s="85"/>
      <c r="H57" s="111"/>
      <c r="I57" s="111" t="s">
        <v>4365</v>
      </c>
    </row>
    <row r="58" spans="4:9" ht="27" customHeight="1">
      <c r="D58" s="116" t="s">
        <v>4347</v>
      </c>
      <c r="E58" s="118" t="s">
        <v>4340</v>
      </c>
      <c r="F58" s="117" t="str">
        <f>LEFT(G58,14)</f>
        <v/>
      </c>
      <c r="G58" s="85"/>
      <c r="H58" s="119"/>
      <c r="I58" s="111" t="s">
        <v>4365</v>
      </c>
    </row>
    <row r="59" spans="4:9" ht="27" customHeight="1">
      <c r="D59" s="113" t="str">
        <f>D58</f>
        <v>ST-LG</v>
      </c>
      <c r="E59" s="118" t="s">
        <v>4339</v>
      </c>
      <c r="F59" s="117" t="str">
        <f t="shared" ref="F59:F61" si="13">LEFT(G59,14)</f>
        <v/>
      </c>
      <c r="G59" s="85"/>
      <c r="H59" s="111"/>
      <c r="I59" s="111" t="s">
        <v>4365</v>
      </c>
    </row>
    <row r="60" spans="4:9" ht="27" customHeight="1">
      <c r="D60" s="113" t="str">
        <f>D58</f>
        <v>ST-LG</v>
      </c>
      <c r="E60" s="118" t="s">
        <v>4250</v>
      </c>
      <c r="F60" s="117" t="str">
        <f t="shared" si="13"/>
        <v/>
      </c>
      <c r="G60" s="85"/>
      <c r="H60" s="111"/>
      <c r="I60" s="111" t="s">
        <v>4365</v>
      </c>
    </row>
    <row r="61" spans="4:9" ht="27" customHeight="1">
      <c r="D61" s="114" t="str">
        <f>D58</f>
        <v>ST-LG</v>
      </c>
      <c r="E61" s="118" t="s">
        <v>4267</v>
      </c>
      <c r="F61" s="117" t="str">
        <f t="shared" si="13"/>
        <v/>
      </c>
      <c r="G61" s="85"/>
      <c r="H61" s="111"/>
      <c r="I61" s="111" t="s">
        <v>4365</v>
      </c>
    </row>
    <row r="62" spans="4:9" ht="27" customHeight="1">
      <c r="D62" s="116" t="s">
        <v>4349</v>
      </c>
      <c r="E62" s="118" t="s">
        <v>4340</v>
      </c>
      <c r="F62" s="117" t="str">
        <f>LEFT(G62,14)</f>
        <v/>
      </c>
      <c r="G62" s="85"/>
      <c r="H62" s="119"/>
      <c r="I62" s="111" t="s">
        <v>4365</v>
      </c>
    </row>
    <row r="63" spans="4:9" ht="27" customHeight="1">
      <c r="D63" s="113" t="str">
        <f>D62</f>
        <v>ST-EL</v>
      </c>
      <c r="E63" s="118" t="s">
        <v>4339</v>
      </c>
      <c r="F63" s="117" t="str">
        <f t="shared" ref="F63:F65" si="14">LEFT(G63,14)</f>
        <v/>
      </c>
      <c r="G63" s="85"/>
      <c r="H63" s="111"/>
      <c r="I63" s="111" t="s">
        <v>4365</v>
      </c>
    </row>
    <row r="64" spans="4:9" ht="27" customHeight="1">
      <c r="D64" s="113" t="str">
        <f>D62</f>
        <v>ST-EL</v>
      </c>
      <c r="E64" s="118" t="s">
        <v>4250</v>
      </c>
      <c r="F64" s="117" t="str">
        <f t="shared" si="14"/>
        <v/>
      </c>
      <c r="G64" s="85"/>
      <c r="H64" s="111"/>
      <c r="I64" s="111" t="s">
        <v>4365</v>
      </c>
    </row>
    <row r="65" spans="4:9" ht="27" customHeight="1">
      <c r="D65" s="114" t="str">
        <f>D62</f>
        <v>ST-EL</v>
      </c>
      <c r="E65" s="118" t="s">
        <v>4267</v>
      </c>
      <c r="F65" s="117" t="str">
        <f t="shared" si="14"/>
        <v/>
      </c>
      <c r="G65" s="85"/>
      <c r="H65" s="111"/>
      <c r="I65" s="111" t="s">
        <v>4365</v>
      </c>
    </row>
    <row r="66" spans="4:9" ht="27" customHeight="1"/>
    <row r="67" spans="4:9" ht="27" customHeight="1">
      <c r="D67" s="116" t="s">
        <v>4261</v>
      </c>
      <c r="E67" s="118" t="s">
        <v>4340</v>
      </c>
      <c r="F67" s="117" t="str">
        <f>LEFT(G67,14)</f>
        <v/>
      </c>
      <c r="G67" s="85"/>
      <c r="H67" s="119"/>
      <c r="I67" s="111" t="s">
        <v>4365</v>
      </c>
    </row>
    <row r="68" spans="4:9" ht="27" customHeight="1">
      <c r="D68" s="113" t="str">
        <f>D67</f>
        <v>ST-B-EH</v>
      </c>
      <c r="E68" s="118" t="s">
        <v>4339</v>
      </c>
      <c r="F68" s="117" t="str">
        <f t="shared" ref="F68:F70" si="15">LEFT(G68,14)</f>
        <v/>
      </c>
      <c r="G68" s="85"/>
      <c r="H68" s="111"/>
      <c r="I68" s="111" t="s">
        <v>4365</v>
      </c>
    </row>
    <row r="69" spans="4:9" ht="27" customHeight="1">
      <c r="D69" s="113" t="str">
        <f>D67</f>
        <v>ST-B-EH</v>
      </c>
      <c r="E69" s="118" t="s">
        <v>4250</v>
      </c>
      <c r="F69" s="117" t="str">
        <f t="shared" si="15"/>
        <v/>
      </c>
      <c r="G69" s="85"/>
      <c r="H69" s="111"/>
      <c r="I69" s="111" t="s">
        <v>4365</v>
      </c>
    </row>
    <row r="70" spans="4:9" ht="27" customHeight="1">
      <c r="D70" s="114" t="str">
        <f>D67</f>
        <v>ST-B-EH</v>
      </c>
      <c r="E70" s="118" t="s">
        <v>4267</v>
      </c>
      <c r="F70" s="117" t="str">
        <f t="shared" si="15"/>
        <v/>
      </c>
      <c r="G70" s="85"/>
      <c r="H70" s="111"/>
      <c r="I70" s="111" t="s">
        <v>4365</v>
      </c>
    </row>
    <row r="71" spans="4:9" ht="27" customHeight="1">
      <c r="D71" s="116" t="s">
        <v>4355</v>
      </c>
      <c r="E71" s="118" t="s">
        <v>4340</v>
      </c>
      <c r="F71" s="117" t="str">
        <f>LEFT(G71,14)</f>
        <v/>
      </c>
      <c r="G71" s="85"/>
      <c r="H71" s="119"/>
      <c r="I71" s="111" t="s">
        <v>4365</v>
      </c>
    </row>
    <row r="72" spans="4:9" ht="27" customHeight="1">
      <c r="D72" s="113" t="str">
        <f>D71</f>
        <v>ST-B-HV</v>
      </c>
      <c r="E72" s="118" t="s">
        <v>4339</v>
      </c>
      <c r="F72" s="117" t="str">
        <f t="shared" ref="F72:F74" si="16">LEFT(G72,14)</f>
        <v/>
      </c>
      <c r="G72" s="85"/>
      <c r="H72" s="111"/>
      <c r="I72" s="111" t="s">
        <v>4365</v>
      </c>
    </row>
    <row r="73" spans="4:9" ht="27" customHeight="1">
      <c r="D73" s="113" t="str">
        <f>D71</f>
        <v>ST-B-HV</v>
      </c>
      <c r="E73" s="118" t="s">
        <v>4250</v>
      </c>
      <c r="F73" s="117" t="str">
        <f t="shared" si="16"/>
        <v/>
      </c>
      <c r="G73" s="85"/>
      <c r="H73" s="111"/>
      <c r="I73" s="111" t="s">
        <v>4365</v>
      </c>
    </row>
    <row r="74" spans="4:9" ht="27" customHeight="1">
      <c r="D74" s="114" t="str">
        <f>D71</f>
        <v>ST-B-HV</v>
      </c>
      <c r="E74" s="118" t="s">
        <v>4267</v>
      </c>
      <c r="F74" s="117" t="str">
        <f t="shared" si="16"/>
        <v/>
      </c>
      <c r="G74" s="85"/>
      <c r="H74" s="111"/>
      <c r="I74" s="111" t="s">
        <v>4365</v>
      </c>
    </row>
    <row r="75" spans="4:9" ht="27" customHeight="1"/>
    <row r="76" spans="4:9" ht="27" customHeight="1">
      <c r="D76" s="116" t="s">
        <v>4264</v>
      </c>
      <c r="E76" s="118" t="s">
        <v>4340</v>
      </c>
      <c r="F76" s="117" t="str">
        <f>LEFT(G76,14)</f>
        <v/>
      </c>
      <c r="G76" s="85"/>
      <c r="H76" s="119"/>
      <c r="I76" s="111" t="s">
        <v>4365</v>
      </c>
    </row>
    <row r="77" spans="4:9" ht="27" customHeight="1">
      <c r="D77" s="113" t="str">
        <f>D76</f>
        <v>ST-PG</v>
      </c>
      <c r="E77" s="118" t="s">
        <v>4339</v>
      </c>
      <c r="F77" s="117" t="str">
        <f t="shared" ref="F77:F79" si="17">LEFT(G77,14)</f>
        <v/>
      </c>
      <c r="G77" s="85"/>
      <c r="H77" s="119"/>
      <c r="I77" s="111" t="s">
        <v>4365</v>
      </c>
    </row>
    <row r="78" spans="4:9" ht="27" customHeight="1">
      <c r="D78" s="113" t="str">
        <f>D76</f>
        <v>ST-PG</v>
      </c>
      <c r="E78" s="118" t="s">
        <v>4250</v>
      </c>
      <c r="F78" s="117" t="str">
        <f t="shared" si="17"/>
        <v/>
      </c>
      <c r="G78" s="85"/>
      <c r="H78" s="111"/>
      <c r="I78" s="111" t="s">
        <v>4365</v>
      </c>
    </row>
    <row r="79" spans="4:9" ht="27" customHeight="1">
      <c r="D79" s="114" t="str">
        <f>D76</f>
        <v>ST-PG</v>
      </c>
      <c r="E79" s="118" t="s">
        <v>4267</v>
      </c>
      <c r="F79" s="117" t="str">
        <f t="shared" si="17"/>
        <v/>
      </c>
      <c r="G79" s="85"/>
      <c r="H79" s="111"/>
      <c r="I79" s="111" t="s">
        <v>4365</v>
      </c>
    </row>
    <row r="80" spans="4:9" ht="27" customHeight="1"/>
    <row r="81" spans="4:9" ht="27" customHeight="1">
      <c r="D81" s="109" t="s">
        <v>4276</v>
      </c>
      <c r="E81" s="110"/>
    </row>
    <row r="82" spans="4:9" ht="27" customHeight="1">
      <c r="D82" s="116" t="s">
        <v>4290</v>
      </c>
      <c r="E82" s="118" t="s">
        <v>4333</v>
      </c>
      <c r="F82" s="117" t="str">
        <f>LEFT(G82,14)</f>
        <v/>
      </c>
      <c r="G82" s="85"/>
      <c r="H82" s="119"/>
      <c r="I82" s="119" t="s">
        <v>4364</v>
      </c>
    </row>
    <row r="83" spans="4:9" ht="27" customHeight="1">
      <c r="D83" s="114" t="str">
        <f>D82</f>
        <v>EW-DI</v>
      </c>
      <c r="E83" s="118" t="s">
        <v>28</v>
      </c>
      <c r="F83" s="117" t="str">
        <f>LEFT(G83,14)</f>
        <v/>
      </c>
      <c r="G83" s="85"/>
      <c r="H83" s="119"/>
      <c r="I83" s="119" t="s">
        <v>4364</v>
      </c>
    </row>
    <row r="84" spans="4:9" ht="27" customHeight="1"/>
    <row r="85" spans="4:9" ht="27" customHeight="1">
      <c r="D85" s="116" t="s">
        <v>4286</v>
      </c>
      <c r="E85" s="118" t="s">
        <v>4333</v>
      </c>
      <c r="F85" s="117" t="str">
        <f>LEFT(G85,14)</f>
        <v/>
      </c>
      <c r="G85" s="85"/>
      <c r="H85" s="119"/>
      <c r="I85" s="119" t="s">
        <v>4364</v>
      </c>
    </row>
    <row r="86" spans="4:9" ht="27" customHeight="1">
      <c r="D86" s="113" t="str">
        <f>D85</f>
        <v>EW-DIM</v>
      </c>
      <c r="E86" s="118" t="s">
        <v>28</v>
      </c>
      <c r="F86" s="117" t="str">
        <f>LEFT(G86,14)</f>
        <v/>
      </c>
      <c r="G86" s="85"/>
      <c r="H86" s="119"/>
      <c r="I86" s="119" t="s">
        <v>4364</v>
      </c>
    </row>
    <row r="87" spans="4:9" ht="27" customHeight="1">
      <c r="D87" s="114" t="str">
        <f>D85</f>
        <v>EW-DIM</v>
      </c>
      <c r="E87" s="118" t="s">
        <v>4334</v>
      </c>
      <c r="F87" s="117" t="str">
        <f>LEFT(G87,14)</f>
        <v/>
      </c>
      <c r="G87" s="85"/>
      <c r="H87" s="120"/>
      <c r="I87" s="119" t="s">
        <v>4364</v>
      </c>
    </row>
    <row r="88" spans="4:9" ht="27" customHeight="1"/>
    <row r="89" spans="4:9" ht="27" customHeight="1">
      <c r="D89" s="116" t="s">
        <v>4287</v>
      </c>
      <c r="E89" s="118" t="s">
        <v>4333</v>
      </c>
      <c r="F89" s="117" t="str">
        <f>LEFT(G89,14)</f>
        <v/>
      </c>
      <c r="G89" s="85"/>
      <c r="H89" s="120"/>
      <c r="I89" s="119" t="s">
        <v>4364</v>
      </c>
    </row>
    <row r="90" spans="4:9" ht="27" customHeight="1">
      <c r="D90" s="113" t="str">
        <f>D89</f>
        <v>EW-MIM</v>
      </c>
      <c r="E90" s="118" t="s">
        <v>28</v>
      </c>
      <c r="F90" s="117" t="str">
        <f>LEFT(G90,14)</f>
        <v/>
      </c>
      <c r="G90" s="85"/>
      <c r="H90" s="119"/>
      <c r="I90" s="119" t="s">
        <v>4364</v>
      </c>
    </row>
    <row r="91" spans="4:9" ht="27" customHeight="1">
      <c r="D91" s="114" t="str">
        <f>D89</f>
        <v>EW-MIM</v>
      </c>
      <c r="E91" s="118" t="s">
        <v>4334</v>
      </c>
      <c r="F91" s="117" t="str">
        <f>LEFT(G91,14)</f>
        <v/>
      </c>
      <c r="G91" s="85"/>
      <c r="H91" s="120"/>
      <c r="I91" s="119" t="s">
        <v>4364</v>
      </c>
    </row>
    <row r="92" spans="4:9" ht="27" customHeight="1"/>
    <row r="93" spans="4:9" ht="27" customHeight="1">
      <c r="D93" s="116" t="s">
        <v>4289</v>
      </c>
      <c r="E93" s="118" t="s">
        <v>4333</v>
      </c>
      <c r="F93" s="117" t="str">
        <f>LEFT(G93,14)</f>
        <v/>
      </c>
      <c r="G93" s="85"/>
      <c r="H93" s="120"/>
      <c r="I93" s="119" t="s">
        <v>4364</v>
      </c>
    </row>
    <row r="94" spans="4:9" ht="27" customHeight="1">
      <c r="D94" s="114" t="str">
        <f>D93</f>
        <v>EW-MI</v>
      </c>
      <c r="E94" s="118" t="s">
        <v>28</v>
      </c>
      <c r="F94" s="117" t="str">
        <f>LEFT(G94,14)</f>
        <v/>
      </c>
      <c r="G94" s="85"/>
      <c r="H94" s="119"/>
      <c r="I94" s="119" t="s">
        <v>4364</v>
      </c>
    </row>
    <row r="95" spans="4:9" ht="27" customHeight="1"/>
    <row r="96" spans="4:9" ht="27" customHeight="1">
      <c r="D96" s="109" t="s">
        <v>4292</v>
      </c>
      <c r="E96" s="110"/>
    </row>
    <row r="97" spans="4:9" ht="27" customHeight="1">
      <c r="D97" s="116" t="s">
        <v>4294</v>
      </c>
      <c r="E97" s="118" t="s">
        <v>4278</v>
      </c>
      <c r="F97" s="117" t="str">
        <f>LEFT(G97,14)</f>
        <v/>
      </c>
      <c r="G97" s="85"/>
      <c r="H97" s="119"/>
      <c r="I97" s="119" t="s">
        <v>4364</v>
      </c>
    </row>
    <row r="98" spans="4:9" ht="27" customHeight="1">
      <c r="D98" s="113" t="str">
        <f>D97</f>
        <v>IW-DIM</v>
      </c>
      <c r="E98" s="118" t="s">
        <v>28</v>
      </c>
      <c r="F98" s="117" t="str">
        <f>LEFT(G98,14)</f>
        <v/>
      </c>
      <c r="G98" s="85"/>
      <c r="H98" s="119"/>
      <c r="I98" s="119" t="s">
        <v>4364</v>
      </c>
    </row>
    <row r="99" spans="4:9" ht="27" customHeight="1">
      <c r="D99" s="114" t="str">
        <f>D97</f>
        <v>IW-DIM</v>
      </c>
      <c r="E99" s="118" t="s">
        <v>4288</v>
      </c>
      <c r="F99" s="117" t="str">
        <f>LEFT(G99,14)</f>
        <v/>
      </c>
      <c r="G99" s="85"/>
      <c r="H99" s="120"/>
      <c r="I99" s="119" t="s">
        <v>4364</v>
      </c>
    </row>
    <row r="100" spans="4:9" ht="27" customHeight="1"/>
    <row r="101" spans="4:9" ht="27" customHeight="1">
      <c r="D101" s="109" t="s">
        <v>4391</v>
      </c>
      <c r="E101" s="110"/>
    </row>
    <row r="102" spans="4:9" ht="27" customHeight="1">
      <c r="D102" s="116" t="s">
        <v>4409</v>
      </c>
      <c r="E102" s="118" t="s">
        <v>4914</v>
      </c>
      <c r="F102" s="117" t="str">
        <f t="shared" ref="F102:F108" si="18">LEFT(G102,14)</f>
        <v/>
      </c>
      <c r="G102" s="85"/>
      <c r="H102" s="111"/>
      <c r="I102" s="119" t="s">
        <v>4363</v>
      </c>
    </row>
    <row r="103" spans="4:9" ht="27" customHeight="1">
      <c r="D103" s="113" t="str">
        <f>D101</f>
        <v>Concrete Roof Finish</v>
      </c>
      <c r="E103" s="118" t="s">
        <v>4995</v>
      </c>
      <c r="F103" s="117" t="str">
        <f t="shared" si="18"/>
        <v/>
      </c>
      <c r="G103" s="85"/>
      <c r="H103" s="111"/>
      <c r="I103" s="119" t="s">
        <v>4364</v>
      </c>
    </row>
    <row r="104" spans="4:9" ht="27" customHeight="1">
      <c r="D104" s="113" t="str">
        <f>D102</f>
        <v>ROOF</v>
      </c>
      <c r="E104" s="118" t="s">
        <v>29</v>
      </c>
      <c r="F104" s="117" t="str">
        <f t="shared" si="18"/>
        <v/>
      </c>
      <c r="G104" s="85"/>
      <c r="H104" s="111"/>
      <c r="I104" s="119" t="s">
        <v>4364</v>
      </c>
    </row>
    <row r="105" spans="4:9" ht="27" customHeight="1">
      <c r="D105" s="113" t="str">
        <f>D102</f>
        <v>ROOF</v>
      </c>
      <c r="E105" s="118" t="s">
        <v>28</v>
      </c>
      <c r="F105" s="117" t="str">
        <f t="shared" si="18"/>
        <v/>
      </c>
      <c r="G105" s="85"/>
      <c r="H105" s="111"/>
      <c r="I105" s="119" t="s">
        <v>4364</v>
      </c>
    </row>
    <row r="106" spans="4:9" ht="27" customHeight="1">
      <c r="D106" s="113" t="str">
        <f>D102</f>
        <v>ROOF</v>
      </c>
      <c r="E106" s="118" t="s">
        <v>38</v>
      </c>
      <c r="F106" s="117" t="str">
        <f t="shared" si="18"/>
        <v/>
      </c>
      <c r="G106" s="85"/>
      <c r="H106" s="111"/>
      <c r="I106" s="119" t="s">
        <v>4364</v>
      </c>
    </row>
    <row r="107" spans="4:9" ht="27" customHeight="1">
      <c r="D107" s="113" t="str">
        <f>D102</f>
        <v>ROOF</v>
      </c>
      <c r="E107" s="118" t="s">
        <v>23</v>
      </c>
      <c r="F107" s="117" t="str">
        <f t="shared" si="18"/>
        <v/>
      </c>
      <c r="G107" s="85"/>
      <c r="H107" s="111"/>
      <c r="I107" s="119" t="s">
        <v>4363</v>
      </c>
    </row>
    <row r="108" spans="4:9" ht="27" customHeight="1">
      <c r="D108" s="114" t="str">
        <f>D102</f>
        <v>ROOF</v>
      </c>
      <c r="E108" s="118" t="s">
        <v>4394</v>
      </c>
      <c r="F108" s="117" t="str">
        <f t="shared" si="18"/>
        <v/>
      </c>
      <c r="G108" s="85"/>
      <c r="H108" s="111"/>
      <c r="I108" s="119" t="s">
        <v>4364</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7" t="s">
        <v>4326</v>
      </c>
      <c r="D2" s="387"/>
      <c r="E2" s="387"/>
      <c r="F2" s="387"/>
      <c r="G2" s="387"/>
    </row>
    <row r="4" spans="2:49" ht="19.899999999999999" customHeight="1">
      <c r="B4" s="356" t="s">
        <v>4911</v>
      </c>
      <c r="C4" s="151" t="s">
        <v>4327</v>
      </c>
      <c r="D4" s="151" t="s">
        <v>4228</v>
      </c>
      <c r="E4" s="151" t="s">
        <v>4328</v>
      </c>
      <c r="F4" s="151" t="s">
        <v>4362</v>
      </c>
      <c r="G4" s="151" t="s">
        <v>4389</v>
      </c>
    </row>
    <row r="5" spans="2:49" ht="19.899999999999999" customHeight="1">
      <c r="B5" s="289" t="s">
        <v>4241</v>
      </c>
      <c r="C5" s="156"/>
      <c r="D5" s="157"/>
      <c r="E5" s="157"/>
      <c r="F5" s="157"/>
      <c r="G5" s="158"/>
      <c r="I5" s="153"/>
    </row>
    <row r="6" spans="2:49" ht="19.899999999999999" customHeight="1">
      <c r="C6" s="152" t="s">
        <v>40</v>
      </c>
      <c r="D6" s="152" t="s">
        <v>4912</v>
      </c>
      <c r="E6" s="307">
        <v>0.05</v>
      </c>
      <c r="F6" s="152" t="s">
        <v>4386</v>
      </c>
      <c r="G6" s="150"/>
      <c r="I6" s="153"/>
    </row>
    <row r="7" spans="2:49" ht="19.899999999999999" customHeight="1">
      <c r="C7" s="152" t="s">
        <v>41</v>
      </c>
      <c r="D7" s="152" t="s">
        <v>4300</v>
      </c>
      <c r="E7" s="307">
        <v>0.1</v>
      </c>
      <c r="F7" s="152" t="s">
        <v>4386</v>
      </c>
      <c r="G7" s="150"/>
      <c r="I7" s="153"/>
    </row>
    <row r="8" spans="2:49" ht="19.899999999999999" customHeight="1">
      <c r="C8" s="152" t="s">
        <v>42</v>
      </c>
      <c r="D8" s="152" t="s">
        <v>4301</v>
      </c>
      <c r="E8" s="307">
        <v>0.1</v>
      </c>
      <c r="F8" s="152" t="s">
        <v>4386</v>
      </c>
      <c r="G8" s="150"/>
      <c r="I8" s="153"/>
    </row>
    <row r="9" spans="2:49" ht="19.899999999999999" customHeight="1">
      <c r="C9" s="152" t="s">
        <v>43</v>
      </c>
      <c r="D9" s="152" t="s">
        <v>32</v>
      </c>
      <c r="E9" s="307"/>
      <c r="F9" s="152" t="s">
        <v>4386</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4386</v>
      </c>
      <c r="G11" s="150"/>
    </row>
    <row r="12" spans="2:49" ht="19.899999999999999" customHeight="1">
      <c r="C12" s="152" t="s">
        <v>46</v>
      </c>
      <c r="D12" s="152" t="s">
        <v>4304</v>
      </c>
      <c r="E12" s="307">
        <v>0.2</v>
      </c>
      <c r="F12" s="152" t="s">
        <v>4386</v>
      </c>
      <c r="G12" s="150"/>
    </row>
    <row r="13" spans="2:49" ht="19.899999999999999" customHeight="1">
      <c r="C13" s="152" t="s">
        <v>47</v>
      </c>
      <c r="D13" s="152" t="s">
        <v>33</v>
      </c>
      <c r="E13" s="307">
        <v>-1</v>
      </c>
      <c r="F13" s="152" t="s">
        <v>4386</v>
      </c>
      <c r="G13" s="150"/>
    </row>
    <row r="14" spans="2:49" ht="19.899999999999999" customHeight="1">
      <c r="C14" s="152" t="s">
        <v>48</v>
      </c>
      <c r="D14" s="152" t="s">
        <v>34</v>
      </c>
      <c r="E14" s="307">
        <v>0.2</v>
      </c>
      <c r="F14" s="152" t="s">
        <v>4386</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4384</v>
      </c>
      <c r="D17" s="152" t="s">
        <v>4385</v>
      </c>
      <c r="E17" s="307">
        <v>0.05</v>
      </c>
      <c r="F17" s="152" t="s">
        <v>4386</v>
      </c>
      <c r="G17" s="150"/>
    </row>
    <row r="18" spans="2:9" ht="19.899999999999999" customHeight="1">
      <c r="C18" s="152"/>
      <c r="D18" s="152"/>
      <c r="E18" s="155"/>
      <c r="F18" s="152"/>
      <c r="G18" s="150"/>
    </row>
    <row r="19" spans="2:9" ht="19.899999999999999" customHeight="1">
      <c r="B19" s="289" t="s">
        <v>4387</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4739</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4388</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4395</v>
      </c>
      <c r="C37" s="156"/>
      <c r="D37" s="157"/>
      <c r="E37" s="157"/>
      <c r="F37" s="157"/>
      <c r="G37" s="158"/>
      <c r="I37" s="153"/>
    </row>
    <row r="38" spans="2:9" ht="19.899999999999999" customHeight="1">
      <c r="C38" s="152" t="s">
        <v>4396</v>
      </c>
      <c r="D38" s="152" t="s">
        <v>4398</v>
      </c>
      <c r="E38" s="307">
        <v>0.06</v>
      </c>
      <c r="F38" s="152" t="s">
        <v>4386</v>
      </c>
      <c r="G38" s="152"/>
    </row>
    <row r="39" spans="2:9" ht="19.899999999999999" customHeight="1">
      <c r="C39" s="152" t="s">
        <v>4397</v>
      </c>
      <c r="D39" s="152" t="s">
        <v>4399</v>
      </c>
      <c r="E39" s="307">
        <v>0.06</v>
      </c>
      <c r="F39" s="152" t="s">
        <v>4386</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tabSelected="1" topLeftCell="A40" zoomScale="85" zoomScaleNormal="85" workbookViewId="0">
      <pane xSplit="12" topLeftCell="AE1" activePane="topRight" state="frozen"/>
      <selection pane="topRight" activeCell="AO56" sqref="AO56:AO57"/>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4495</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4428</v>
      </c>
      <c r="F3" s="376"/>
      <c r="G3" s="377"/>
      <c r="H3" s="376" t="s">
        <v>4430</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4429</v>
      </c>
      <c r="F4" s="374"/>
      <c r="G4" s="374"/>
      <c r="H4" s="374"/>
      <c r="I4" s="374"/>
      <c r="J4" s="374"/>
      <c r="K4" s="374"/>
      <c r="L4" s="374"/>
      <c r="N4" s="57"/>
      <c r="AJ4" s="3" t="s">
        <v>4872</v>
      </c>
      <c r="AK4" s="3" t="s">
        <v>4872</v>
      </c>
      <c r="AL4" s="3" t="s">
        <v>4872</v>
      </c>
      <c r="AM4" s="3" t="s">
        <v>4872</v>
      </c>
      <c r="AN4" s="3" t="s">
        <v>4872</v>
      </c>
      <c r="AO4" s="3" t="s">
        <v>4872</v>
      </c>
      <c r="AP4" s="3" t="s">
        <v>4872</v>
      </c>
      <c r="AQ4" s="3" t="s">
        <v>4872</v>
      </c>
      <c r="AR4" s="3" t="s">
        <v>4872</v>
      </c>
      <c r="AS4" s="3" t="s">
        <v>4872</v>
      </c>
      <c r="AT4" s="3" t="s">
        <v>4872</v>
      </c>
      <c r="AV4" s="3" t="s">
        <v>4872</v>
      </c>
      <c r="AW4" s="3" t="s">
        <v>4872</v>
      </c>
      <c r="AX4" s="3" t="s">
        <v>4872</v>
      </c>
      <c r="AY4" s="3" t="s">
        <v>4872</v>
      </c>
      <c r="AZ4" s="3" t="s">
        <v>4872</v>
      </c>
      <c r="BA4" s="3" t="s">
        <v>4872</v>
      </c>
      <c r="BB4" s="3" t="s">
        <v>4872</v>
      </c>
      <c r="BC4" s="3" t="s">
        <v>4872</v>
      </c>
      <c r="BD4" s="3" t="s">
        <v>4872</v>
      </c>
      <c r="BE4" s="3" t="s">
        <v>4872</v>
      </c>
      <c r="BF4" s="3" t="s">
        <v>4872</v>
      </c>
      <c r="BG4" s="3" t="s">
        <v>4872</v>
      </c>
      <c r="BL4" s="105"/>
      <c r="BM4" s="105"/>
      <c r="BN4" s="105"/>
    </row>
    <row r="5" spans="1:67" ht="35.450000000000003" customHeight="1" thickBot="1">
      <c r="D5" s="5" t="s">
        <v>0</v>
      </c>
      <c r="E5" s="6" t="s">
        <v>4740</v>
      </c>
      <c r="F5" s="6" t="s">
        <v>4228</v>
      </c>
      <c r="G5" s="50" t="s">
        <v>4367</v>
      </c>
      <c r="H5" s="50" t="s">
        <v>4368</v>
      </c>
      <c r="I5" s="50" t="s">
        <v>4369</v>
      </c>
      <c r="J5" s="50" t="s">
        <v>4370</v>
      </c>
      <c r="K5" s="50" t="s">
        <v>4372</v>
      </c>
      <c r="L5" s="350" t="s">
        <v>4909</v>
      </c>
      <c r="M5" s="381"/>
      <c r="N5" s="384" t="s">
        <v>4798</v>
      </c>
      <c r="O5" s="323"/>
      <c r="P5" s="323"/>
      <c r="Q5" s="323"/>
      <c r="R5" s="323"/>
      <c r="S5" s="383"/>
      <c r="T5" s="323"/>
      <c r="U5" s="323"/>
      <c r="V5" s="323"/>
      <c r="W5" s="323"/>
      <c r="X5" s="323"/>
      <c r="Y5" s="323"/>
      <c r="Z5" s="323"/>
      <c r="AA5" s="323"/>
      <c r="AB5" s="323"/>
      <c r="AC5" s="323"/>
      <c r="AD5" s="323"/>
      <c r="AE5" s="323"/>
      <c r="AF5" s="323"/>
      <c r="AG5" s="323"/>
      <c r="AH5" s="323"/>
      <c r="AJ5" s="335" t="s">
        <v>4853</v>
      </c>
      <c r="AK5" s="336"/>
      <c r="AL5" s="336"/>
      <c r="AM5" s="336"/>
      <c r="AN5" s="336"/>
      <c r="AO5" s="336"/>
      <c r="AP5" s="336"/>
      <c r="AQ5" s="336"/>
      <c r="AR5" s="336"/>
      <c r="AS5" s="336"/>
      <c r="AT5" s="337"/>
      <c r="AV5" s="335" t="s">
        <v>4854</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4872</v>
      </c>
      <c r="D6" s="7" t="s">
        <v>1</v>
      </c>
      <c r="E6" s="8"/>
      <c r="F6" s="8"/>
      <c r="G6" s="8"/>
      <c r="H6" s="8"/>
      <c r="I6" s="8"/>
      <c r="J6" s="8"/>
      <c r="K6" s="8"/>
      <c r="L6" s="74"/>
      <c r="M6" s="380"/>
      <c r="N6" s="91" t="s">
        <v>4598</v>
      </c>
      <c r="O6" s="305" t="s">
        <v>4199</v>
      </c>
      <c r="P6" s="92" t="s">
        <v>17</v>
      </c>
      <c r="Q6" s="306" t="s">
        <v>4200</v>
      </c>
      <c r="R6" s="318"/>
      <c r="S6" s="270" t="s">
        <v>4201</v>
      </c>
      <c r="T6" s="269"/>
      <c r="U6" s="67"/>
      <c r="V6" s="67"/>
      <c r="W6" s="67"/>
      <c r="X6" s="67"/>
      <c r="Y6" s="67"/>
      <c r="Z6" s="67"/>
      <c r="AA6" s="67"/>
      <c r="AB6" s="67"/>
      <c r="AE6" s="67"/>
      <c r="AG6" s="67"/>
      <c r="AH6" s="67"/>
      <c r="AJ6" s="327" t="s">
        <v>4826</v>
      </c>
      <c r="AK6" s="327" t="s">
        <v>4187</v>
      </c>
      <c r="AL6" s="327" t="s">
        <v>4187</v>
      </c>
      <c r="AM6" s="327" t="s">
        <v>4838</v>
      </c>
      <c r="AN6" s="327" t="s">
        <v>4187</v>
      </c>
      <c r="AO6" s="327" t="s">
        <v>4187</v>
      </c>
      <c r="AP6" s="327" t="s">
        <v>4187</v>
      </c>
      <c r="AQ6" s="327" t="s">
        <v>4841</v>
      </c>
      <c r="AR6" s="327" t="s">
        <v>4187</v>
      </c>
      <c r="AS6" s="327"/>
      <c r="AT6" s="327" t="s">
        <v>4187</v>
      </c>
    </row>
    <row r="7" spans="1:67" ht="25.15" customHeight="1" thickBot="1">
      <c r="D7" s="10">
        <v>0.1</v>
      </c>
      <c r="E7" s="55" t="s">
        <v>4198</v>
      </c>
      <c r="F7" s="55"/>
      <c r="G7" s="11"/>
      <c r="H7" s="11"/>
      <c r="I7" s="11"/>
      <c r="J7" s="11"/>
      <c r="K7" s="11"/>
      <c r="L7" s="77" t="s">
        <v>4750</v>
      </c>
      <c r="M7" s="380"/>
      <c r="N7" s="101" t="s">
        <v>11</v>
      </c>
      <c r="O7" s="87" t="s">
        <v>4226</v>
      </c>
      <c r="P7" s="87" t="s">
        <v>4227</v>
      </c>
      <c r="Q7" s="87" t="s">
        <v>11</v>
      </c>
      <c r="R7" s="87"/>
      <c r="S7" s="270" t="s">
        <v>4390</v>
      </c>
      <c r="T7" s="105"/>
      <c r="U7" s="105"/>
      <c r="V7" s="67"/>
      <c r="W7" s="67"/>
      <c r="X7" s="67"/>
      <c r="Y7" s="67"/>
      <c r="Z7" s="67"/>
      <c r="AA7" s="67"/>
      <c r="AB7" s="67"/>
      <c r="AE7" s="67"/>
      <c r="AG7" s="67"/>
      <c r="AH7" s="322"/>
      <c r="AJ7" s="324" t="s">
        <v>4827</v>
      </c>
      <c r="AK7" s="331"/>
      <c r="AL7" s="349"/>
      <c r="AM7" s="331" t="s">
        <v>4839</v>
      </c>
      <c r="AN7" s="349"/>
      <c r="AO7" s="329" t="s">
        <v>4187</v>
      </c>
      <c r="AP7" s="329" t="s">
        <v>4187</v>
      </c>
      <c r="AQ7" s="368" t="s">
        <v>4908</v>
      </c>
      <c r="AR7" s="329" t="s">
        <v>4187</v>
      </c>
      <c r="AS7" s="329"/>
      <c r="AT7" s="329" t="s">
        <v>4187</v>
      </c>
    </row>
    <row r="8" spans="1:67" ht="25.15" customHeight="1" thickBot="1">
      <c r="C8" s="379" t="s">
        <v>4872</v>
      </c>
      <c r="D8" s="7" t="s">
        <v>2</v>
      </c>
      <c r="E8" s="8"/>
      <c r="F8" s="385" t="s">
        <v>5021</v>
      </c>
      <c r="G8" s="8"/>
      <c r="H8" s="8"/>
      <c r="I8" s="8"/>
      <c r="J8" s="8"/>
      <c r="K8" s="8"/>
      <c r="L8" s="74"/>
      <c r="M8" s="380"/>
      <c r="N8" s="91" t="s">
        <v>4297</v>
      </c>
      <c r="O8" s="92" t="s">
        <v>4298</v>
      </c>
      <c r="P8" s="92" t="s">
        <v>4299</v>
      </c>
      <c r="Q8" s="96" t="s">
        <v>13</v>
      </c>
      <c r="R8" s="310" t="s">
        <v>4189</v>
      </c>
      <c r="S8" s="310" t="s">
        <v>4505</v>
      </c>
      <c r="T8" s="310"/>
      <c r="U8" s="310"/>
      <c r="V8" s="312"/>
      <c r="W8" s="312"/>
      <c r="X8" s="312"/>
      <c r="Y8" s="312"/>
      <c r="Z8" s="312"/>
      <c r="AA8" s="312"/>
      <c r="AB8" s="312"/>
      <c r="AC8" s="312"/>
      <c r="AD8" s="312"/>
      <c r="AE8" s="312"/>
      <c r="AF8" s="312"/>
      <c r="AG8" s="312"/>
      <c r="AH8" s="312"/>
      <c r="AJ8" s="327" t="s">
        <v>4826</v>
      </c>
      <c r="AK8" s="327" t="s">
        <v>4828</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4410</v>
      </c>
      <c r="F9" s="86" t="s">
        <v>5019</v>
      </c>
      <c r="G9" s="51" t="s">
        <v>4477</v>
      </c>
      <c r="H9" s="51" t="s">
        <v>4187</v>
      </c>
      <c r="I9" s="51" t="s">
        <v>4187</v>
      </c>
      <c r="J9" s="70" t="s">
        <v>4187</v>
      </c>
      <c r="K9" s="70" t="s">
        <v>4187</v>
      </c>
      <c r="L9" s="76" t="s">
        <v>4751</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4827</v>
      </c>
      <c r="AK9" s="324" t="s">
        <v>4829</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4411</v>
      </c>
      <c r="F10" s="86"/>
      <c r="G10" s="56" t="s">
        <v>4405</v>
      </c>
      <c r="H10" s="51" t="s">
        <v>4187</v>
      </c>
      <c r="I10" s="51" t="s">
        <v>4187</v>
      </c>
      <c r="J10" s="70" t="s">
        <v>4187</v>
      </c>
      <c r="K10" s="70" t="s">
        <v>4187</v>
      </c>
      <c r="L10" s="77" t="s">
        <v>4752</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4827</v>
      </c>
      <c r="AK10" s="324" t="s">
        <v>4829</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4412</v>
      </c>
      <c r="F11" s="13"/>
      <c r="G11" s="56" t="s">
        <v>4187</v>
      </c>
      <c r="H11" s="56" t="s">
        <v>4187</v>
      </c>
      <c r="I11" s="56" t="s">
        <v>4187</v>
      </c>
      <c r="J11" s="56" t="s">
        <v>4187</v>
      </c>
      <c r="K11" s="168" t="s">
        <v>4189</v>
      </c>
      <c r="L11" s="77" t="s">
        <v>4753</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4827</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4832</v>
      </c>
      <c r="F12" s="13"/>
      <c r="G12" s="56" t="s">
        <v>4187</v>
      </c>
      <c r="H12" s="56" t="s">
        <v>4187</v>
      </c>
      <c r="I12" s="56" t="s">
        <v>4187</v>
      </c>
      <c r="J12" s="56" t="s">
        <v>4187</v>
      </c>
      <c r="K12" s="168" t="s">
        <v>4505</v>
      </c>
      <c r="L12" s="77" t="s">
        <v>4754</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4827</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4872</v>
      </c>
      <c r="D13" s="7" t="s">
        <v>3</v>
      </c>
      <c r="E13" s="8"/>
      <c r="F13" s="8"/>
      <c r="G13" s="8"/>
      <c r="H13" s="8"/>
      <c r="I13" s="8"/>
      <c r="J13" s="73"/>
      <c r="K13" s="73"/>
      <c r="L13" s="74"/>
      <c r="M13" s="380"/>
      <c r="N13" s="91" t="s">
        <v>4401</v>
      </c>
      <c r="O13" s="148" t="s">
        <v>29</v>
      </c>
      <c r="P13" s="92" t="s">
        <v>28</v>
      </c>
      <c r="Q13" s="148" t="s">
        <v>38</v>
      </c>
      <c r="R13" s="92" t="s">
        <v>4400</v>
      </c>
      <c r="S13" s="96" t="s">
        <v>4394</v>
      </c>
      <c r="T13" s="310" t="s">
        <v>36</v>
      </c>
      <c r="U13" s="310" t="s">
        <v>4190</v>
      </c>
      <c r="V13" s="364" t="s">
        <v>4</v>
      </c>
      <c r="W13" s="365" t="s">
        <v>4995</v>
      </c>
      <c r="X13" s="310"/>
      <c r="Y13" s="310"/>
      <c r="Z13" s="310"/>
      <c r="AA13" s="310"/>
      <c r="AB13" s="310"/>
      <c r="AC13" s="309"/>
      <c r="AD13" s="309"/>
      <c r="AE13" s="309"/>
      <c r="AF13" s="309"/>
      <c r="AG13" s="309"/>
      <c r="AH13" s="309"/>
      <c r="AJ13" s="327" t="s">
        <v>4826</v>
      </c>
      <c r="AK13" s="327" t="s">
        <v>4828</v>
      </c>
      <c r="AL13" s="327" t="s">
        <v>4187</v>
      </c>
      <c r="AM13" s="327" t="s">
        <v>4187</v>
      </c>
      <c r="AN13" s="327" t="s">
        <v>4187</v>
      </c>
      <c r="AO13" s="327" t="s">
        <v>4187</v>
      </c>
      <c r="AP13" s="327" t="s">
        <v>4830</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4396</v>
      </c>
      <c r="BE13" s="328" t="s">
        <v>4397</v>
      </c>
      <c r="BF13" s="326" t="s">
        <v>4187</v>
      </c>
      <c r="BG13" s="326" t="s">
        <v>4187</v>
      </c>
    </row>
    <row r="14" spans="1:67" ht="25.15" customHeight="1">
      <c r="D14" s="10">
        <v>2.1</v>
      </c>
      <c r="E14" s="55" t="s">
        <v>4426</v>
      </c>
      <c r="F14" s="86" t="s">
        <v>4273</v>
      </c>
      <c r="G14" s="56" t="s">
        <v>4187</v>
      </c>
      <c r="H14" s="56" t="s">
        <v>4187</v>
      </c>
      <c r="I14" s="56" t="s">
        <v>4187</v>
      </c>
      <c r="J14" s="56" t="s">
        <v>4187</v>
      </c>
      <c r="K14" s="168" t="s">
        <v>36</v>
      </c>
      <c r="L14" s="77" t="s">
        <v>4755</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4827</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4427</v>
      </c>
      <c r="F15" s="86" t="s">
        <v>4274</v>
      </c>
      <c r="G15" s="56" t="s">
        <v>4187</v>
      </c>
      <c r="H15" s="56" t="s">
        <v>4187</v>
      </c>
      <c r="I15" s="56" t="s">
        <v>4187</v>
      </c>
      <c r="J15" s="56" t="s">
        <v>4187</v>
      </c>
      <c r="K15" s="168" t="s">
        <v>4190</v>
      </c>
      <c r="L15" s="77" t="s">
        <v>4756</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4827</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4413</v>
      </c>
      <c r="F16" s="86" t="s">
        <v>5022</v>
      </c>
      <c r="G16" s="56" t="s">
        <v>4187</v>
      </c>
      <c r="H16" s="56" t="s">
        <v>4409</v>
      </c>
      <c r="I16" s="56" t="s">
        <v>4187</v>
      </c>
      <c r="J16" s="56" t="s">
        <v>4187</v>
      </c>
      <c r="K16" s="168" t="s">
        <v>4187</v>
      </c>
      <c r="L16" s="77" t="s">
        <v>4757</v>
      </c>
      <c r="M16" s="380"/>
      <c r="N16" s="100" t="s">
        <v>4402</v>
      </c>
      <c r="O16" s="65" t="s">
        <v>11</v>
      </c>
      <c r="P16" s="65" t="s">
        <v>11</v>
      </c>
      <c r="Q16" s="65" t="s">
        <v>11</v>
      </c>
      <c r="R16" s="65" t="s">
        <v>4403</v>
      </c>
      <c r="S16" s="65" t="s">
        <v>11</v>
      </c>
      <c r="T16" s="65"/>
      <c r="U16" s="65"/>
      <c r="V16" s="66"/>
      <c r="W16" s="65" t="s">
        <v>11</v>
      </c>
      <c r="X16" s="68"/>
      <c r="Y16" s="68"/>
      <c r="Z16" s="68"/>
      <c r="AA16" s="68"/>
      <c r="AB16" s="68"/>
      <c r="AC16" s="311"/>
      <c r="AD16" s="311"/>
      <c r="AE16" s="311"/>
      <c r="AF16" s="311"/>
      <c r="AG16" s="311"/>
      <c r="AH16" s="311"/>
      <c r="AJ16" s="324" t="s">
        <v>4827</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4414</v>
      </c>
      <c r="F17" s="86" t="s">
        <v>4275</v>
      </c>
      <c r="G17" s="56" t="s">
        <v>4187</v>
      </c>
      <c r="H17" s="56" t="s">
        <v>4187</v>
      </c>
      <c r="I17" s="56" t="s">
        <v>4187</v>
      </c>
      <c r="J17" s="56" t="s">
        <v>4187</v>
      </c>
      <c r="K17" s="168" t="s">
        <v>4</v>
      </c>
      <c r="L17" s="77" t="s">
        <v>4758</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4831</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4872</v>
      </c>
      <c r="D18" s="7" t="s">
        <v>5</v>
      </c>
      <c r="E18" s="8"/>
      <c r="F18" s="385" t="s">
        <v>5023</v>
      </c>
      <c r="G18" s="8"/>
      <c r="H18" s="8"/>
      <c r="I18" s="8"/>
      <c r="J18" s="73"/>
      <c r="K18" s="73"/>
      <c r="L18" s="74"/>
      <c r="M18" s="380"/>
      <c r="N18" s="91" t="s">
        <v>4297</v>
      </c>
      <c r="O18" s="92" t="s">
        <v>4298</v>
      </c>
      <c r="P18" s="92" t="s">
        <v>4299</v>
      </c>
      <c r="Q18" s="92" t="s">
        <v>13</v>
      </c>
      <c r="R18" s="93" t="s">
        <v>22</v>
      </c>
      <c r="S18" s="144" t="s">
        <v>4376</v>
      </c>
      <c r="T18" s="145" t="s">
        <v>4913</v>
      </c>
      <c r="U18" s="146" t="s">
        <v>4246</v>
      </c>
      <c r="V18" s="94" t="s">
        <v>4672</v>
      </c>
      <c r="W18" s="339" t="s">
        <v>4926</v>
      </c>
      <c r="X18" s="95" t="s">
        <v>4334</v>
      </c>
      <c r="Y18" s="95"/>
      <c r="Z18" s="95" t="s">
        <v>4333</v>
      </c>
      <c r="AA18" s="93" t="s">
        <v>28</v>
      </c>
      <c r="AB18" s="309" t="s">
        <v>4509</v>
      </c>
      <c r="AC18" s="309" t="s">
        <v>4194</v>
      </c>
      <c r="AD18" s="309" t="s">
        <v>35</v>
      </c>
      <c r="AE18" s="90" t="s">
        <v>4652</v>
      </c>
      <c r="AF18" s="89" t="s">
        <v>4196</v>
      </c>
      <c r="AG18" s="90" t="s">
        <v>38</v>
      </c>
      <c r="AH18" s="89"/>
      <c r="AJ18" s="327" t="s">
        <v>4826</v>
      </c>
      <c r="AK18" s="327" t="s">
        <v>4828</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4415</v>
      </c>
      <c r="F20" s="86" t="s">
        <v>5026</v>
      </c>
      <c r="G20" s="56" t="s">
        <v>4187</v>
      </c>
      <c r="H20" s="56" t="s">
        <v>4286</v>
      </c>
      <c r="I20" s="56" t="s">
        <v>4187</v>
      </c>
      <c r="J20" s="56" t="s">
        <v>4187</v>
      </c>
      <c r="K20" s="168" t="s">
        <v>4509</v>
      </c>
      <c r="L20" s="77" t="s">
        <v>4759</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4827</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4417</v>
      </c>
      <c r="F21" s="86" t="s">
        <v>5027</v>
      </c>
      <c r="G21" s="56" t="s">
        <v>4187</v>
      </c>
      <c r="H21" s="56" t="s">
        <v>4287</v>
      </c>
      <c r="I21" s="56" t="s">
        <v>4187</v>
      </c>
      <c r="J21" s="56" t="s">
        <v>4187</v>
      </c>
      <c r="K21" s="168" t="s">
        <v>4509</v>
      </c>
      <c r="L21" s="77" t="s">
        <v>4760</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4827</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4418</v>
      </c>
      <c r="F22" s="338" t="s">
        <v>5024</v>
      </c>
      <c r="G22" s="56" t="s">
        <v>4187</v>
      </c>
      <c r="H22" s="56" t="s">
        <v>4289</v>
      </c>
      <c r="I22" s="56" t="s">
        <v>4187</v>
      </c>
      <c r="J22" s="56" t="s">
        <v>4187</v>
      </c>
      <c r="K22" s="56" t="s">
        <v>4187</v>
      </c>
      <c r="L22" s="77" t="s">
        <v>4761</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4827</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4419</v>
      </c>
      <c r="F24" s="86" t="s">
        <v>5020</v>
      </c>
      <c r="G24" s="56" t="s">
        <v>4477</v>
      </c>
      <c r="H24" s="56" t="s">
        <v>4187</v>
      </c>
      <c r="I24" s="56" t="s">
        <v>4187</v>
      </c>
      <c r="J24" s="69" t="s">
        <v>4187</v>
      </c>
      <c r="K24" s="69" t="s">
        <v>4187</v>
      </c>
      <c r="L24" s="77" t="s">
        <v>4762</v>
      </c>
      <c r="M24" s="380"/>
      <c r="N24" s="100" t="s">
        <v>9</v>
      </c>
      <c r="O24" s="65" t="s">
        <v>5016</v>
      </c>
      <c r="P24" s="65"/>
      <c r="Q24" s="65" t="s">
        <v>10</v>
      </c>
      <c r="R24" s="68"/>
      <c r="S24" s="68"/>
      <c r="T24" s="68"/>
      <c r="U24" s="68"/>
      <c r="V24" s="68"/>
      <c r="W24" s="68"/>
      <c r="X24" s="68"/>
      <c r="Y24" s="68"/>
      <c r="Z24" s="68"/>
      <c r="AA24" s="68"/>
      <c r="AB24" s="68"/>
      <c r="AC24" s="68"/>
      <c r="AD24" s="66"/>
      <c r="AE24" s="68"/>
      <c r="AF24" s="68"/>
      <c r="AG24" s="68"/>
      <c r="AH24" s="68"/>
      <c r="AJ24" s="324" t="s">
        <v>4827</v>
      </c>
      <c r="AK24" s="324" t="s">
        <v>4829</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4420</v>
      </c>
      <c r="F25" s="86" t="s">
        <v>5025</v>
      </c>
      <c r="G25" s="56" t="s">
        <v>4406</v>
      </c>
      <c r="H25" s="56" t="s">
        <v>4242</v>
      </c>
      <c r="I25" s="56" t="s">
        <v>4187</v>
      </c>
      <c r="J25" s="69" t="s">
        <v>4187</v>
      </c>
      <c r="K25" s="69" t="s">
        <v>4187</v>
      </c>
      <c r="L25" s="77" t="s">
        <v>4763</v>
      </c>
      <c r="M25" s="380"/>
      <c r="N25" s="100" t="s">
        <v>9</v>
      </c>
      <c r="O25" s="65" t="s">
        <v>5016</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4827</v>
      </c>
      <c r="AK25" s="324" t="s">
        <v>4829</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4421</v>
      </c>
      <c r="F26" s="86" t="s">
        <v>5028</v>
      </c>
      <c r="G26" s="56" t="s">
        <v>4187</v>
      </c>
      <c r="H26" s="56" t="s">
        <v>4187</v>
      </c>
      <c r="I26" s="56" t="s">
        <v>4187</v>
      </c>
      <c r="J26" s="69" t="s">
        <v>4187</v>
      </c>
      <c r="K26" s="168" t="s">
        <v>4925</v>
      </c>
      <c r="L26" s="77" t="s">
        <v>4764</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4827</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4416</v>
      </c>
      <c r="F27" s="86" t="s">
        <v>4285</v>
      </c>
      <c r="G27" s="56" t="s">
        <v>4187</v>
      </c>
      <c r="H27" s="56" t="s">
        <v>4187</v>
      </c>
      <c r="I27" s="56" t="s">
        <v>4187</v>
      </c>
      <c r="J27" s="56" t="s">
        <v>4187</v>
      </c>
      <c r="K27" s="168" t="s">
        <v>4926</v>
      </c>
      <c r="L27" s="77" t="s">
        <v>4765</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4827</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4431</v>
      </c>
      <c r="F28" s="86"/>
      <c r="G28" s="56" t="s">
        <v>4187</v>
      </c>
      <c r="H28" s="56" t="s">
        <v>4187</v>
      </c>
      <c r="I28" s="56" t="s">
        <v>4187</v>
      </c>
      <c r="J28" s="69" t="s">
        <v>4187</v>
      </c>
      <c r="K28" s="168" t="s">
        <v>4194</v>
      </c>
      <c r="L28" s="77" t="s">
        <v>4766</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4827</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4432</v>
      </c>
      <c r="F29" s="86"/>
      <c r="G29" s="56" t="s">
        <v>4187</v>
      </c>
      <c r="H29" s="56" t="s">
        <v>4187</v>
      </c>
      <c r="I29" s="56" t="s">
        <v>4187</v>
      </c>
      <c r="J29" s="69" t="s">
        <v>4187</v>
      </c>
      <c r="K29" s="168" t="s">
        <v>36</v>
      </c>
      <c r="L29" s="77" t="s">
        <v>4767</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4827</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4433</v>
      </c>
      <c r="F30" s="86"/>
      <c r="G30" s="56" t="s">
        <v>4187</v>
      </c>
      <c r="H30" s="56" t="s">
        <v>4187</v>
      </c>
      <c r="I30" s="56" t="s">
        <v>4187</v>
      </c>
      <c r="J30" s="69" t="s">
        <v>4187</v>
      </c>
      <c r="K30" s="168" t="s">
        <v>4190</v>
      </c>
      <c r="L30" s="77" t="s">
        <v>4768</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4827</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4872</v>
      </c>
      <c r="D31" s="7" t="s">
        <v>4479</v>
      </c>
      <c r="E31" s="8"/>
      <c r="F31" s="8"/>
      <c r="G31" s="8"/>
      <c r="H31" s="8"/>
      <c r="I31" s="8"/>
      <c r="J31" s="73"/>
      <c r="K31" s="73"/>
      <c r="L31" s="74"/>
      <c r="M31" s="380"/>
      <c r="N31" s="91" t="s">
        <v>4297</v>
      </c>
      <c r="O31" s="92" t="s">
        <v>4298</v>
      </c>
      <c r="P31" s="92" t="s">
        <v>4299</v>
      </c>
      <c r="Q31" s="92" t="s">
        <v>13</v>
      </c>
      <c r="R31" s="93" t="s">
        <v>22</v>
      </c>
      <c r="S31" s="291" t="s">
        <v>4674</v>
      </c>
      <c r="T31" s="292" t="s">
        <v>4673</v>
      </c>
      <c r="U31" s="293" t="s">
        <v>28</v>
      </c>
      <c r="V31" s="89" t="s">
        <v>4196</v>
      </c>
      <c r="W31" s="89"/>
      <c r="X31" s="90" t="s">
        <v>4670</v>
      </c>
      <c r="Y31" s="90"/>
      <c r="Z31" s="89"/>
      <c r="AA31" s="89"/>
      <c r="AB31" s="89"/>
      <c r="AC31" s="89"/>
      <c r="AD31" s="89"/>
      <c r="AE31" s="89"/>
      <c r="AF31" s="89"/>
      <c r="AG31" s="89"/>
      <c r="AH31" s="89"/>
      <c r="AJ31" s="327" t="s">
        <v>4826</v>
      </c>
      <c r="AK31" s="327" t="s">
        <v>4828</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4422</v>
      </c>
      <c r="F32" s="86" t="s">
        <v>5029</v>
      </c>
      <c r="G32" s="56" t="s">
        <v>4187</v>
      </c>
      <c r="H32" s="56" t="s">
        <v>4187</v>
      </c>
      <c r="I32" s="56" t="s">
        <v>4187</v>
      </c>
      <c r="J32" s="56" t="s">
        <v>4187</v>
      </c>
      <c r="K32" s="168" t="s">
        <v>4293</v>
      </c>
      <c r="L32" s="77" t="s">
        <v>4769</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4827</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4423</v>
      </c>
      <c r="F33" s="86" t="s">
        <v>5030</v>
      </c>
      <c r="G33" s="56" t="s">
        <v>4187</v>
      </c>
      <c r="H33" s="56" t="s">
        <v>4294</v>
      </c>
      <c r="I33" s="56" t="s">
        <v>4187</v>
      </c>
      <c r="J33" s="56" t="s">
        <v>4187</v>
      </c>
      <c r="K33" s="56" t="s">
        <v>4187</v>
      </c>
      <c r="L33" s="77" t="s">
        <v>4770</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4827</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4424</v>
      </c>
      <c r="F34" s="86" t="s">
        <v>5031</v>
      </c>
      <c r="G34" s="56" t="s">
        <v>4187</v>
      </c>
      <c r="H34" s="56" t="s">
        <v>4187</v>
      </c>
      <c r="I34" s="56" t="s">
        <v>4187</v>
      </c>
      <c r="J34" s="56" t="s">
        <v>4187</v>
      </c>
      <c r="K34" s="168" t="s">
        <v>4196</v>
      </c>
      <c r="L34" s="77" t="s">
        <v>4771</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4827</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4425</v>
      </c>
      <c r="F35" s="86"/>
      <c r="G35" s="56" t="s">
        <v>4477</v>
      </c>
      <c r="H35" s="56" t="s">
        <v>4187</v>
      </c>
      <c r="I35" s="56" t="s">
        <v>4187</v>
      </c>
      <c r="J35" s="56" t="s">
        <v>4187</v>
      </c>
      <c r="K35" s="56" t="s">
        <v>4187</v>
      </c>
      <c r="L35" s="77" t="s">
        <v>4772</v>
      </c>
      <c r="M35" s="380"/>
      <c r="N35" s="100" t="s">
        <v>9</v>
      </c>
      <c r="O35" s="65" t="s">
        <v>5016</v>
      </c>
      <c r="P35" s="65"/>
      <c r="Q35" s="65" t="s">
        <v>10</v>
      </c>
      <c r="R35" s="68"/>
      <c r="S35" s="65"/>
      <c r="T35" s="65"/>
      <c r="U35" s="65"/>
      <c r="V35" s="97"/>
      <c r="W35" s="97"/>
      <c r="X35" s="97"/>
      <c r="Y35" s="97"/>
      <c r="Z35" s="97"/>
      <c r="AA35" s="97"/>
      <c r="AB35" s="97"/>
      <c r="AC35" s="97"/>
      <c r="AD35" s="97"/>
      <c r="AE35" s="97"/>
      <c r="AF35" s="97"/>
      <c r="AG35" s="97"/>
      <c r="AH35" s="97"/>
      <c r="AJ35" s="324" t="s">
        <v>4827</v>
      </c>
      <c r="AK35" s="324" t="s">
        <v>4829</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4872</v>
      </c>
      <c r="D36" s="7" t="s">
        <v>4480</v>
      </c>
      <c r="E36" s="8"/>
      <c r="F36" s="147" t="s">
        <v>4307</v>
      </c>
      <c r="G36" s="8"/>
      <c r="H36" s="8"/>
      <c r="I36" s="8"/>
      <c r="J36" s="73"/>
      <c r="K36" s="73"/>
      <c r="L36" s="74"/>
      <c r="M36" s="380"/>
      <c r="N36" s="91" t="s">
        <v>4297</v>
      </c>
      <c r="O36" s="92" t="s">
        <v>4298</v>
      </c>
      <c r="P36" s="92" t="s">
        <v>4299</v>
      </c>
      <c r="Q36" s="92" t="s">
        <v>13</v>
      </c>
      <c r="R36" s="93" t="s">
        <v>22</v>
      </c>
      <c r="S36" s="144" t="s">
        <v>4376</v>
      </c>
      <c r="T36" s="145" t="s">
        <v>4913</v>
      </c>
      <c r="U36" s="146" t="s">
        <v>4246</v>
      </c>
      <c r="V36" s="94" t="s">
        <v>4874</v>
      </c>
      <c r="W36" s="339" t="s">
        <v>4875</v>
      </c>
      <c r="X36" s="95" t="s">
        <v>4876</v>
      </c>
      <c r="Y36" s="95" t="s">
        <v>4877</v>
      </c>
      <c r="Z36" s="93" t="s">
        <v>21</v>
      </c>
      <c r="AA36" s="144" t="s">
        <v>31</v>
      </c>
      <c r="AB36" s="146" t="s">
        <v>25</v>
      </c>
      <c r="AC36" s="195" t="s">
        <v>4526</v>
      </c>
      <c r="AD36" s="196" t="s">
        <v>4527</v>
      </c>
      <c r="AE36" s="89" t="s">
        <v>4675</v>
      </c>
      <c r="AF36" s="89" t="s">
        <v>4521</v>
      </c>
      <c r="AG36" s="90" t="s">
        <v>4901</v>
      </c>
      <c r="AH36" s="89"/>
      <c r="AJ36" s="327" t="s">
        <v>4826</v>
      </c>
      <c r="AK36" s="327" t="s">
        <v>4828</v>
      </c>
      <c r="AL36" s="327" t="s">
        <v>4836</v>
      </c>
      <c r="AM36" s="327" t="s">
        <v>4838</v>
      </c>
      <c r="AN36" s="327" t="s">
        <v>4834</v>
      </c>
      <c r="AO36" s="327" t="s">
        <v>4661</v>
      </c>
      <c r="AP36" s="327" t="s">
        <v>4830</v>
      </c>
      <c r="AQ36" s="327" t="s">
        <v>4187</v>
      </c>
      <c r="AR36" s="327" t="s">
        <v>4842</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4844</v>
      </c>
      <c r="BG36" s="326" t="s">
        <v>4187</v>
      </c>
    </row>
    <row r="37" spans="3:59" ht="25.15" customHeight="1">
      <c r="D37" s="10">
        <v>5.0999999999999996</v>
      </c>
      <c r="E37" s="55" t="s">
        <v>4434</v>
      </c>
      <c r="F37" s="86" t="s">
        <v>5032</v>
      </c>
      <c r="G37" s="56" t="s">
        <v>4406</v>
      </c>
      <c r="H37" s="56" t="s">
        <v>4242</v>
      </c>
      <c r="I37" s="56" t="s">
        <v>4404</v>
      </c>
      <c r="J37" s="56" t="s">
        <v>4263</v>
      </c>
      <c r="K37" s="69" t="s">
        <v>4187</v>
      </c>
      <c r="L37" s="77" t="s">
        <v>4743</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4827</v>
      </c>
      <c r="AK37" s="330" t="s">
        <v>4829</v>
      </c>
      <c r="AL37" s="331" t="s">
        <v>4837</v>
      </c>
      <c r="AM37" s="331" t="s">
        <v>4839</v>
      </c>
      <c r="AN37" s="332" t="s">
        <v>4187</v>
      </c>
      <c r="AO37" s="332" t="s">
        <v>4187</v>
      </c>
      <c r="AP37" s="332" t="s">
        <v>4187</v>
      </c>
      <c r="AQ37" s="332" t="s">
        <v>4187</v>
      </c>
      <c r="AR37" s="369" t="s">
        <v>4843</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4435</v>
      </c>
      <c r="F38" s="86" t="s">
        <v>5033</v>
      </c>
      <c r="G38" s="56" t="s">
        <v>4407</v>
      </c>
      <c r="H38" s="56" t="s">
        <v>4242</v>
      </c>
      <c r="I38" s="56" t="s">
        <v>4404</v>
      </c>
      <c r="J38" s="56" t="s">
        <v>4263</v>
      </c>
      <c r="K38" s="56" t="s">
        <v>4187</v>
      </c>
      <c r="L38" s="78" t="s">
        <v>4742</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4827</v>
      </c>
      <c r="AK38" s="330" t="s">
        <v>4829</v>
      </c>
      <c r="AL38" s="331" t="s">
        <v>4837</v>
      </c>
      <c r="AM38" s="331" t="s">
        <v>4839</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4436</v>
      </c>
      <c r="F39" s="86" t="s">
        <v>5034</v>
      </c>
      <c r="G39" s="56" t="s">
        <v>4408</v>
      </c>
      <c r="H39" s="56" t="s">
        <v>4187</v>
      </c>
      <c r="I39" s="56" t="s">
        <v>4187</v>
      </c>
      <c r="J39" s="56" t="s">
        <v>4187</v>
      </c>
      <c r="K39" s="56" t="s">
        <v>4187</v>
      </c>
      <c r="L39" s="78" t="s">
        <v>4744</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4829</v>
      </c>
      <c r="AL39" s="331" t="s">
        <v>4837</v>
      </c>
      <c r="AM39" s="331" t="s">
        <v>4839</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4437</v>
      </c>
      <c r="F40" s="86" t="s">
        <v>5035</v>
      </c>
      <c r="G40" s="56" t="s">
        <v>4406</v>
      </c>
      <c r="H40" s="56" t="s">
        <v>4242</v>
      </c>
      <c r="I40" s="56" t="s">
        <v>4404</v>
      </c>
      <c r="J40" s="56" t="s">
        <v>4263</v>
      </c>
      <c r="K40" s="168" t="s">
        <v>4521</v>
      </c>
      <c r="L40" s="78" t="s">
        <v>4745</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4827</v>
      </c>
      <c r="AK40" s="330" t="s">
        <v>4829</v>
      </c>
      <c r="AL40" s="331" t="s">
        <v>4837</v>
      </c>
      <c r="AM40" s="331" t="s">
        <v>4839</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4438</v>
      </c>
      <c r="F41" s="86" t="s">
        <v>5036</v>
      </c>
      <c r="G41" s="56" t="s">
        <v>4406</v>
      </c>
      <c r="H41" s="56" t="s">
        <v>4242</v>
      </c>
      <c r="I41" s="56" t="s">
        <v>4404</v>
      </c>
      <c r="J41" s="56" t="s">
        <v>4263</v>
      </c>
      <c r="K41" s="168" t="s">
        <v>4510</v>
      </c>
      <c r="L41" s="78" t="s">
        <v>4746</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4827</v>
      </c>
      <c r="AK41" s="330" t="s">
        <v>4829</v>
      </c>
      <c r="AL41" s="331" t="s">
        <v>4837</v>
      </c>
      <c r="AM41" s="331" t="s">
        <v>4839</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4439</v>
      </c>
      <c r="F42" s="86" t="s">
        <v>5037</v>
      </c>
      <c r="G42" s="56" t="s">
        <v>4406</v>
      </c>
      <c r="H42" s="56" t="s">
        <v>4242</v>
      </c>
      <c r="I42" s="56" t="s">
        <v>4404</v>
      </c>
      <c r="J42" s="56" t="s">
        <v>4263</v>
      </c>
      <c r="K42" s="56" t="s">
        <v>4187</v>
      </c>
      <c r="L42" s="78" t="s">
        <v>4747</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4829</v>
      </c>
      <c r="AL42" s="331" t="s">
        <v>4837</v>
      </c>
      <c r="AM42" s="332" t="s">
        <v>4187</v>
      </c>
      <c r="AN42" s="330" t="s">
        <v>4835</v>
      </c>
      <c r="AO42" s="332" t="s">
        <v>4187</v>
      </c>
      <c r="AP42" s="330" t="s">
        <v>4831</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4440</v>
      </c>
      <c r="F43" s="86" t="s">
        <v>5038</v>
      </c>
      <c r="G43" s="56" t="s">
        <v>4406</v>
      </c>
      <c r="H43" s="56" t="s">
        <v>4242</v>
      </c>
      <c r="I43" s="56" t="s">
        <v>4404</v>
      </c>
      <c r="J43" s="56" t="s">
        <v>4263</v>
      </c>
      <c r="K43" s="56" t="s">
        <v>4187</v>
      </c>
      <c r="L43" s="78" t="s">
        <v>4748</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4829</v>
      </c>
      <c r="AL43" s="392" t="s">
        <v>5041</v>
      </c>
      <c r="AM43" s="332" t="s">
        <v>4187</v>
      </c>
      <c r="AN43" s="330" t="s">
        <v>4835</v>
      </c>
      <c r="AO43" s="330" t="s">
        <v>4831</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4441</v>
      </c>
      <c r="F44" s="86" t="s">
        <v>4295</v>
      </c>
      <c r="G44" s="56" t="s">
        <v>4525</v>
      </c>
      <c r="H44" s="56" t="s">
        <v>4187</v>
      </c>
      <c r="I44" s="56" t="s">
        <v>4187</v>
      </c>
      <c r="J44" s="56" t="s">
        <v>4187</v>
      </c>
      <c r="K44" s="56" t="s">
        <v>4187</v>
      </c>
      <c r="L44" s="77" t="s">
        <v>4749</v>
      </c>
      <c r="M44" s="380"/>
      <c r="N44" s="100"/>
      <c r="O44" s="65"/>
      <c r="P44" s="65"/>
      <c r="Q44" s="65"/>
      <c r="R44" s="59"/>
      <c r="S44" s="65"/>
      <c r="T44" s="65"/>
      <c r="U44" s="65"/>
      <c r="V44" s="65"/>
      <c r="W44" s="65"/>
      <c r="X44" s="65"/>
      <c r="Y44" s="65"/>
      <c r="Z44" s="65"/>
      <c r="AA44" s="59"/>
      <c r="AB44" s="59"/>
      <c r="AC44" s="65" t="s">
        <v>4191</v>
      </c>
      <c r="AD44" s="65" t="s">
        <v>4532</v>
      </c>
      <c r="AE44" s="65"/>
      <c r="AF44" s="97"/>
      <c r="AG44" s="97"/>
      <c r="AH44" s="97"/>
      <c r="AJ44" s="332" t="s">
        <v>4187</v>
      </c>
      <c r="AK44" s="332" t="s">
        <v>4187</v>
      </c>
      <c r="AL44" s="332" t="s">
        <v>4187</v>
      </c>
      <c r="AM44" s="332" t="s">
        <v>4187</v>
      </c>
      <c r="AN44" s="332" t="s">
        <v>4187</v>
      </c>
      <c r="AO44" s="332" t="s">
        <v>4187</v>
      </c>
      <c r="AP44" s="370" t="s">
        <v>4840</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4872</v>
      </c>
      <c r="D45" s="7" t="s">
        <v>4481</v>
      </c>
      <c r="E45" s="8"/>
      <c r="F45" s="8"/>
      <c r="G45" s="8"/>
      <c r="H45" s="8"/>
      <c r="I45" s="8"/>
      <c r="J45" s="73"/>
      <c r="K45" s="73"/>
      <c r="L45" s="74"/>
      <c r="M45" s="380"/>
      <c r="N45" s="91" t="s">
        <v>4297</v>
      </c>
      <c r="O45" s="92" t="s">
        <v>4298</v>
      </c>
      <c r="P45" s="92" t="s">
        <v>4299</v>
      </c>
      <c r="Q45" s="92" t="s">
        <v>13</v>
      </c>
      <c r="R45" s="93" t="s">
        <v>22</v>
      </c>
      <c r="S45" s="144" t="s">
        <v>4376</v>
      </c>
      <c r="T45" s="145" t="s">
        <v>4245</v>
      </c>
      <c r="U45" s="146" t="s">
        <v>4246</v>
      </c>
      <c r="V45" s="91" t="s">
        <v>4340</v>
      </c>
      <c r="W45" s="148"/>
      <c r="X45" s="148" t="s">
        <v>4339</v>
      </c>
      <c r="Y45" s="148"/>
      <c r="Z45" s="92" t="s">
        <v>4250</v>
      </c>
      <c r="AA45" s="320" t="s">
        <v>4267</v>
      </c>
      <c r="AB45" s="88" t="s">
        <v>4676</v>
      </c>
      <c r="AC45" s="90" t="s">
        <v>7</v>
      </c>
      <c r="AD45" s="90" t="s">
        <v>4522</v>
      </c>
      <c r="AE45" s="90"/>
      <c r="AF45" s="90"/>
      <c r="AG45" s="90"/>
      <c r="AH45" s="90"/>
      <c r="AJ45" s="327" t="s">
        <v>4826</v>
      </c>
      <c r="AK45" s="327" t="s">
        <v>4828</v>
      </c>
      <c r="AL45" s="327" t="s">
        <v>4836</v>
      </c>
      <c r="AM45" s="327" t="s">
        <v>4838</v>
      </c>
      <c r="AN45" s="327" t="s">
        <v>4834</v>
      </c>
      <c r="AO45" s="327" t="s">
        <v>4661</v>
      </c>
      <c r="AP45" s="327" t="s">
        <v>4830</v>
      </c>
      <c r="AQ45" s="327" t="s">
        <v>4841</v>
      </c>
      <c r="AR45" s="327" t="s">
        <v>4842</v>
      </c>
      <c r="AS45" s="327" t="s">
        <v>4890</v>
      </c>
      <c r="AT45" s="327" t="s">
        <v>4846</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4844</v>
      </c>
      <c r="BG45" s="326" t="s">
        <v>4384</v>
      </c>
    </row>
    <row r="46" spans="3:59" ht="25.15" customHeight="1">
      <c r="D46" s="10">
        <v>6.1</v>
      </c>
      <c r="E46" s="55" t="s">
        <v>4442</v>
      </c>
      <c r="F46" s="86" t="s">
        <v>5039</v>
      </c>
      <c r="G46" s="56" t="s">
        <v>4406</v>
      </c>
      <c r="H46" s="56" t="s">
        <v>4242</v>
      </c>
      <c r="I46" s="56" t="s">
        <v>4187</v>
      </c>
      <c r="J46" s="56" t="s">
        <v>4187</v>
      </c>
      <c r="K46" s="69" t="s">
        <v>4883</v>
      </c>
      <c r="L46" s="77" t="s">
        <v>4773</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4892</v>
      </c>
      <c r="AE46" s="59"/>
      <c r="AF46" s="59"/>
      <c r="AG46" s="59"/>
      <c r="AH46" s="59"/>
      <c r="AJ46" s="332" t="s">
        <v>4187</v>
      </c>
      <c r="AK46" s="330" t="s">
        <v>4829</v>
      </c>
      <c r="AL46" s="332" t="s">
        <v>4187</v>
      </c>
      <c r="AM46" s="332" t="s">
        <v>4187</v>
      </c>
      <c r="AN46" s="370" t="s">
        <v>4835</v>
      </c>
      <c r="AO46" s="370" t="s">
        <v>4840</v>
      </c>
      <c r="AP46" s="332" t="s">
        <v>4187</v>
      </c>
      <c r="AQ46" s="330" t="s">
        <v>4831</v>
      </c>
      <c r="AR46" s="332" t="s">
        <v>4187</v>
      </c>
      <c r="AS46" s="341" t="s">
        <v>4891</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4478</v>
      </c>
      <c r="F47" s="86" t="s">
        <v>4229</v>
      </c>
      <c r="G47" s="56" t="s">
        <v>4477</v>
      </c>
      <c r="H47" s="56" t="s">
        <v>4187</v>
      </c>
      <c r="I47" s="56" t="s">
        <v>4187</v>
      </c>
      <c r="J47" s="56" t="s">
        <v>4187</v>
      </c>
      <c r="K47" s="56" t="s">
        <v>4187</v>
      </c>
      <c r="L47" s="77" t="s">
        <v>4774</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4829</v>
      </c>
      <c r="AL47" s="332" t="s">
        <v>4187</v>
      </c>
      <c r="AM47" s="332" t="s">
        <v>4187</v>
      </c>
      <c r="AN47" s="370" t="s">
        <v>4835</v>
      </c>
      <c r="AO47" s="370" t="s">
        <v>4840</v>
      </c>
      <c r="AP47" s="332" t="s">
        <v>4187</v>
      </c>
      <c r="AQ47" s="330" t="s">
        <v>4831</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4443</v>
      </c>
      <c r="F48" s="86" t="s">
        <v>4296</v>
      </c>
      <c r="G48" s="56" t="s">
        <v>4341</v>
      </c>
      <c r="H48" s="56" t="s">
        <v>4187</v>
      </c>
      <c r="I48" s="56" t="s">
        <v>4187</v>
      </c>
      <c r="J48" s="56" t="s">
        <v>4187</v>
      </c>
      <c r="K48" s="168" t="s">
        <v>4511</v>
      </c>
      <c r="L48" s="77" t="s">
        <v>4775</v>
      </c>
      <c r="M48" s="380"/>
      <c r="N48" s="100"/>
      <c r="O48" s="59"/>
      <c r="P48" s="59"/>
      <c r="Q48" s="65"/>
      <c r="R48" s="59"/>
      <c r="S48" s="59"/>
      <c r="T48" s="59"/>
      <c r="U48" s="59"/>
      <c r="V48" s="65" t="s">
        <v>4847</v>
      </c>
      <c r="W48" s="65"/>
      <c r="X48" s="65" t="s">
        <v>4847</v>
      </c>
      <c r="Y48" s="65"/>
      <c r="Z48" s="65" t="s">
        <v>4848</v>
      </c>
      <c r="AA48" s="65" t="s">
        <v>4849</v>
      </c>
      <c r="AB48" s="97" t="s">
        <v>4377</v>
      </c>
      <c r="AC48" s="97"/>
      <c r="AD48" s="97"/>
      <c r="AE48" s="97"/>
      <c r="AF48" s="97"/>
      <c r="AG48" s="97"/>
      <c r="AH48" s="97"/>
      <c r="AJ48" s="332" t="s">
        <v>4187</v>
      </c>
      <c r="AK48" s="332" t="s">
        <v>4187</v>
      </c>
      <c r="AL48" s="332" t="s">
        <v>4187</v>
      </c>
      <c r="AM48" s="331" t="s">
        <v>4839</v>
      </c>
      <c r="AN48" s="332" t="s">
        <v>4187</v>
      </c>
      <c r="AO48" s="332" t="s">
        <v>4187</v>
      </c>
      <c r="AP48" s="332" t="s">
        <v>4187</v>
      </c>
      <c r="AQ48" s="330" t="s">
        <v>4831</v>
      </c>
      <c r="AR48" s="332" t="s">
        <v>4187</v>
      </c>
      <c r="AS48" s="332"/>
      <c r="AT48" s="331" t="s">
        <v>4845</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4444</v>
      </c>
      <c r="F49" s="86" t="s">
        <v>4378</v>
      </c>
      <c r="G49" s="56" t="s">
        <v>4258</v>
      </c>
      <c r="H49" s="56" t="s">
        <v>4187</v>
      </c>
      <c r="I49" s="56" t="s">
        <v>4187</v>
      </c>
      <c r="J49" s="56" t="s">
        <v>4187</v>
      </c>
      <c r="K49" s="168" t="s">
        <v>4511</v>
      </c>
      <c r="L49" s="77" t="s">
        <v>4776</v>
      </c>
      <c r="M49" s="380"/>
      <c r="N49" s="100"/>
      <c r="O49" s="59"/>
      <c r="P49" s="59"/>
      <c r="Q49" s="65"/>
      <c r="R49" s="59"/>
      <c r="S49" s="59"/>
      <c r="T49" s="59"/>
      <c r="U49" s="59"/>
      <c r="V49" s="65" t="s">
        <v>4847</v>
      </c>
      <c r="W49" s="65"/>
      <c r="X49" s="65" t="s">
        <v>4847</v>
      </c>
      <c r="Y49" s="65"/>
      <c r="Z49" s="65" t="s">
        <v>4848</v>
      </c>
      <c r="AA49" s="65" t="s">
        <v>4849</v>
      </c>
      <c r="AB49" s="97" t="s">
        <v>4377</v>
      </c>
      <c r="AC49" s="97"/>
      <c r="AD49" s="97"/>
      <c r="AE49" s="97"/>
      <c r="AF49" s="97"/>
      <c r="AG49" s="97"/>
      <c r="AH49" s="97"/>
      <c r="AJ49" s="332" t="s">
        <v>4187</v>
      </c>
      <c r="AK49" s="332" t="s">
        <v>4187</v>
      </c>
      <c r="AL49" s="332" t="s">
        <v>4187</v>
      </c>
      <c r="AM49" s="331" t="s">
        <v>4839</v>
      </c>
      <c r="AN49" s="332" t="s">
        <v>4187</v>
      </c>
      <c r="AO49" s="332" t="s">
        <v>4187</v>
      </c>
      <c r="AP49" s="332" t="s">
        <v>4187</v>
      </c>
      <c r="AQ49" s="330" t="s">
        <v>4831</v>
      </c>
      <c r="AR49" s="332" t="s">
        <v>4187</v>
      </c>
      <c r="AS49" s="332"/>
      <c r="AT49" s="331" t="s">
        <v>4845</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4445</v>
      </c>
      <c r="F50" s="86" t="s">
        <v>4379</v>
      </c>
      <c r="G50" s="56" t="s">
        <v>4343</v>
      </c>
      <c r="H50" s="56" t="s">
        <v>4187</v>
      </c>
      <c r="I50" s="56" t="s">
        <v>4187</v>
      </c>
      <c r="J50" s="56" t="s">
        <v>4187</v>
      </c>
      <c r="K50" s="168" t="s">
        <v>4511</v>
      </c>
      <c r="L50" s="77" t="s">
        <v>4777</v>
      </c>
      <c r="M50" s="380"/>
      <c r="N50" s="100"/>
      <c r="O50" s="59"/>
      <c r="P50" s="59"/>
      <c r="Q50" s="65"/>
      <c r="R50" s="59"/>
      <c r="S50" s="59"/>
      <c r="T50" s="59"/>
      <c r="U50" s="59"/>
      <c r="V50" s="65" t="s">
        <v>4847</v>
      </c>
      <c r="W50" s="65"/>
      <c r="X50" s="65" t="s">
        <v>4847</v>
      </c>
      <c r="Y50" s="65"/>
      <c r="Z50" s="65" t="s">
        <v>4848</v>
      </c>
      <c r="AA50" s="65" t="s">
        <v>4849</v>
      </c>
      <c r="AB50" s="97" t="s">
        <v>4377</v>
      </c>
      <c r="AC50" s="97"/>
      <c r="AD50" s="97"/>
      <c r="AE50" s="97"/>
      <c r="AF50" s="97"/>
      <c r="AG50" s="97"/>
      <c r="AH50" s="97"/>
      <c r="AJ50" s="332" t="s">
        <v>4187</v>
      </c>
      <c r="AK50" s="332" t="s">
        <v>4187</v>
      </c>
      <c r="AL50" s="332" t="s">
        <v>4187</v>
      </c>
      <c r="AM50" s="331" t="s">
        <v>4839</v>
      </c>
      <c r="AN50" s="332" t="s">
        <v>4187</v>
      </c>
      <c r="AO50" s="332" t="s">
        <v>4187</v>
      </c>
      <c r="AP50" s="332" t="s">
        <v>4187</v>
      </c>
      <c r="AQ50" s="330" t="s">
        <v>4831</v>
      </c>
      <c r="AR50" s="332" t="s">
        <v>4187</v>
      </c>
      <c r="AS50" s="332"/>
      <c r="AT50" s="331" t="s">
        <v>4845</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4446</v>
      </c>
      <c r="F51" s="86" t="s">
        <v>4380</v>
      </c>
      <c r="G51" s="56" t="s">
        <v>4347</v>
      </c>
      <c r="H51" s="56" t="s">
        <v>4187</v>
      </c>
      <c r="I51" s="56" t="s">
        <v>4187</v>
      </c>
      <c r="J51" s="56" t="s">
        <v>4187</v>
      </c>
      <c r="K51" s="168" t="s">
        <v>4511</v>
      </c>
      <c r="L51" s="77" t="s">
        <v>4778</v>
      </c>
      <c r="M51" s="380"/>
      <c r="N51" s="100"/>
      <c r="O51" s="59"/>
      <c r="P51" s="59"/>
      <c r="Q51" s="65"/>
      <c r="R51" s="59"/>
      <c r="S51" s="59"/>
      <c r="T51" s="59"/>
      <c r="U51" s="59"/>
      <c r="V51" s="65" t="s">
        <v>4847</v>
      </c>
      <c r="W51" s="65"/>
      <c r="X51" s="65" t="s">
        <v>4847</v>
      </c>
      <c r="Y51" s="65"/>
      <c r="Z51" s="65" t="s">
        <v>4848</v>
      </c>
      <c r="AA51" s="65" t="s">
        <v>4849</v>
      </c>
      <c r="AB51" s="97" t="s">
        <v>4377</v>
      </c>
      <c r="AC51" s="97"/>
      <c r="AD51" s="97"/>
      <c r="AE51" s="97"/>
      <c r="AF51" s="97"/>
      <c r="AG51" s="97"/>
      <c r="AH51" s="97"/>
      <c r="AJ51" s="332" t="s">
        <v>4187</v>
      </c>
      <c r="AK51" s="332" t="s">
        <v>4187</v>
      </c>
      <c r="AL51" s="332" t="s">
        <v>4187</v>
      </c>
      <c r="AM51" s="331" t="s">
        <v>4839</v>
      </c>
      <c r="AN51" s="332" t="s">
        <v>4187</v>
      </c>
      <c r="AO51" s="332" t="s">
        <v>4187</v>
      </c>
      <c r="AP51" s="332" t="s">
        <v>4187</v>
      </c>
      <c r="AQ51" s="330" t="s">
        <v>4831</v>
      </c>
      <c r="AR51" s="332" t="s">
        <v>4187</v>
      </c>
      <c r="AS51" s="332"/>
      <c r="AT51" s="331" t="s">
        <v>4845</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4447</v>
      </c>
      <c r="F52" s="86" t="s">
        <v>4381</v>
      </c>
      <c r="G52" s="56" t="s">
        <v>4349</v>
      </c>
      <c r="H52" s="56" t="s">
        <v>4187</v>
      </c>
      <c r="I52" s="56" t="s">
        <v>4187</v>
      </c>
      <c r="J52" s="56" t="s">
        <v>4187</v>
      </c>
      <c r="K52" s="168" t="s">
        <v>4511</v>
      </c>
      <c r="L52" s="77" t="s">
        <v>4779</v>
      </c>
      <c r="M52" s="380"/>
      <c r="N52" s="100"/>
      <c r="O52" s="59"/>
      <c r="P52" s="59"/>
      <c r="Q52" s="65"/>
      <c r="R52" s="59"/>
      <c r="S52" s="59"/>
      <c r="T52" s="59"/>
      <c r="U52" s="59"/>
      <c r="V52" s="65" t="s">
        <v>4847</v>
      </c>
      <c r="W52" s="65"/>
      <c r="X52" s="65" t="s">
        <v>4847</v>
      </c>
      <c r="Y52" s="65"/>
      <c r="Z52" s="65" t="s">
        <v>4848</v>
      </c>
      <c r="AA52" s="65" t="s">
        <v>4849</v>
      </c>
      <c r="AB52" s="97" t="s">
        <v>4377</v>
      </c>
      <c r="AC52" s="97"/>
      <c r="AD52" s="97"/>
      <c r="AE52" s="97"/>
      <c r="AF52" s="97"/>
      <c r="AG52" s="97"/>
      <c r="AH52" s="97"/>
      <c r="AJ52" s="332" t="s">
        <v>4187</v>
      </c>
      <c r="AK52" s="332" t="s">
        <v>4187</v>
      </c>
      <c r="AL52" s="332" t="s">
        <v>4187</v>
      </c>
      <c r="AM52" s="331" t="s">
        <v>4839</v>
      </c>
      <c r="AN52" s="332" t="s">
        <v>4187</v>
      </c>
      <c r="AO52" s="332" t="s">
        <v>4187</v>
      </c>
      <c r="AP52" s="332" t="s">
        <v>4187</v>
      </c>
      <c r="AQ52" s="330" t="s">
        <v>4831</v>
      </c>
      <c r="AR52" s="332" t="s">
        <v>4187</v>
      </c>
      <c r="AS52" s="332"/>
      <c r="AT52" s="331" t="s">
        <v>4845</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4448</v>
      </c>
      <c r="F53" s="86" t="s">
        <v>4382</v>
      </c>
      <c r="G53" s="56" t="s">
        <v>4261</v>
      </c>
      <c r="H53" s="56" t="s">
        <v>4187</v>
      </c>
      <c r="I53" s="56" t="s">
        <v>4187</v>
      </c>
      <c r="J53" s="56" t="s">
        <v>4187</v>
      </c>
      <c r="K53" s="168" t="s">
        <v>4511</v>
      </c>
      <c r="L53" s="77" t="s">
        <v>4780</v>
      </c>
      <c r="M53" s="380"/>
      <c r="N53" s="100"/>
      <c r="O53" s="59"/>
      <c r="P53" s="59"/>
      <c r="Q53" s="65"/>
      <c r="R53" s="59"/>
      <c r="S53" s="59"/>
      <c r="T53" s="59"/>
      <c r="U53" s="59"/>
      <c r="V53" s="65" t="s">
        <v>4847</v>
      </c>
      <c r="W53" s="65"/>
      <c r="X53" s="65" t="s">
        <v>4847</v>
      </c>
      <c r="Y53" s="65"/>
      <c r="Z53" s="65" t="s">
        <v>4848</v>
      </c>
      <c r="AA53" s="65" t="s">
        <v>4849</v>
      </c>
      <c r="AB53" s="97" t="s">
        <v>4377</v>
      </c>
      <c r="AC53" s="97"/>
      <c r="AD53" s="97"/>
      <c r="AE53" s="97"/>
      <c r="AF53" s="97"/>
      <c r="AG53" s="97"/>
      <c r="AH53" s="97"/>
      <c r="AJ53" s="332" t="s">
        <v>4187</v>
      </c>
      <c r="AK53" s="332" t="s">
        <v>4187</v>
      </c>
      <c r="AL53" s="332" t="s">
        <v>4187</v>
      </c>
      <c r="AM53" s="331" t="s">
        <v>4839</v>
      </c>
      <c r="AN53" s="332" t="s">
        <v>4187</v>
      </c>
      <c r="AO53" s="332" t="s">
        <v>4187</v>
      </c>
      <c r="AP53" s="332" t="s">
        <v>4187</v>
      </c>
      <c r="AQ53" s="330" t="s">
        <v>4831</v>
      </c>
      <c r="AR53" s="332" t="s">
        <v>4187</v>
      </c>
      <c r="AS53" s="332"/>
      <c r="AT53" s="331" t="s">
        <v>4845</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4449</v>
      </c>
      <c r="F54" s="86" t="s">
        <v>4383</v>
      </c>
      <c r="G54" s="56" t="s">
        <v>4355</v>
      </c>
      <c r="H54" s="56" t="s">
        <v>4187</v>
      </c>
      <c r="I54" s="56" t="s">
        <v>4187</v>
      </c>
      <c r="J54" s="56" t="s">
        <v>4187</v>
      </c>
      <c r="K54" s="168" t="s">
        <v>4511</v>
      </c>
      <c r="L54" s="77" t="s">
        <v>4781</v>
      </c>
      <c r="M54" s="380"/>
      <c r="N54" s="100"/>
      <c r="O54" s="59"/>
      <c r="P54" s="59"/>
      <c r="Q54" s="65"/>
      <c r="R54" s="59"/>
      <c r="S54" s="59"/>
      <c r="T54" s="59"/>
      <c r="U54" s="59"/>
      <c r="V54" s="65" t="s">
        <v>4847</v>
      </c>
      <c r="W54" s="65"/>
      <c r="X54" s="65" t="s">
        <v>4847</v>
      </c>
      <c r="Y54" s="65"/>
      <c r="Z54" s="65" t="s">
        <v>4848</v>
      </c>
      <c r="AA54" s="65" t="s">
        <v>4849</v>
      </c>
      <c r="AB54" s="97" t="s">
        <v>4377</v>
      </c>
      <c r="AC54" s="97"/>
      <c r="AD54" s="97"/>
      <c r="AE54" s="97"/>
      <c r="AF54" s="97"/>
      <c r="AG54" s="97"/>
      <c r="AH54" s="97"/>
      <c r="AJ54" s="332" t="s">
        <v>4187</v>
      </c>
      <c r="AK54" s="332" t="s">
        <v>4187</v>
      </c>
      <c r="AL54" s="332" t="s">
        <v>4187</v>
      </c>
      <c r="AM54" s="331" t="s">
        <v>4839</v>
      </c>
      <c r="AN54" s="332" t="s">
        <v>4187</v>
      </c>
      <c r="AO54" s="332" t="s">
        <v>4187</v>
      </c>
      <c r="AP54" s="332" t="s">
        <v>4187</v>
      </c>
      <c r="AQ54" s="330" t="s">
        <v>4831</v>
      </c>
      <c r="AR54" s="332" t="s">
        <v>4187</v>
      </c>
      <c r="AS54" s="332"/>
      <c r="AT54" s="331" t="s">
        <v>4845</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4872</v>
      </c>
      <c r="D55" s="7" t="s">
        <v>4482</v>
      </c>
      <c r="E55" s="8"/>
      <c r="F55" s="8"/>
      <c r="G55" s="8"/>
      <c r="H55" s="8"/>
      <c r="I55" s="8"/>
      <c r="J55" s="73"/>
      <c r="K55" s="73"/>
      <c r="L55" s="74"/>
      <c r="M55" s="380"/>
      <c r="N55" s="91" t="s">
        <v>4297</v>
      </c>
      <c r="O55" s="92" t="s">
        <v>4298</v>
      </c>
      <c r="P55" s="92" t="s">
        <v>4299</v>
      </c>
      <c r="Q55" s="92" t="s">
        <v>13</v>
      </c>
      <c r="R55" s="93" t="s">
        <v>22</v>
      </c>
      <c r="S55" s="144" t="s">
        <v>4376</v>
      </c>
      <c r="T55" s="145" t="s">
        <v>4245</v>
      </c>
      <c r="U55" s="146" t="s">
        <v>4246</v>
      </c>
      <c r="V55" s="94" t="s">
        <v>4874</v>
      </c>
      <c r="W55" s="339" t="s">
        <v>4875</v>
      </c>
      <c r="X55" s="95" t="s">
        <v>4876</v>
      </c>
      <c r="Y55" s="95" t="s">
        <v>4877</v>
      </c>
      <c r="Z55" s="93" t="s">
        <v>21</v>
      </c>
      <c r="AA55" s="144" t="s">
        <v>31</v>
      </c>
      <c r="AB55" s="146" t="s">
        <v>25</v>
      </c>
      <c r="AC55" s="91" t="s">
        <v>4340</v>
      </c>
      <c r="AD55" s="148" t="s">
        <v>4339</v>
      </c>
      <c r="AE55" s="92" t="s">
        <v>4250</v>
      </c>
      <c r="AF55" s="320" t="s">
        <v>4267</v>
      </c>
      <c r="AG55" s="88" t="s">
        <v>4676</v>
      </c>
      <c r="AH55" s="90"/>
      <c r="AJ55" s="327" t="s">
        <v>4826</v>
      </c>
      <c r="AK55" s="327" t="s">
        <v>4828</v>
      </c>
      <c r="AL55" s="327" t="s">
        <v>4836</v>
      </c>
      <c r="AM55" s="327" t="s">
        <v>4838</v>
      </c>
      <c r="AN55" s="327" t="s">
        <v>4834</v>
      </c>
      <c r="AO55" s="327" t="s">
        <v>4661</v>
      </c>
      <c r="AP55" s="327" t="s">
        <v>4830</v>
      </c>
      <c r="AQ55" s="327" t="s">
        <v>4841</v>
      </c>
      <c r="AR55" s="327" t="s">
        <v>4842</v>
      </c>
      <c r="AS55" s="327"/>
      <c r="AT55" s="327" t="s">
        <v>4846</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4844</v>
      </c>
      <c r="BG55" s="326" t="s">
        <v>4384</v>
      </c>
    </row>
    <row r="56" spans="3:59" ht="25.15" customHeight="1">
      <c r="D56" s="10">
        <v>7.1</v>
      </c>
      <c r="E56" s="55" t="s">
        <v>4450</v>
      </c>
      <c r="F56" s="86" t="s">
        <v>4230</v>
      </c>
      <c r="G56" s="56" t="s">
        <v>4406</v>
      </c>
      <c r="H56" s="56" t="s">
        <v>4242</v>
      </c>
      <c r="I56" s="56" t="s">
        <v>4404</v>
      </c>
      <c r="J56" s="56" t="s">
        <v>4263</v>
      </c>
      <c r="K56" s="56" t="s">
        <v>4187</v>
      </c>
      <c r="L56" s="77" t="s">
        <v>4782</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4829</v>
      </c>
      <c r="AL56" s="332" t="s">
        <v>4187</v>
      </c>
      <c r="AM56" s="332" t="s">
        <v>4187</v>
      </c>
      <c r="AN56" s="370" t="s">
        <v>4835</v>
      </c>
      <c r="AO56" s="393" t="s">
        <v>5042</v>
      </c>
      <c r="AP56" s="330" t="s">
        <v>4831</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4451</v>
      </c>
      <c r="F57" s="86" t="s">
        <v>4231</v>
      </c>
      <c r="G57" s="56" t="s">
        <v>4477</v>
      </c>
      <c r="H57" s="56" t="s">
        <v>4187</v>
      </c>
      <c r="I57" s="56" t="s">
        <v>4187</v>
      </c>
      <c r="J57" s="56" t="s">
        <v>4187</v>
      </c>
      <c r="K57" s="56" t="s">
        <v>4187</v>
      </c>
      <c r="L57" s="77" t="s">
        <v>4783</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4829</v>
      </c>
      <c r="AL57" s="332" t="s">
        <v>4187</v>
      </c>
      <c r="AM57" s="332" t="s">
        <v>4187</v>
      </c>
      <c r="AN57" s="370" t="s">
        <v>4835</v>
      </c>
      <c r="AO57" s="393" t="s">
        <v>5042</v>
      </c>
      <c r="AP57" s="330" t="s">
        <v>4831</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4454</v>
      </c>
      <c r="F58" s="86" t="s">
        <v>4232</v>
      </c>
      <c r="G58" s="56" t="s">
        <v>4341</v>
      </c>
      <c r="H58" s="56" t="s">
        <v>4187</v>
      </c>
      <c r="I58" s="56" t="s">
        <v>4187</v>
      </c>
      <c r="J58" s="56" t="s">
        <v>4187</v>
      </c>
      <c r="K58" s="168" t="s">
        <v>4511</v>
      </c>
      <c r="L58" s="77" t="s">
        <v>4784</v>
      </c>
      <c r="M58" s="380"/>
      <c r="N58" s="100"/>
      <c r="O58" s="59"/>
      <c r="P58" s="59"/>
      <c r="Q58" s="65"/>
      <c r="R58" s="59"/>
      <c r="S58" s="59"/>
      <c r="T58" s="59"/>
      <c r="U58" s="59"/>
      <c r="V58" s="65"/>
      <c r="W58" s="65"/>
      <c r="X58" s="65"/>
      <c r="Y58" s="65"/>
      <c r="Z58" s="65"/>
      <c r="AA58" s="59"/>
      <c r="AB58" s="59"/>
      <c r="AC58" s="65" t="s">
        <v>4850</v>
      </c>
      <c r="AD58" s="65" t="s">
        <v>4850</v>
      </c>
      <c r="AE58" s="65" t="s">
        <v>4851</v>
      </c>
      <c r="AF58" s="65" t="s">
        <v>4852</v>
      </c>
      <c r="AG58" s="97" t="s">
        <v>4331</v>
      </c>
      <c r="AH58" s="65"/>
      <c r="AJ58" s="332" t="s">
        <v>4187</v>
      </c>
      <c r="AK58" s="332" t="s">
        <v>4187</v>
      </c>
      <c r="AL58" s="332" t="s">
        <v>4187</v>
      </c>
      <c r="AM58" s="331" t="s">
        <v>4839</v>
      </c>
      <c r="AN58" s="332" t="s">
        <v>4187</v>
      </c>
      <c r="AO58" s="332" t="s">
        <v>4187</v>
      </c>
      <c r="AP58" s="330" t="s">
        <v>4831</v>
      </c>
      <c r="AQ58" s="332" t="s">
        <v>4187</v>
      </c>
      <c r="AR58" s="332" t="s">
        <v>4187</v>
      </c>
      <c r="AS58" s="332"/>
      <c r="AT58" s="331" t="s">
        <v>4845</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4452</v>
      </c>
      <c r="F59" s="86" t="s">
        <v>4232</v>
      </c>
      <c r="G59" s="56" t="s">
        <v>4258</v>
      </c>
      <c r="H59" s="56" t="s">
        <v>4187</v>
      </c>
      <c r="I59" s="56" t="s">
        <v>4187</v>
      </c>
      <c r="J59" s="56" t="s">
        <v>4187</v>
      </c>
      <c r="K59" s="168" t="s">
        <v>4511</v>
      </c>
      <c r="L59" s="77" t="s">
        <v>4785</v>
      </c>
      <c r="M59" s="380"/>
      <c r="N59" s="100"/>
      <c r="O59" s="59"/>
      <c r="P59" s="59"/>
      <c r="Q59" s="65"/>
      <c r="R59" s="59"/>
      <c r="S59" s="59"/>
      <c r="T59" s="59"/>
      <c r="U59" s="59"/>
      <c r="V59" s="65"/>
      <c r="W59" s="65"/>
      <c r="X59" s="65"/>
      <c r="Y59" s="65"/>
      <c r="Z59" s="65"/>
      <c r="AA59" s="59"/>
      <c r="AB59" s="59"/>
      <c r="AC59" s="65" t="s">
        <v>4850</v>
      </c>
      <c r="AD59" s="65" t="s">
        <v>4850</v>
      </c>
      <c r="AE59" s="65" t="s">
        <v>4851</v>
      </c>
      <c r="AF59" s="65" t="s">
        <v>4852</v>
      </c>
      <c r="AG59" s="97" t="s">
        <v>4331</v>
      </c>
      <c r="AH59" s="65"/>
      <c r="AJ59" s="332" t="s">
        <v>4187</v>
      </c>
      <c r="AK59" s="332" t="s">
        <v>4187</v>
      </c>
      <c r="AL59" s="332" t="s">
        <v>4187</v>
      </c>
      <c r="AM59" s="331" t="s">
        <v>4839</v>
      </c>
      <c r="AN59" s="332" t="s">
        <v>4187</v>
      </c>
      <c r="AO59" s="332" t="s">
        <v>4187</v>
      </c>
      <c r="AP59" s="330" t="s">
        <v>4831</v>
      </c>
      <c r="AQ59" s="332" t="s">
        <v>4187</v>
      </c>
      <c r="AR59" s="332" t="s">
        <v>4187</v>
      </c>
      <c r="AS59" s="332"/>
      <c r="AT59" s="331" t="s">
        <v>4845</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4455</v>
      </c>
      <c r="F60" s="86" t="s">
        <v>4232</v>
      </c>
      <c r="G60" s="56" t="s">
        <v>4343</v>
      </c>
      <c r="H60" s="56" t="s">
        <v>4187</v>
      </c>
      <c r="I60" s="56" t="s">
        <v>4187</v>
      </c>
      <c r="J60" s="56" t="s">
        <v>4187</v>
      </c>
      <c r="K60" s="168" t="s">
        <v>4511</v>
      </c>
      <c r="L60" s="77" t="s">
        <v>4786</v>
      </c>
      <c r="M60" s="380"/>
      <c r="N60" s="100"/>
      <c r="O60" s="59"/>
      <c r="P60" s="59"/>
      <c r="Q60" s="65"/>
      <c r="R60" s="59"/>
      <c r="S60" s="59"/>
      <c r="T60" s="59"/>
      <c r="U60" s="59"/>
      <c r="V60" s="65"/>
      <c r="W60" s="65"/>
      <c r="X60" s="65"/>
      <c r="Y60" s="65"/>
      <c r="Z60" s="65"/>
      <c r="AA60" s="59"/>
      <c r="AB60" s="59"/>
      <c r="AC60" s="65" t="s">
        <v>4850</v>
      </c>
      <c r="AD60" s="65" t="s">
        <v>4850</v>
      </c>
      <c r="AE60" s="65" t="s">
        <v>4851</v>
      </c>
      <c r="AF60" s="65" t="s">
        <v>4852</v>
      </c>
      <c r="AG60" s="97" t="s">
        <v>4331</v>
      </c>
      <c r="AH60" s="65"/>
      <c r="AJ60" s="332" t="s">
        <v>4187</v>
      </c>
      <c r="AK60" s="332" t="s">
        <v>4187</v>
      </c>
      <c r="AL60" s="332" t="s">
        <v>4187</v>
      </c>
      <c r="AM60" s="331" t="s">
        <v>4839</v>
      </c>
      <c r="AN60" s="332" t="s">
        <v>4187</v>
      </c>
      <c r="AO60" s="332" t="s">
        <v>4187</v>
      </c>
      <c r="AP60" s="330" t="s">
        <v>4831</v>
      </c>
      <c r="AQ60" s="332" t="s">
        <v>4187</v>
      </c>
      <c r="AR60" s="332" t="s">
        <v>4187</v>
      </c>
      <c r="AS60" s="332"/>
      <c r="AT60" s="331" t="s">
        <v>4845</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4456</v>
      </c>
      <c r="F61" s="86" t="s">
        <v>4232</v>
      </c>
      <c r="G61" s="56" t="s">
        <v>4347</v>
      </c>
      <c r="H61" s="56" t="s">
        <v>4187</v>
      </c>
      <c r="I61" s="56" t="s">
        <v>4187</v>
      </c>
      <c r="J61" s="56" t="s">
        <v>4187</v>
      </c>
      <c r="K61" s="168" t="s">
        <v>4511</v>
      </c>
      <c r="L61" s="77" t="s">
        <v>4787</v>
      </c>
      <c r="M61" s="380"/>
      <c r="N61" s="100"/>
      <c r="O61" s="59"/>
      <c r="P61" s="59"/>
      <c r="Q61" s="65"/>
      <c r="R61" s="59"/>
      <c r="S61" s="59"/>
      <c r="T61" s="59"/>
      <c r="U61" s="59"/>
      <c r="V61" s="65"/>
      <c r="W61" s="65"/>
      <c r="X61" s="65"/>
      <c r="Y61" s="65"/>
      <c r="Z61" s="65"/>
      <c r="AA61" s="59"/>
      <c r="AB61" s="59"/>
      <c r="AC61" s="65" t="s">
        <v>4850</v>
      </c>
      <c r="AD61" s="65" t="s">
        <v>4850</v>
      </c>
      <c r="AE61" s="65" t="s">
        <v>4851</v>
      </c>
      <c r="AF61" s="65" t="s">
        <v>4852</v>
      </c>
      <c r="AG61" s="97" t="s">
        <v>4331</v>
      </c>
      <c r="AH61" s="65"/>
      <c r="AJ61" s="332" t="s">
        <v>4187</v>
      </c>
      <c r="AK61" s="332" t="s">
        <v>4187</v>
      </c>
      <c r="AL61" s="332" t="s">
        <v>4187</v>
      </c>
      <c r="AM61" s="331" t="s">
        <v>4839</v>
      </c>
      <c r="AN61" s="332" t="s">
        <v>4187</v>
      </c>
      <c r="AO61" s="332" t="s">
        <v>4187</v>
      </c>
      <c r="AP61" s="330" t="s">
        <v>4831</v>
      </c>
      <c r="AQ61" s="332" t="s">
        <v>4187</v>
      </c>
      <c r="AR61" s="332" t="s">
        <v>4187</v>
      </c>
      <c r="AS61" s="332"/>
      <c r="AT61" s="331" t="s">
        <v>4845</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4457</v>
      </c>
      <c r="F62" s="86" t="s">
        <v>4232</v>
      </c>
      <c r="G62" s="56" t="s">
        <v>4349</v>
      </c>
      <c r="H62" s="56" t="s">
        <v>4187</v>
      </c>
      <c r="I62" s="56" t="s">
        <v>4187</v>
      </c>
      <c r="J62" s="56" t="s">
        <v>4187</v>
      </c>
      <c r="K62" s="168" t="s">
        <v>4511</v>
      </c>
      <c r="L62" s="77" t="s">
        <v>4788</v>
      </c>
      <c r="M62" s="380"/>
      <c r="N62" s="100"/>
      <c r="O62" s="59"/>
      <c r="P62" s="59"/>
      <c r="Q62" s="65"/>
      <c r="R62" s="59"/>
      <c r="S62" s="59"/>
      <c r="T62" s="59"/>
      <c r="U62" s="59"/>
      <c r="V62" s="65"/>
      <c r="W62" s="65"/>
      <c r="X62" s="65"/>
      <c r="Y62" s="65"/>
      <c r="Z62" s="65"/>
      <c r="AA62" s="59"/>
      <c r="AB62" s="59"/>
      <c r="AC62" s="65" t="s">
        <v>4850</v>
      </c>
      <c r="AD62" s="65" t="s">
        <v>4850</v>
      </c>
      <c r="AE62" s="65" t="s">
        <v>4851</v>
      </c>
      <c r="AF62" s="65" t="s">
        <v>4852</v>
      </c>
      <c r="AG62" s="97" t="s">
        <v>4331</v>
      </c>
      <c r="AH62" s="65"/>
      <c r="AJ62" s="332" t="s">
        <v>4187</v>
      </c>
      <c r="AK62" s="332" t="s">
        <v>4187</v>
      </c>
      <c r="AL62" s="332" t="s">
        <v>4187</v>
      </c>
      <c r="AM62" s="331" t="s">
        <v>4839</v>
      </c>
      <c r="AN62" s="332" t="s">
        <v>4187</v>
      </c>
      <c r="AO62" s="332" t="s">
        <v>4187</v>
      </c>
      <c r="AP62" s="330" t="s">
        <v>4831</v>
      </c>
      <c r="AQ62" s="332" t="s">
        <v>4187</v>
      </c>
      <c r="AR62" s="332" t="s">
        <v>4187</v>
      </c>
      <c r="AS62" s="332"/>
      <c r="AT62" s="331" t="s">
        <v>4845</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4458</v>
      </c>
      <c r="F63" s="86" t="s">
        <v>4233</v>
      </c>
      <c r="G63" s="56" t="s">
        <v>4261</v>
      </c>
      <c r="H63" s="56" t="s">
        <v>4187</v>
      </c>
      <c r="I63" s="56" t="s">
        <v>4187</v>
      </c>
      <c r="J63" s="56" t="s">
        <v>4187</v>
      </c>
      <c r="K63" s="168" t="s">
        <v>4511</v>
      </c>
      <c r="L63" s="77" t="s">
        <v>4789</v>
      </c>
      <c r="M63" s="380"/>
      <c r="N63" s="100"/>
      <c r="O63" s="59"/>
      <c r="P63" s="59"/>
      <c r="Q63" s="65"/>
      <c r="R63" s="59"/>
      <c r="S63" s="59"/>
      <c r="T63" s="59"/>
      <c r="U63" s="59"/>
      <c r="V63" s="65"/>
      <c r="W63" s="65"/>
      <c r="X63" s="65"/>
      <c r="Y63" s="65"/>
      <c r="Z63" s="65"/>
      <c r="AA63" s="59"/>
      <c r="AB63" s="59"/>
      <c r="AC63" s="65" t="s">
        <v>4850</v>
      </c>
      <c r="AD63" s="65" t="s">
        <v>4850</v>
      </c>
      <c r="AE63" s="65" t="s">
        <v>4851</v>
      </c>
      <c r="AF63" s="65" t="s">
        <v>4852</v>
      </c>
      <c r="AG63" s="97" t="s">
        <v>4331</v>
      </c>
      <c r="AH63" s="65"/>
      <c r="AJ63" s="332" t="s">
        <v>4187</v>
      </c>
      <c r="AK63" s="332" t="s">
        <v>4187</v>
      </c>
      <c r="AL63" s="332" t="s">
        <v>4187</v>
      </c>
      <c r="AM63" s="331" t="s">
        <v>4839</v>
      </c>
      <c r="AN63" s="332" t="s">
        <v>4187</v>
      </c>
      <c r="AO63" s="332" t="s">
        <v>4187</v>
      </c>
      <c r="AP63" s="330" t="s">
        <v>4831</v>
      </c>
      <c r="AQ63" s="332" t="s">
        <v>4187</v>
      </c>
      <c r="AR63" s="332" t="s">
        <v>4187</v>
      </c>
      <c r="AS63" s="332"/>
      <c r="AT63" s="331" t="s">
        <v>4845</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4459</v>
      </c>
      <c r="F64" s="86" t="s">
        <v>4233</v>
      </c>
      <c r="G64" s="56" t="s">
        <v>4355</v>
      </c>
      <c r="H64" s="56" t="s">
        <v>4187</v>
      </c>
      <c r="I64" s="56" t="s">
        <v>4187</v>
      </c>
      <c r="J64" s="56" t="s">
        <v>4187</v>
      </c>
      <c r="K64" s="168" t="s">
        <v>4511</v>
      </c>
      <c r="L64" s="77" t="s">
        <v>4790</v>
      </c>
      <c r="M64" s="380"/>
      <c r="N64" s="100"/>
      <c r="O64" s="59"/>
      <c r="P64" s="59"/>
      <c r="Q64" s="65"/>
      <c r="R64" s="59"/>
      <c r="S64" s="59"/>
      <c r="T64" s="59"/>
      <c r="U64" s="59"/>
      <c r="V64" s="65"/>
      <c r="W64" s="65"/>
      <c r="X64" s="65"/>
      <c r="Y64" s="65"/>
      <c r="Z64" s="65"/>
      <c r="AA64" s="59"/>
      <c r="AB64" s="59"/>
      <c r="AC64" s="65" t="s">
        <v>4850</v>
      </c>
      <c r="AD64" s="65" t="s">
        <v>4850</v>
      </c>
      <c r="AE64" s="65" t="s">
        <v>4851</v>
      </c>
      <c r="AF64" s="65" t="s">
        <v>4852</v>
      </c>
      <c r="AG64" s="97" t="s">
        <v>4331</v>
      </c>
      <c r="AH64" s="65"/>
      <c r="AJ64" s="332" t="s">
        <v>4187</v>
      </c>
      <c r="AK64" s="332" t="s">
        <v>4187</v>
      </c>
      <c r="AL64" s="332" t="s">
        <v>4187</v>
      </c>
      <c r="AM64" s="331" t="s">
        <v>4839</v>
      </c>
      <c r="AN64" s="332" t="s">
        <v>4187</v>
      </c>
      <c r="AO64" s="332" t="s">
        <v>4187</v>
      </c>
      <c r="AP64" s="330" t="s">
        <v>4831</v>
      </c>
      <c r="AQ64" s="332" t="s">
        <v>4187</v>
      </c>
      <c r="AR64" s="332" t="s">
        <v>4187</v>
      </c>
      <c r="AS64" s="332"/>
      <c r="AT64" s="331" t="s">
        <v>4845</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4483</v>
      </c>
      <c r="E65" s="55" t="s">
        <v>4453</v>
      </c>
      <c r="F65" s="86" t="s">
        <v>4234</v>
      </c>
      <c r="G65" s="56" t="s">
        <v>4264</v>
      </c>
      <c r="H65" s="56" t="s">
        <v>4187</v>
      </c>
      <c r="I65" s="56" t="s">
        <v>4187</v>
      </c>
      <c r="J65" s="56" t="s">
        <v>4187</v>
      </c>
      <c r="K65" s="168" t="s">
        <v>4511</v>
      </c>
      <c r="L65" s="77" t="s">
        <v>4791</v>
      </c>
      <c r="M65" s="380"/>
      <c r="N65" s="100"/>
      <c r="O65" s="59"/>
      <c r="P65" s="59"/>
      <c r="Q65" s="65"/>
      <c r="R65" s="59"/>
      <c r="S65" s="59"/>
      <c r="T65" s="59"/>
      <c r="U65" s="59"/>
      <c r="V65" s="65"/>
      <c r="W65" s="65"/>
      <c r="X65" s="65"/>
      <c r="Y65" s="65"/>
      <c r="Z65" s="65"/>
      <c r="AA65" s="59"/>
      <c r="AB65" s="59"/>
      <c r="AC65" s="65" t="s">
        <v>4850</v>
      </c>
      <c r="AD65" s="65" t="s">
        <v>4850</v>
      </c>
      <c r="AE65" s="65" t="s">
        <v>4851</v>
      </c>
      <c r="AF65" s="65" t="s">
        <v>4852</v>
      </c>
      <c r="AG65" s="97" t="s">
        <v>4331</v>
      </c>
      <c r="AH65" s="65"/>
      <c r="AJ65" s="332" t="s">
        <v>4187</v>
      </c>
      <c r="AK65" s="332" t="s">
        <v>4187</v>
      </c>
      <c r="AL65" s="332" t="s">
        <v>4187</v>
      </c>
      <c r="AM65" s="331" t="s">
        <v>4839</v>
      </c>
      <c r="AN65" s="332" t="s">
        <v>4187</v>
      </c>
      <c r="AO65" s="332" t="s">
        <v>4187</v>
      </c>
      <c r="AP65" s="330" t="s">
        <v>4831</v>
      </c>
      <c r="AQ65" s="332" t="s">
        <v>4187</v>
      </c>
      <c r="AR65" s="332" t="s">
        <v>4187</v>
      </c>
      <c r="AS65" s="332"/>
      <c r="AT65" s="331" t="s">
        <v>4845</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4872</v>
      </c>
      <c r="D66" s="7" t="s">
        <v>4484</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4683</v>
      </c>
      <c r="F67" s="86" t="s">
        <v>4682</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4872</v>
      </c>
      <c r="D68" s="7" t="s">
        <v>4485</v>
      </c>
      <c r="E68" s="8"/>
      <c r="F68" s="8"/>
      <c r="G68" s="8"/>
      <c r="H68" s="8"/>
      <c r="I68" s="8"/>
      <c r="J68" s="73"/>
      <c r="K68" s="73"/>
      <c r="L68" s="74"/>
      <c r="M68" s="380"/>
      <c r="N68" s="321" t="s">
        <v>4270</v>
      </c>
      <c r="O68" s="312" t="s">
        <v>4565</v>
      </c>
      <c r="P68" s="312"/>
      <c r="Q68" s="312"/>
      <c r="R68" s="312"/>
      <c r="S68" s="312"/>
      <c r="T68" s="89"/>
      <c r="U68" s="89"/>
      <c r="V68" s="89"/>
      <c r="W68" s="89"/>
      <c r="X68" s="89"/>
      <c r="Y68" s="89"/>
      <c r="Z68" s="89"/>
      <c r="AA68" s="89"/>
      <c r="AB68" s="89"/>
      <c r="AC68" s="89"/>
      <c r="AD68" s="89"/>
      <c r="AE68" s="89"/>
      <c r="AF68" s="89"/>
      <c r="AG68" s="89"/>
      <c r="AH68" s="312"/>
      <c r="AJ68" s="327" t="s">
        <v>4826</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4844</v>
      </c>
      <c r="BG68" s="326" t="s">
        <v>4187</v>
      </c>
    </row>
    <row r="69" spans="3:59" ht="25.15" customHeight="1">
      <c r="D69" s="10">
        <v>9.1</v>
      </c>
      <c r="E69" s="54" t="s">
        <v>4460</v>
      </c>
      <c r="F69" s="86"/>
      <c r="G69" s="56" t="s">
        <v>4187</v>
      </c>
      <c r="H69" s="56" t="s">
        <v>4187</v>
      </c>
      <c r="I69" s="56" t="s">
        <v>4187</v>
      </c>
      <c r="J69" s="56" t="s">
        <v>4187</v>
      </c>
      <c r="K69" s="168" t="s">
        <v>4270</v>
      </c>
      <c r="L69" s="77" t="s">
        <v>4792</v>
      </c>
      <c r="M69" s="380"/>
      <c r="N69" s="100" t="s">
        <v>4532</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4461</v>
      </c>
      <c r="F70" s="86"/>
      <c r="G70" s="56" t="s">
        <v>4187</v>
      </c>
      <c r="H70" s="56" t="s">
        <v>4187</v>
      </c>
      <c r="I70" s="56" t="s">
        <v>4187</v>
      </c>
      <c r="J70" s="56" t="s">
        <v>4187</v>
      </c>
      <c r="K70" s="168" t="s">
        <v>6</v>
      </c>
      <c r="L70" s="77" t="s">
        <v>4793</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4827</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4872</v>
      </c>
      <c r="D71" s="7" t="s">
        <v>4486</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4844</v>
      </c>
      <c r="BG71" s="326" t="s">
        <v>4187</v>
      </c>
    </row>
    <row r="72" spans="3:59" ht="25.15" customHeight="1">
      <c r="D72" s="10">
        <v>10.1</v>
      </c>
      <c r="E72" s="54" t="s">
        <v>4462</v>
      </c>
      <c r="F72" s="277"/>
      <c r="G72" s="56" t="s">
        <v>4187</v>
      </c>
      <c r="H72" s="56" t="s">
        <v>4187</v>
      </c>
      <c r="I72" s="56" t="s">
        <v>4187</v>
      </c>
      <c r="J72" s="56" t="s">
        <v>4187</v>
      </c>
      <c r="K72" s="168" t="s">
        <v>4271</v>
      </c>
      <c r="L72" s="77" t="s">
        <v>4794</v>
      </c>
      <c r="M72" s="380"/>
      <c r="N72" s="100" t="s">
        <v>4532</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4463</v>
      </c>
      <c r="F73" s="13"/>
      <c r="G73" s="56" t="s">
        <v>4187</v>
      </c>
      <c r="H73" s="56" t="s">
        <v>4187</v>
      </c>
      <c r="I73" s="56" t="s">
        <v>4187</v>
      </c>
      <c r="J73" s="56" t="s">
        <v>4187</v>
      </c>
      <c r="K73" s="168" t="s">
        <v>4272</v>
      </c>
      <c r="L73" s="77" t="s">
        <v>4795</v>
      </c>
      <c r="M73" s="380"/>
      <c r="N73" s="100"/>
      <c r="O73" s="65" t="s">
        <v>4532</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4872</v>
      </c>
      <c r="D74" s="7" t="s">
        <v>4487</v>
      </c>
      <c r="E74" s="8"/>
      <c r="F74" s="8"/>
      <c r="G74" s="8"/>
      <c r="H74" s="8"/>
      <c r="I74" s="8"/>
      <c r="J74" s="73"/>
      <c r="K74" s="73"/>
      <c r="L74" s="74"/>
      <c r="M74" s="380"/>
      <c r="N74" s="321" t="s">
        <v>4693</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4464</v>
      </c>
      <c r="F75" s="86" t="s">
        <v>4692</v>
      </c>
      <c r="G75" s="56" t="s">
        <v>4187</v>
      </c>
      <c r="H75" s="56" t="s">
        <v>4187</v>
      </c>
      <c r="I75" s="56" t="s">
        <v>4187</v>
      </c>
      <c r="J75" s="56" t="s">
        <v>4187</v>
      </c>
      <c r="K75" s="168" t="s">
        <v>4694</v>
      </c>
      <c r="L75" s="77" t="s">
        <v>4796</v>
      </c>
      <c r="M75" s="380"/>
      <c r="N75" s="100" t="s">
        <v>4701</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4465</v>
      </c>
      <c r="F76" s="86" t="s">
        <v>4702</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4872</v>
      </c>
      <c r="D77" s="7" t="s">
        <v>4488</v>
      </c>
      <c r="E77" s="8"/>
      <c r="F77" s="8"/>
      <c r="G77" s="8"/>
      <c r="H77" s="8"/>
      <c r="I77" s="8"/>
      <c r="J77" s="73"/>
      <c r="K77" s="73"/>
      <c r="L77" s="74"/>
      <c r="M77" s="380"/>
      <c r="N77" s="321" t="s">
        <v>4568</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4830</v>
      </c>
      <c r="AQ77" s="352" t="s">
        <v>4187</v>
      </c>
      <c r="AR77" s="352" t="s">
        <v>4187</v>
      </c>
      <c r="AS77" s="352" t="s">
        <v>4187</v>
      </c>
      <c r="AT77" s="352" t="s">
        <v>4187</v>
      </c>
    </row>
    <row r="78" spans="3:59" ht="25.15" customHeight="1" thickBot="1">
      <c r="D78" s="10">
        <v>12.1</v>
      </c>
      <c r="E78" s="54" t="s">
        <v>4466</v>
      </c>
      <c r="F78" s="277"/>
      <c r="G78" s="56" t="s">
        <v>4187</v>
      </c>
      <c r="H78" s="56" t="s">
        <v>4187</v>
      </c>
      <c r="I78" s="56" t="s">
        <v>4187</v>
      </c>
      <c r="J78" s="56" t="s">
        <v>4187</v>
      </c>
      <c r="K78" s="168" t="s">
        <v>4569</v>
      </c>
      <c r="L78" s="77" t="s">
        <v>4797</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4831</v>
      </c>
      <c r="AQ78" s="354" t="s">
        <v>4187</v>
      </c>
      <c r="AR78" s="354" t="s">
        <v>4187</v>
      </c>
      <c r="AS78" s="354" t="s">
        <v>4187</v>
      </c>
      <c r="AT78" s="354" t="s">
        <v>4187</v>
      </c>
    </row>
    <row r="79" spans="3:59" ht="30" customHeight="1" thickBot="1">
      <c r="C79" s="379" t="s">
        <v>4872</v>
      </c>
      <c r="D79" s="7" t="s">
        <v>4489</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4872</v>
      </c>
      <c r="D82" s="7" t="s">
        <v>4490</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4467</v>
      </c>
      <c r="F83" s="283" t="s">
        <v>4735</v>
      </c>
      <c r="G83" s="56" t="s">
        <v>4187</v>
      </c>
      <c r="H83" s="56" t="s">
        <v>4187</v>
      </c>
      <c r="I83" s="56" t="s">
        <v>4187</v>
      </c>
      <c r="J83" s="56" t="s">
        <v>4187</v>
      </c>
      <c r="K83" s="168" t="s">
        <v>4572</v>
      </c>
      <c r="L83" s="77" t="s">
        <v>4812</v>
      </c>
      <c r="M83" s="380"/>
      <c r="N83" s="281" t="s">
        <v>4799</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4468</v>
      </c>
      <c r="F84" s="283" t="s">
        <v>4735</v>
      </c>
      <c r="G84" s="56" t="s">
        <v>4187</v>
      </c>
      <c r="H84" s="56" t="s">
        <v>4187</v>
      </c>
      <c r="I84" s="56" t="s">
        <v>4187</v>
      </c>
      <c r="J84" s="56" t="s">
        <v>4187</v>
      </c>
      <c r="K84" s="168" t="s">
        <v>4574</v>
      </c>
      <c r="L84" s="77" t="s">
        <v>4813</v>
      </c>
      <c r="M84" s="380"/>
      <c r="N84" s="100"/>
      <c r="O84" s="282" t="s">
        <v>4800</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4469</v>
      </c>
      <c r="F85" s="283" t="s">
        <v>4735</v>
      </c>
      <c r="G85" s="56" t="s">
        <v>4187</v>
      </c>
      <c r="H85" s="56" t="s">
        <v>4187</v>
      </c>
      <c r="I85" s="56" t="s">
        <v>4187</v>
      </c>
      <c r="J85" s="56" t="s">
        <v>4187</v>
      </c>
      <c r="K85" s="168" t="s">
        <v>4576</v>
      </c>
      <c r="L85" s="77" t="s">
        <v>4814</v>
      </c>
      <c r="M85" s="380"/>
      <c r="N85" s="100"/>
      <c r="O85" s="59"/>
      <c r="P85" s="282" t="s">
        <v>4801</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4579</v>
      </c>
      <c r="F86" s="283" t="s">
        <v>4735</v>
      </c>
      <c r="G86" s="56" t="s">
        <v>4187</v>
      </c>
      <c r="H86" s="56" t="s">
        <v>4187</v>
      </c>
      <c r="I86" s="56" t="s">
        <v>4187</v>
      </c>
      <c r="J86" s="56" t="s">
        <v>4187</v>
      </c>
      <c r="K86" s="168" t="s">
        <v>4577</v>
      </c>
      <c r="L86" s="77" t="s">
        <v>4815</v>
      </c>
      <c r="M86" s="380"/>
      <c r="N86" s="100"/>
      <c r="O86" s="59"/>
      <c r="P86" s="59"/>
      <c r="Q86" s="282" t="s">
        <v>4802</v>
      </c>
      <c r="R86" s="59"/>
      <c r="S86" s="59"/>
      <c r="T86" s="59"/>
      <c r="U86" s="59"/>
      <c r="V86" s="65"/>
      <c r="W86" s="65"/>
      <c r="X86" s="65"/>
      <c r="Y86" s="65"/>
      <c r="Z86" s="65"/>
      <c r="AA86" s="59"/>
      <c r="AB86" s="59"/>
      <c r="AC86" s="65"/>
      <c r="AD86" s="65"/>
      <c r="AE86" s="65"/>
      <c r="AF86" s="65"/>
      <c r="AG86" s="65"/>
      <c r="AH86" s="65"/>
    </row>
    <row r="87" spans="3:34" ht="25.15" customHeight="1">
      <c r="D87" s="10">
        <v>14.5</v>
      </c>
      <c r="E87" s="55" t="s">
        <v>4737</v>
      </c>
      <c r="F87" s="283" t="s">
        <v>4735</v>
      </c>
      <c r="G87" s="56" t="s">
        <v>4187</v>
      </c>
      <c r="H87" s="56" t="s">
        <v>4187</v>
      </c>
      <c r="I87" s="56" t="s">
        <v>4187</v>
      </c>
      <c r="J87" s="56" t="s">
        <v>4187</v>
      </c>
      <c r="K87" s="168" t="s">
        <v>4</v>
      </c>
      <c r="L87" s="77" t="s">
        <v>4816</v>
      </c>
      <c r="M87" s="380"/>
      <c r="N87" s="100"/>
      <c r="O87" s="59"/>
      <c r="P87" s="59"/>
      <c r="Q87" s="65"/>
      <c r="R87" s="282" t="s">
        <v>4803</v>
      </c>
      <c r="S87" s="59"/>
      <c r="T87" s="59"/>
      <c r="U87" s="59"/>
      <c r="V87" s="65"/>
      <c r="W87" s="65"/>
      <c r="X87" s="65"/>
      <c r="Y87" s="65"/>
      <c r="Z87" s="65"/>
      <c r="AA87" s="59"/>
      <c r="AB87" s="59"/>
      <c r="AC87" s="65"/>
      <c r="AD87" s="65"/>
      <c r="AE87" s="65"/>
      <c r="AF87" s="65"/>
      <c r="AG87" s="65"/>
      <c r="AH87" s="65"/>
    </row>
    <row r="88" spans="3:34" ht="25.15" customHeight="1">
      <c r="D88" s="10">
        <v>14.6</v>
      </c>
      <c r="E88" s="55" t="s">
        <v>4470</v>
      </c>
      <c r="F88" s="283" t="s">
        <v>4735</v>
      </c>
      <c r="G88" s="56" t="s">
        <v>4187</v>
      </c>
      <c r="H88" s="56" t="s">
        <v>4187</v>
      </c>
      <c r="I88" s="56" t="s">
        <v>4187</v>
      </c>
      <c r="J88" s="56" t="s">
        <v>4187</v>
      </c>
      <c r="K88" s="168" t="s">
        <v>4581</v>
      </c>
      <c r="L88" s="77" t="s">
        <v>4817</v>
      </c>
      <c r="M88" s="380"/>
      <c r="N88" s="100"/>
      <c r="O88" s="59"/>
      <c r="P88" s="59"/>
      <c r="Q88" s="65"/>
      <c r="R88" s="59"/>
      <c r="S88" s="282" t="s">
        <v>4804</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4736</v>
      </c>
      <c r="G89" s="56" t="s">
        <v>4187</v>
      </c>
      <c r="H89" s="56" t="s">
        <v>4187</v>
      </c>
      <c r="I89" s="56" t="s">
        <v>4187</v>
      </c>
      <c r="J89" s="56" t="s">
        <v>4187</v>
      </c>
      <c r="K89" s="168" t="s">
        <v>7</v>
      </c>
      <c r="L89" s="77" t="s">
        <v>4818</v>
      </c>
      <c r="M89" s="380"/>
      <c r="N89" s="100"/>
      <c r="O89" s="59"/>
      <c r="P89" s="59"/>
      <c r="Q89" s="65"/>
      <c r="R89" s="59"/>
      <c r="S89" s="59"/>
      <c r="T89" s="282" t="s">
        <v>4805</v>
      </c>
      <c r="U89" s="59"/>
      <c r="V89" s="65"/>
      <c r="W89" s="65"/>
      <c r="X89" s="65"/>
      <c r="Y89" s="65"/>
      <c r="Z89" s="65"/>
      <c r="AA89" s="59"/>
      <c r="AB89" s="59"/>
      <c r="AC89" s="65"/>
      <c r="AD89" s="65"/>
      <c r="AE89" s="65"/>
      <c r="AF89" s="65"/>
      <c r="AG89" s="65"/>
      <c r="AH89" s="65"/>
    </row>
    <row r="90" spans="3:34" ht="25.15" customHeight="1">
      <c r="D90" s="10">
        <v>14.8</v>
      </c>
      <c r="E90" s="55" t="s">
        <v>4471</v>
      </c>
      <c r="F90" s="283" t="s">
        <v>4735</v>
      </c>
      <c r="G90" s="56" t="s">
        <v>4187</v>
      </c>
      <c r="H90" s="56" t="s">
        <v>4187</v>
      </c>
      <c r="I90" s="56" t="s">
        <v>4187</v>
      </c>
      <c r="J90" s="56" t="s">
        <v>4187</v>
      </c>
      <c r="K90" s="168" t="s">
        <v>4522</v>
      </c>
      <c r="L90" s="77" t="s">
        <v>4819</v>
      </c>
      <c r="M90" s="380"/>
      <c r="N90" s="100"/>
      <c r="O90" s="59"/>
      <c r="P90" s="59"/>
      <c r="Q90" s="65"/>
      <c r="R90" s="59"/>
      <c r="S90" s="59"/>
      <c r="T90" s="59"/>
      <c r="U90" s="282" t="s">
        <v>4806</v>
      </c>
      <c r="V90" s="65"/>
      <c r="W90" s="65"/>
      <c r="X90" s="65"/>
      <c r="Y90" s="65"/>
      <c r="Z90" s="65"/>
      <c r="AA90" s="59"/>
      <c r="AB90" s="59"/>
      <c r="AC90" s="65"/>
      <c r="AD90" s="65"/>
      <c r="AE90" s="65"/>
      <c r="AF90" s="65"/>
      <c r="AG90" s="65"/>
      <c r="AH90" s="65"/>
    </row>
    <row r="91" spans="3:34" ht="25.15" customHeight="1">
      <c r="D91" s="10">
        <v>14.9</v>
      </c>
      <c r="E91" s="55" t="s">
        <v>4472</v>
      </c>
      <c r="F91" s="283" t="s">
        <v>4735</v>
      </c>
      <c r="G91" s="56" t="s">
        <v>4187</v>
      </c>
      <c r="H91" s="56" t="s">
        <v>4187</v>
      </c>
      <c r="I91" s="56" t="s">
        <v>4187</v>
      </c>
      <c r="J91" s="56" t="s">
        <v>4187</v>
      </c>
      <c r="K91" s="168" t="s">
        <v>4583</v>
      </c>
      <c r="L91" s="77" t="s">
        <v>4820</v>
      </c>
      <c r="M91" s="380"/>
      <c r="N91" s="100"/>
      <c r="O91" s="59"/>
      <c r="P91" s="59"/>
      <c r="Q91" s="65"/>
      <c r="R91" s="59"/>
      <c r="S91" s="59"/>
      <c r="T91" s="59"/>
      <c r="U91" s="59"/>
      <c r="V91" s="282" t="s">
        <v>4807</v>
      </c>
      <c r="W91" s="282"/>
      <c r="X91" s="65"/>
      <c r="Y91" s="65"/>
      <c r="Z91" s="65"/>
      <c r="AA91" s="59"/>
      <c r="AB91" s="59"/>
      <c r="AC91" s="65"/>
      <c r="AD91" s="65"/>
      <c r="AE91" s="65"/>
      <c r="AF91" s="65"/>
      <c r="AG91" s="65"/>
      <c r="AH91" s="65"/>
    </row>
    <row r="92" spans="3:34" ht="25.15" customHeight="1">
      <c r="D92" s="62" t="s">
        <v>4491</v>
      </c>
      <c r="E92" s="55" t="s">
        <v>4473</v>
      </c>
      <c r="F92" s="283" t="s">
        <v>4735</v>
      </c>
      <c r="G92" s="56" t="s">
        <v>4187</v>
      </c>
      <c r="H92" s="56" t="s">
        <v>4187</v>
      </c>
      <c r="I92" s="56" t="s">
        <v>4187</v>
      </c>
      <c r="J92" s="56" t="s">
        <v>4187</v>
      </c>
      <c r="K92" s="168" t="s">
        <v>4584</v>
      </c>
      <c r="L92" s="77" t="s">
        <v>4821</v>
      </c>
      <c r="M92" s="380"/>
      <c r="N92" s="100"/>
      <c r="O92" s="59"/>
      <c r="P92" s="59"/>
      <c r="Q92" s="65"/>
      <c r="R92" s="59"/>
      <c r="S92" s="59"/>
      <c r="T92" s="59"/>
      <c r="U92" s="59"/>
      <c r="V92" s="65"/>
      <c r="W92" s="282" t="s">
        <v>4808</v>
      </c>
      <c r="X92" s="282"/>
      <c r="Y92" s="282"/>
      <c r="Z92" s="65"/>
      <c r="AA92" s="59"/>
      <c r="AB92" s="59"/>
      <c r="AC92" s="65"/>
      <c r="AD92" s="65"/>
      <c r="AE92" s="65"/>
      <c r="AF92" s="65"/>
      <c r="AG92" s="65"/>
      <c r="AH92" s="65"/>
    </row>
    <row r="93" spans="3:34" ht="25.15" customHeight="1">
      <c r="D93" s="62" t="s">
        <v>4492</v>
      </c>
      <c r="E93" s="55" t="s">
        <v>4474</v>
      </c>
      <c r="F93" s="283" t="s">
        <v>4735</v>
      </c>
      <c r="G93" s="56" t="s">
        <v>4187</v>
      </c>
      <c r="H93" s="56" t="s">
        <v>4187</v>
      </c>
      <c r="I93" s="56" t="s">
        <v>4187</v>
      </c>
      <c r="J93" s="56" t="s">
        <v>4187</v>
      </c>
      <c r="K93" s="168" t="s">
        <v>4825</v>
      </c>
      <c r="L93" s="77" t="s">
        <v>4822</v>
      </c>
      <c r="M93" s="380"/>
      <c r="N93" s="100"/>
      <c r="O93" s="59"/>
      <c r="P93" s="59"/>
      <c r="Q93" s="65"/>
      <c r="R93" s="59"/>
      <c r="S93" s="59"/>
      <c r="T93" s="59"/>
      <c r="U93" s="59"/>
      <c r="V93" s="65"/>
      <c r="W93" s="65"/>
      <c r="X93" s="282" t="s">
        <v>4809</v>
      </c>
      <c r="Y93" s="65"/>
      <c r="Z93" s="282"/>
      <c r="AA93" s="59"/>
      <c r="AB93" s="59"/>
      <c r="AC93" s="65"/>
      <c r="AD93" s="65"/>
      <c r="AE93" s="65"/>
      <c r="AF93" s="65"/>
      <c r="AG93" s="65"/>
      <c r="AH93" s="65"/>
    </row>
    <row r="94" spans="3:34" ht="25.15" customHeight="1">
      <c r="D94" s="62" t="s">
        <v>4493</v>
      </c>
      <c r="E94" s="55" t="s">
        <v>4475</v>
      </c>
      <c r="F94" s="283" t="s">
        <v>4735</v>
      </c>
      <c r="G94" s="56" t="s">
        <v>4187</v>
      </c>
      <c r="H94" s="56" t="s">
        <v>4187</v>
      </c>
      <c r="I94" s="56" t="s">
        <v>4187</v>
      </c>
      <c r="J94" s="56" t="s">
        <v>4187</v>
      </c>
      <c r="K94" s="168" t="s">
        <v>4585</v>
      </c>
      <c r="L94" s="77" t="s">
        <v>4823</v>
      </c>
      <c r="M94" s="380"/>
      <c r="N94" s="100"/>
      <c r="O94" s="59"/>
      <c r="P94" s="59"/>
      <c r="Q94" s="65"/>
      <c r="R94" s="59"/>
      <c r="S94" s="59"/>
      <c r="T94" s="59"/>
      <c r="U94" s="59"/>
      <c r="V94" s="65"/>
      <c r="W94" s="65"/>
      <c r="X94" s="65"/>
      <c r="Y94" s="282" t="s">
        <v>4810</v>
      </c>
      <c r="Z94" s="65"/>
      <c r="AA94" s="282"/>
      <c r="AB94" s="59"/>
      <c r="AC94" s="65"/>
      <c r="AD94" s="65"/>
      <c r="AE94" s="65"/>
      <c r="AF94" s="65"/>
      <c r="AG94" s="65"/>
      <c r="AH94" s="65"/>
    </row>
    <row r="95" spans="3:34" ht="25.15" customHeight="1">
      <c r="D95" s="163" t="s">
        <v>4494</v>
      </c>
      <c r="E95" s="164" t="s">
        <v>4476</v>
      </c>
      <c r="F95" s="283" t="s">
        <v>4735</v>
      </c>
      <c r="G95" s="56" t="s">
        <v>4187</v>
      </c>
      <c r="H95" s="56" t="s">
        <v>4187</v>
      </c>
      <c r="I95" s="56" t="s">
        <v>4187</v>
      </c>
      <c r="J95" s="56" t="s">
        <v>4187</v>
      </c>
      <c r="K95" s="168" t="s">
        <v>4587</v>
      </c>
      <c r="L95" s="77" t="s">
        <v>4824</v>
      </c>
      <c r="M95" s="380"/>
      <c r="N95" s="165"/>
      <c r="O95" s="166"/>
      <c r="P95" s="166"/>
      <c r="Q95" s="167"/>
      <c r="R95" s="166"/>
      <c r="S95" s="166"/>
      <c r="T95" s="166"/>
      <c r="U95" s="166"/>
      <c r="V95" s="167"/>
      <c r="W95" s="167"/>
      <c r="X95" s="167"/>
      <c r="Y95" s="167"/>
      <c r="Z95" s="282" t="s">
        <v>4811</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94" zoomScale="85" zoomScaleNormal="85" workbookViewId="0">
      <selection activeCell="G22" sqref="G22"/>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7" t="s">
        <v>4520</v>
      </c>
      <c r="E2" s="387"/>
      <c r="F2" s="387"/>
      <c r="G2" s="387"/>
      <c r="H2" s="387"/>
      <c r="I2" s="388"/>
    </row>
    <row r="3" spans="4:48" ht="33.6"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A01ZZ001-00012</v>
      </c>
      <c r="G6" s="85" t="s">
        <v>4873</v>
      </c>
      <c r="H6" s="111"/>
      <c r="I6" s="111" t="s">
        <v>4363</v>
      </c>
    </row>
    <row r="7" spans="4:48" ht="27" customHeight="1">
      <c r="D7" s="113" t="str">
        <f>D6</f>
        <v>EARTH</v>
      </c>
      <c r="E7" s="115" t="s">
        <v>4875</v>
      </c>
      <c r="F7" s="117" t="str">
        <f>LEFT(G7,14)</f>
        <v>A01ZZ001-00013</v>
      </c>
      <c r="G7" s="85" t="s">
        <v>4542</v>
      </c>
      <c r="H7" s="111"/>
      <c r="I7" s="111" t="s">
        <v>4363</v>
      </c>
    </row>
    <row r="8" spans="4:48" ht="27" customHeight="1">
      <c r="D8" s="113" t="str">
        <f>D6</f>
        <v>EARTH</v>
      </c>
      <c r="E8" s="115" t="s">
        <v>4876</v>
      </c>
      <c r="F8" s="117" t="str">
        <f t="shared" ref="F8:F10" si="0">LEFT(G8,14)</f>
        <v>A01ZZ003-00001</v>
      </c>
      <c r="G8" s="85" t="s">
        <v>4878</v>
      </c>
      <c r="H8" s="111"/>
      <c r="I8" s="111" t="s">
        <v>4363</v>
      </c>
    </row>
    <row r="9" spans="4:48" ht="27" customHeight="1">
      <c r="D9" s="113" t="str">
        <f>D7</f>
        <v>EARTH</v>
      </c>
      <c r="E9" s="115" t="s">
        <v>4877</v>
      </c>
      <c r="F9" s="117" t="str">
        <f t="shared" ref="F9" si="1">LEFT(G9,14)</f>
        <v>A01ZZ003-00003</v>
      </c>
      <c r="G9" s="85" t="s">
        <v>4879</v>
      </c>
      <c r="H9" s="111"/>
      <c r="I9" s="111" t="s">
        <v>4363</v>
      </c>
    </row>
    <row r="10" spans="4:48" ht="27" customHeight="1">
      <c r="D10" s="114" t="str">
        <f>D6</f>
        <v>EARTH</v>
      </c>
      <c r="E10" s="115" t="s">
        <v>21</v>
      </c>
      <c r="F10" s="117" t="str">
        <f t="shared" si="0"/>
        <v>A01ZZ004-00001</v>
      </c>
      <c r="G10" s="85" t="s">
        <v>4177</v>
      </c>
      <c r="H10" s="111"/>
      <c r="I10" s="111" t="s">
        <v>4363</v>
      </c>
      <c r="AV10" s="351">
        <f>'2.C Input'!E23</f>
        <v>0.1</v>
      </c>
    </row>
    <row r="11" spans="4:48" ht="27" customHeight="1"/>
    <row r="12" spans="4:48" ht="27" customHeight="1">
      <c r="D12" s="116" t="s">
        <v>4263</v>
      </c>
      <c r="E12" s="115" t="s">
        <v>31</v>
      </c>
      <c r="F12" s="117" t="str">
        <f>LEFT(G12,14)</f>
        <v>A01ZZ005-00001</v>
      </c>
      <c r="G12" s="85" t="s">
        <v>4184</v>
      </c>
      <c r="H12" s="111" t="s">
        <v>5010</v>
      </c>
      <c r="I12" s="111" t="s">
        <v>4364</v>
      </c>
    </row>
    <row r="13" spans="4:48" ht="27" customHeight="1">
      <c r="D13" s="114" t="str">
        <f>D12</f>
        <v>BASE</v>
      </c>
      <c r="E13" s="115" t="s">
        <v>25</v>
      </c>
      <c r="F13" s="117" t="str">
        <f t="shared" ref="F13" si="2">LEFT(G13,14)</f>
        <v>A01ZZ006-00001</v>
      </c>
      <c r="G13" s="85" t="s">
        <v>4185</v>
      </c>
      <c r="H13" s="111" t="s">
        <v>5010</v>
      </c>
      <c r="I13" s="111" t="s">
        <v>4364</v>
      </c>
    </row>
    <row r="14" spans="4:48" ht="27" customHeight="1"/>
    <row r="15" spans="4:48" ht="27" customHeight="1">
      <c r="D15" s="116" t="s">
        <v>4525</v>
      </c>
      <c r="E15" s="115" t="s">
        <v>4526</v>
      </c>
      <c r="F15" s="117" t="str">
        <f>LEFT(G15,14)</f>
        <v>A02AA018-00009</v>
      </c>
      <c r="G15" s="85" t="s">
        <v>4528</v>
      </c>
      <c r="H15" s="111"/>
      <c r="I15" s="111" t="s">
        <v>4531</v>
      </c>
    </row>
    <row r="16" spans="4:48" ht="27" customHeight="1">
      <c r="D16" s="114" t="str">
        <f>D15</f>
        <v>PILE</v>
      </c>
      <c r="E16" s="115" t="s">
        <v>4527</v>
      </c>
      <c r="F16" s="117" t="str">
        <f t="shared" ref="F16" si="3">LEFT(G16,14)</f>
        <v>A02AB018-00004</v>
      </c>
      <c r="G16" s="85" t="s">
        <v>4529</v>
      </c>
      <c r="H16" s="111"/>
      <c r="I16" s="111" t="s">
        <v>4530</v>
      </c>
    </row>
    <row r="17" spans="4:11" ht="27" customHeight="1"/>
    <row r="18" spans="4:11" ht="27" customHeight="1">
      <c r="D18" s="109" t="s">
        <v>4240</v>
      </c>
      <c r="E18" s="110"/>
    </row>
    <row r="19" spans="4:11" ht="27" customHeight="1">
      <c r="D19" s="116" t="s">
        <v>4477</v>
      </c>
      <c r="E19" s="115" t="s">
        <v>4297</v>
      </c>
      <c r="F19" s="117" t="str">
        <f>LEFT(G19,14)</f>
        <v>A03AF032-00018</v>
      </c>
      <c r="G19" s="85" t="s">
        <v>4985</v>
      </c>
      <c r="H19" s="111" t="s">
        <v>4894</v>
      </c>
      <c r="I19" s="111" t="s">
        <v>4363</v>
      </c>
      <c r="K19" s="107" t="s">
        <v>4990</v>
      </c>
    </row>
    <row r="20" spans="4:11" ht="27" customHeight="1">
      <c r="D20" s="113" t="str">
        <f>D19</f>
        <v>RC-AG</v>
      </c>
      <c r="E20" s="115" t="s">
        <v>4298</v>
      </c>
      <c r="F20" s="117" t="str">
        <f t="shared" ref="F20:F21" si="4">LEFT(G20,14)</f>
        <v>A03AF036-00001</v>
      </c>
      <c r="G20" s="85" t="s">
        <v>4179</v>
      </c>
      <c r="H20" s="123"/>
      <c r="I20" s="123" t="s">
        <v>4364</v>
      </c>
    </row>
    <row r="21" spans="4:11" ht="27" customHeight="1">
      <c r="D21" s="114" t="str">
        <f>D19</f>
        <v>RC-AG</v>
      </c>
      <c r="E21" s="115" t="s">
        <v>13</v>
      </c>
      <c r="F21" s="117" t="str">
        <f t="shared" si="4"/>
        <v>A03AF037-00002</v>
      </c>
      <c r="G21" s="85" t="s">
        <v>4986</v>
      </c>
      <c r="H21" s="111" t="s">
        <v>4897</v>
      </c>
      <c r="I21" s="111" t="s">
        <v>4365</v>
      </c>
    </row>
    <row r="22" spans="4:11" ht="27" customHeight="1">
      <c r="D22" s="116" t="s">
        <v>4405</v>
      </c>
      <c r="E22" s="118" t="s">
        <v>4297</v>
      </c>
      <c r="F22" s="117" t="str">
        <f>LEFT(G22,14)</f>
        <v>A03AF032-00022</v>
      </c>
      <c r="G22" s="85" t="s">
        <v>4178</v>
      </c>
      <c r="H22" s="111" t="s">
        <v>4255</v>
      </c>
      <c r="I22" s="111" t="s">
        <v>4363</v>
      </c>
    </row>
    <row r="23" spans="4:11" ht="27" customHeight="1">
      <c r="D23" s="113" t="str">
        <f>D22</f>
        <v>RC-AGD</v>
      </c>
      <c r="E23" s="118" t="s">
        <v>4298</v>
      </c>
      <c r="F23" s="117" t="str">
        <f t="shared" ref="F23:F25" si="5">LEFT(G23,14)</f>
        <v>S02AA024-00001</v>
      </c>
      <c r="G23" s="85" t="s">
        <v>4235</v>
      </c>
      <c r="H23" s="111"/>
      <c r="I23" s="123" t="s">
        <v>4364</v>
      </c>
    </row>
    <row r="24" spans="4:11" ht="27" customHeight="1">
      <c r="D24" s="113" t="str">
        <f>D22</f>
        <v>RC-AGD</v>
      </c>
      <c r="E24" s="118" t="s">
        <v>4299</v>
      </c>
      <c r="F24" s="117" t="str">
        <f t="shared" si="5"/>
        <v>S04AA024-00001</v>
      </c>
      <c r="G24" s="85" t="s">
        <v>4236</v>
      </c>
      <c r="H24" s="111"/>
      <c r="I24" s="123" t="s">
        <v>4364</v>
      </c>
    </row>
    <row r="25" spans="4:11" ht="27" customHeight="1">
      <c r="D25" s="114" t="str">
        <f>D22</f>
        <v>RC-AGD</v>
      </c>
      <c r="E25" s="118" t="s">
        <v>13</v>
      </c>
      <c r="F25" s="117" t="str">
        <f t="shared" si="5"/>
        <v>A03AF037-00003</v>
      </c>
      <c r="G25" s="85" t="s">
        <v>4182</v>
      </c>
      <c r="H25" s="111" t="s">
        <v>4256</v>
      </c>
      <c r="I25" s="111" t="s">
        <v>4365</v>
      </c>
    </row>
    <row r="26" spans="4:11" ht="27" customHeight="1">
      <c r="D26" s="199" t="s">
        <v>4543</v>
      </c>
      <c r="E26" s="200" t="s">
        <v>4297</v>
      </c>
      <c r="F26" s="201" t="str">
        <f>LEFT(G26,14)</f>
        <v>A03AF032-00019</v>
      </c>
      <c r="G26" s="202" t="s">
        <v>4544</v>
      </c>
      <c r="H26" s="203" t="s">
        <v>4545</v>
      </c>
      <c r="I26" s="203" t="s">
        <v>4363</v>
      </c>
    </row>
    <row r="27" spans="4:11" ht="27" customHeight="1">
      <c r="D27" s="204" t="str">
        <f>D26</f>
        <v>RC-AG-1</v>
      </c>
      <c r="E27" s="386" t="s">
        <v>4298</v>
      </c>
      <c r="F27" s="117" t="str">
        <f t="shared" ref="F27:F28" si="6">LEFT(G27,14)</f>
        <v>A03AF036-00001</v>
      </c>
      <c r="G27" s="85" t="s">
        <v>4179</v>
      </c>
      <c r="H27" s="205"/>
      <c r="I27" s="205" t="s">
        <v>4364</v>
      </c>
    </row>
    <row r="28" spans="4:11" ht="27" customHeight="1">
      <c r="D28" s="206" t="str">
        <f>D26</f>
        <v>RC-AG-1</v>
      </c>
      <c r="E28" s="200" t="s">
        <v>13</v>
      </c>
      <c r="F28" s="201" t="str">
        <f t="shared" si="6"/>
        <v>A03AF037-00003</v>
      </c>
      <c r="G28" s="202" t="s">
        <v>4182</v>
      </c>
      <c r="H28" s="203" t="s">
        <v>4256</v>
      </c>
      <c r="I28" s="203" t="s">
        <v>4365</v>
      </c>
    </row>
    <row r="29" spans="4:11" ht="27" customHeight="1"/>
    <row r="30" spans="4:11" ht="27" customHeight="1">
      <c r="D30" s="116" t="s">
        <v>4406</v>
      </c>
      <c r="E30" s="118" t="s">
        <v>4297</v>
      </c>
      <c r="F30" s="117" t="str">
        <f>LEFT(G30,14)</f>
        <v>A03AD032-00018</v>
      </c>
      <c r="G30" s="85" t="s">
        <v>4893</v>
      </c>
      <c r="H30" s="111" t="s">
        <v>4894</v>
      </c>
      <c r="I30" s="111" t="s">
        <v>4363</v>
      </c>
      <c r="K30" s="107" t="s">
        <v>4987</v>
      </c>
    </row>
    <row r="31" spans="4:11" ht="27" customHeight="1">
      <c r="D31" s="113" t="str">
        <f>D30</f>
        <v>RC-UG</v>
      </c>
      <c r="E31" s="118" t="s">
        <v>4298</v>
      </c>
      <c r="F31" s="117" t="str">
        <f t="shared" ref="F31:F33" si="7">LEFT(G31,14)</f>
        <v>A03AD035-00001</v>
      </c>
      <c r="G31" s="85" t="s">
        <v>4237</v>
      </c>
      <c r="H31" s="111"/>
      <c r="I31" s="111" t="s">
        <v>4364</v>
      </c>
    </row>
    <row r="32" spans="4:11" ht="27" customHeight="1">
      <c r="D32" s="113" t="str">
        <f>D30</f>
        <v>RC-UG</v>
      </c>
      <c r="E32" s="118" t="s">
        <v>13</v>
      </c>
      <c r="F32" s="117" t="str">
        <f t="shared" si="7"/>
        <v>A03AD037-00002</v>
      </c>
      <c r="G32" s="85" t="s">
        <v>4896</v>
      </c>
      <c r="H32" s="111" t="s">
        <v>4897</v>
      </c>
      <c r="I32" s="111" t="s">
        <v>4365</v>
      </c>
    </row>
    <row r="33" spans="4:11" ht="27" customHeight="1">
      <c r="D33" s="114" t="str">
        <f>D30</f>
        <v>RC-UG</v>
      </c>
      <c r="E33" s="118" t="s">
        <v>22</v>
      </c>
      <c r="F33" s="117" t="str">
        <f t="shared" si="7"/>
        <v>A03AD034-00013</v>
      </c>
      <c r="G33" s="85" t="s">
        <v>4238</v>
      </c>
      <c r="H33" s="111" t="s">
        <v>4895</v>
      </c>
      <c r="I33" s="111" t="s">
        <v>4363</v>
      </c>
    </row>
    <row r="34" spans="4:11" s="344" customFormat="1" ht="27" customHeight="1">
      <c r="D34" s="199" t="s">
        <v>4899</v>
      </c>
      <c r="E34" s="345" t="s">
        <v>4297</v>
      </c>
      <c r="F34" s="117" t="str">
        <f>LEFT(G34,14)</f>
        <v>A03AD032-00018</v>
      </c>
      <c r="G34" s="85" t="s">
        <v>4893</v>
      </c>
      <c r="H34" s="346" t="s">
        <v>4894</v>
      </c>
      <c r="I34" s="346" t="s">
        <v>4363</v>
      </c>
    </row>
    <row r="35" spans="4:11" s="344" customFormat="1" ht="27" customHeight="1">
      <c r="D35" s="204" t="str">
        <f>D34</f>
        <v>RC-UG-1</v>
      </c>
      <c r="E35" s="345" t="s">
        <v>4298</v>
      </c>
      <c r="F35" s="117" t="str">
        <f t="shared" ref="F35:F37" si="8">LEFT(G35,14)</f>
        <v>A03AD035-00001</v>
      </c>
      <c r="G35" s="85" t="s">
        <v>4237</v>
      </c>
      <c r="H35" s="346"/>
      <c r="I35" s="346" t="s">
        <v>4364</v>
      </c>
    </row>
    <row r="36" spans="4:11" s="344" customFormat="1" ht="27" customHeight="1">
      <c r="D36" s="204" t="str">
        <f>D34</f>
        <v>RC-UG-1</v>
      </c>
      <c r="E36" s="343" t="s">
        <v>4901</v>
      </c>
      <c r="F36" s="201" t="str">
        <f t="shared" si="8"/>
        <v>A03AD038-00001</v>
      </c>
      <c r="G36" s="202" t="s">
        <v>4898</v>
      </c>
      <c r="H36" s="347" t="s">
        <v>4900</v>
      </c>
      <c r="I36" s="203" t="s">
        <v>4365</v>
      </c>
    </row>
    <row r="37" spans="4:11" s="344" customFormat="1" ht="27" customHeight="1">
      <c r="D37" s="206" t="str">
        <f>D34</f>
        <v>RC-UG-1</v>
      </c>
      <c r="E37" s="345" t="s">
        <v>22</v>
      </c>
      <c r="F37" s="117" t="str">
        <f t="shared" si="8"/>
        <v>A03AD034-00013</v>
      </c>
      <c r="G37" s="85" t="s">
        <v>4238</v>
      </c>
      <c r="H37" s="346" t="s">
        <v>4895</v>
      </c>
      <c r="I37" s="346" t="s">
        <v>4363</v>
      </c>
    </row>
    <row r="38" spans="4:11" ht="27" customHeight="1">
      <c r="D38" s="199" t="s">
        <v>4988</v>
      </c>
      <c r="E38" s="343" t="s">
        <v>4297</v>
      </c>
      <c r="F38" s="201" t="str">
        <f>LEFT(G38,14)</f>
        <v>A03AD032-00016</v>
      </c>
      <c r="G38" s="202" t="s">
        <v>4991</v>
      </c>
      <c r="H38" s="203" t="s">
        <v>4894</v>
      </c>
      <c r="I38" s="111" t="s">
        <v>4363</v>
      </c>
      <c r="K38" s="107" t="s">
        <v>4989</v>
      </c>
    </row>
    <row r="39" spans="4:11" ht="27" customHeight="1">
      <c r="D39" s="204" t="str">
        <f>D38</f>
        <v>RC-UG-2</v>
      </c>
      <c r="E39" s="118" t="s">
        <v>4298</v>
      </c>
      <c r="F39" s="117" t="str">
        <f t="shared" ref="F39:F41" si="9">LEFT(G39,14)</f>
        <v>A03AD035-00001</v>
      </c>
      <c r="G39" s="85" t="s">
        <v>4237</v>
      </c>
      <c r="H39" s="111"/>
      <c r="I39" s="111" t="s">
        <v>4364</v>
      </c>
    </row>
    <row r="40" spans="4:11" ht="27" customHeight="1">
      <c r="D40" s="204" t="str">
        <f>D38</f>
        <v>RC-UG-2</v>
      </c>
      <c r="E40" s="343" t="s">
        <v>13</v>
      </c>
      <c r="F40" s="201" t="str">
        <f t="shared" si="9"/>
        <v>A03AD037-00006</v>
      </c>
      <c r="G40" s="202" t="s">
        <v>4992</v>
      </c>
      <c r="H40" s="203" t="s">
        <v>4897</v>
      </c>
      <c r="I40" s="111" t="s">
        <v>4365</v>
      </c>
    </row>
    <row r="41" spans="4:11" ht="27" customHeight="1">
      <c r="D41" s="206" t="str">
        <f>D38</f>
        <v>RC-UG-2</v>
      </c>
      <c r="E41" s="118" t="s">
        <v>22</v>
      </c>
      <c r="F41" s="117" t="str">
        <f t="shared" si="9"/>
        <v>A03AD034-00013</v>
      </c>
      <c r="G41" s="85" t="s">
        <v>4238</v>
      </c>
      <c r="H41" s="111" t="s">
        <v>4895</v>
      </c>
      <c r="I41" s="111" t="s">
        <v>4363</v>
      </c>
    </row>
    <row r="42" spans="4:11" ht="27" customHeight="1">
      <c r="D42" s="116" t="s">
        <v>4407</v>
      </c>
      <c r="E42" s="118" t="s">
        <v>4297</v>
      </c>
      <c r="F42" s="117" t="str">
        <f>LEFT(G42,14)</f>
        <v>A03AE032-00016</v>
      </c>
      <c r="G42" s="85" t="s">
        <v>4903</v>
      </c>
      <c r="H42" s="111" t="s">
        <v>4894</v>
      </c>
      <c r="I42" s="111" t="s">
        <v>4363</v>
      </c>
    </row>
    <row r="43" spans="4:11" ht="27" customHeight="1">
      <c r="D43" s="113" t="str">
        <f>D42</f>
        <v>RC-MS</v>
      </c>
      <c r="E43" s="118" t="s">
        <v>4298</v>
      </c>
      <c r="F43" s="117" t="str">
        <f t="shared" ref="F43:F45" si="10">LEFT(G43,14)</f>
        <v>A03AE035-00001</v>
      </c>
      <c r="G43" s="85" t="s">
        <v>4181</v>
      </c>
      <c r="H43" s="111"/>
      <c r="I43" s="111" t="s">
        <v>4364</v>
      </c>
    </row>
    <row r="44" spans="4:11" ht="27" customHeight="1">
      <c r="D44" s="113" t="str">
        <f>D42</f>
        <v>RC-MS</v>
      </c>
      <c r="E44" s="118" t="s">
        <v>13</v>
      </c>
      <c r="F44" s="117" t="str">
        <f t="shared" si="10"/>
        <v>A03AE037-00002</v>
      </c>
      <c r="G44" s="85" t="s">
        <v>4904</v>
      </c>
      <c r="H44" s="111" t="s">
        <v>4897</v>
      </c>
      <c r="I44" s="111" t="s">
        <v>4365</v>
      </c>
    </row>
    <row r="45" spans="4:11" ht="27" customHeight="1">
      <c r="D45" s="114" t="str">
        <f>D42</f>
        <v>RC-MS</v>
      </c>
      <c r="E45" s="118" t="s">
        <v>22</v>
      </c>
      <c r="F45" s="117" t="str">
        <f t="shared" si="10"/>
        <v>A03AE034-00013</v>
      </c>
      <c r="G45" s="85" t="s">
        <v>4239</v>
      </c>
      <c r="H45" s="111" t="s">
        <v>4895</v>
      </c>
      <c r="I45" s="111" t="s">
        <v>4363</v>
      </c>
    </row>
    <row r="46" spans="4:11" ht="27" customHeight="1">
      <c r="D46" s="116" t="s">
        <v>4408</v>
      </c>
      <c r="E46" s="118" t="s">
        <v>4297</v>
      </c>
      <c r="F46" s="117" t="str">
        <f>LEFT(G46,14)</f>
        <v>A03AG032-00018</v>
      </c>
      <c r="G46" s="85" t="s">
        <v>4906</v>
      </c>
      <c r="H46" s="111" t="s">
        <v>4894</v>
      </c>
      <c r="I46" s="111" t="s">
        <v>4363</v>
      </c>
    </row>
    <row r="47" spans="4:11" ht="27" customHeight="1">
      <c r="D47" s="113" t="str">
        <f>D46</f>
        <v>RC-EF</v>
      </c>
      <c r="E47" s="118" t="s">
        <v>4298</v>
      </c>
      <c r="F47" s="117" t="str">
        <f t="shared" ref="F47:F49" si="11">LEFT(G47,14)</f>
        <v>A03AG036-00001</v>
      </c>
      <c r="G47" s="85" t="s">
        <v>4180</v>
      </c>
      <c r="H47" s="111"/>
      <c r="I47" s="111" t="s">
        <v>4364</v>
      </c>
    </row>
    <row r="48" spans="4:11" ht="27" customHeight="1">
      <c r="D48" s="113" t="str">
        <f>D46</f>
        <v>RC-EF</v>
      </c>
      <c r="E48" s="118" t="s">
        <v>13</v>
      </c>
      <c r="F48" s="117" t="str">
        <f t="shared" si="11"/>
        <v>A03AG037-00003</v>
      </c>
      <c r="G48" s="85" t="s">
        <v>4183</v>
      </c>
      <c r="H48" s="111" t="s">
        <v>4897</v>
      </c>
      <c r="I48" s="111" t="s">
        <v>4365</v>
      </c>
    </row>
    <row r="49" spans="4:9" ht="27" customHeight="1">
      <c r="D49" s="114" t="str">
        <f>D46</f>
        <v>RC-EF</v>
      </c>
      <c r="E49" s="118" t="s">
        <v>22</v>
      </c>
      <c r="F49" s="117" t="str">
        <f t="shared" si="11"/>
        <v>A03AG034-00013</v>
      </c>
      <c r="G49" s="85" t="s">
        <v>4905</v>
      </c>
      <c r="H49" s="111" t="s">
        <v>4895</v>
      </c>
      <c r="I49" s="111" t="s">
        <v>4363</v>
      </c>
    </row>
    <row r="50" spans="4:9" ht="27" customHeight="1"/>
    <row r="51" spans="4:9" ht="27" customHeight="1">
      <c r="D51" s="109" t="s">
        <v>4195</v>
      </c>
      <c r="E51" s="110"/>
    </row>
    <row r="52" spans="4:9" ht="27" customHeight="1">
      <c r="D52" s="116" t="s">
        <v>4242</v>
      </c>
      <c r="E52" s="115" t="s">
        <v>4376</v>
      </c>
      <c r="F52" s="117" t="str">
        <f>LEFT(G52,14)</f>
        <v>A03AH056-00001</v>
      </c>
      <c r="G52" s="85" t="s">
        <v>4186</v>
      </c>
      <c r="H52" s="111"/>
      <c r="I52" s="111" t="s">
        <v>4364</v>
      </c>
    </row>
    <row r="53" spans="4:9" ht="27" customHeight="1">
      <c r="D53" s="113" t="str">
        <f>D52</f>
        <v>UG-PT</v>
      </c>
      <c r="E53" s="115" t="s">
        <v>4913</v>
      </c>
      <c r="F53" s="117" t="str">
        <f t="shared" ref="F53:F54" si="12">LEFT(G53,14)</f>
        <v>A03AH059-00001</v>
      </c>
      <c r="G53" s="85" t="s">
        <v>4247</v>
      </c>
      <c r="H53" s="111"/>
      <c r="I53" s="111" t="s">
        <v>4364</v>
      </c>
    </row>
    <row r="54" spans="4:9" ht="27" customHeight="1">
      <c r="D54" s="114" t="str">
        <f>D52</f>
        <v>UG-PT</v>
      </c>
      <c r="E54" s="118" t="s">
        <v>4246</v>
      </c>
      <c r="F54" s="117" t="str">
        <f t="shared" si="12"/>
        <v>A03AH060-00001</v>
      </c>
      <c r="G54" s="85" t="s">
        <v>4248</v>
      </c>
      <c r="H54" s="111"/>
      <c r="I54" s="111" t="s">
        <v>4364</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4365</v>
      </c>
    </row>
    <row r="58" spans="4:9" ht="27" customHeight="1">
      <c r="D58" s="113" t="str">
        <f>D57</f>
        <v>ST-EH</v>
      </c>
      <c r="E58" s="118" t="s">
        <v>4339</v>
      </c>
      <c r="F58" s="117" t="str">
        <f t="shared" ref="F58:F60" si="13">LEFT(G58,14)</f>
        <v>S03AA081-00001</v>
      </c>
      <c r="G58" s="85" t="s">
        <v>4260</v>
      </c>
      <c r="H58" s="111"/>
      <c r="I58" s="111" t="s">
        <v>4365</v>
      </c>
    </row>
    <row r="59" spans="4:9" ht="27" customHeight="1">
      <c r="D59" s="113" t="str">
        <f>D57</f>
        <v>ST-EH</v>
      </c>
      <c r="E59" s="118" t="s">
        <v>4250</v>
      </c>
      <c r="F59" s="117" t="str">
        <f t="shared" si="13"/>
        <v>S01AA009-00001</v>
      </c>
      <c r="G59" s="85" t="s">
        <v>4253</v>
      </c>
      <c r="H59" s="111"/>
      <c r="I59" s="111" t="s">
        <v>4365</v>
      </c>
    </row>
    <row r="60" spans="4:9" ht="27" customHeight="1">
      <c r="D60" s="114" t="str">
        <f>D57</f>
        <v>ST-EH</v>
      </c>
      <c r="E60" s="118" t="s">
        <v>4267</v>
      </c>
      <c r="F60" s="117" t="str">
        <f t="shared" si="13"/>
        <v>S01AA011-00001</v>
      </c>
      <c r="G60" s="85" t="s">
        <v>4268</v>
      </c>
      <c r="H60" s="111"/>
      <c r="I60" s="111" t="s">
        <v>4365</v>
      </c>
    </row>
    <row r="61" spans="4:9" ht="27" customHeight="1">
      <c r="D61" s="116" t="s">
        <v>4258</v>
      </c>
      <c r="E61" s="118" t="s">
        <v>4340</v>
      </c>
      <c r="F61" s="117" t="str">
        <f>LEFT(G61,14)</f>
        <v>S01AA072-00001</v>
      </c>
      <c r="G61" s="85" t="s">
        <v>4251</v>
      </c>
      <c r="H61" s="119" t="s">
        <v>4257</v>
      </c>
      <c r="I61" s="111" t="s">
        <v>4365</v>
      </c>
    </row>
    <row r="62" spans="4:9" ht="27" customHeight="1">
      <c r="D62" s="113" t="str">
        <f>D61</f>
        <v>ST-HV</v>
      </c>
      <c r="E62" s="118" t="s">
        <v>4339</v>
      </c>
      <c r="F62" s="117" t="str">
        <f t="shared" ref="F62:F64" si="14">LEFT(G62,14)</f>
        <v>S03AA082-00001</v>
      </c>
      <c r="G62" s="85" t="s">
        <v>4252</v>
      </c>
      <c r="H62" s="111"/>
      <c r="I62" s="111" t="s">
        <v>4365</v>
      </c>
    </row>
    <row r="63" spans="4:9" ht="27" customHeight="1">
      <c r="D63" s="113" t="str">
        <f>D61</f>
        <v>ST-HV</v>
      </c>
      <c r="E63" s="118" t="s">
        <v>4250</v>
      </c>
      <c r="F63" s="117" t="str">
        <f t="shared" si="14"/>
        <v>S01AA009-00001</v>
      </c>
      <c r="G63" s="85" t="s">
        <v>4253</v>
      </c>
      <c r="H63" s="111"/>
      <c r="I63" s="111" t="s">
        <v>4365</v>
      </c>
    </row>
    <row r="64" spans="4:9" ht="27" customHeight="1">
      <c r="D64" s="114" t="str">
        <f>D61</f>
        <v>ST-HV</v>
      </c>
      <c r="E64" s="118" t="s">
        <v>4267</v>
      </c>
      <c r="F64" s="117" t="str">
        <f t="shared" si="14"/>
        <v>S01AA011-00001</v>
      </c>
      <c r="G64" s="85" t="s">
        <v>4268</v>
      </c>
      <c r="H64" s="111"/>
      <c r="I64" s="111" t="s">
        <v>4365</v>
      </c>
    </row>
    <row r="65" spans="4:9" ht="27" customHeight="1">
      <c r="D65" s="116" t="s">
        <v>4343</v>
      </c>
      <c r="E65" s="118" t="s">
        <v>4340</v>
      </c>
      <c r="F65" s="117" t="str">
        <f>LEFT(G65,14)</f>
        <v>S01AA073-00001</v>
      </c>
      <c r="G65" s="85" t="s">
        <v>4345</v>
      </c>
      <c r="H65" s="119" t="s">
        <v>4344</v>
      </c>
      <c r="I65" s="111" t="s">
        <v>4365</v>
      </c>
    </row>
    <row r="66" spans="4:9" ht="27" customHeight="1">
      <c r="D66" s="113" t="str">
        <f>D65</f>
        <v>ST-MD</v>
      </c>
      <c r="E66" s="118" t="s">
        <v>4339</v>
      </c>
      <c r="F66" s="117" t="str">
        <f t="shared" ref="F66:F68" si="15">LEFT(G66,14)</f>
        <v>S03AA083-00001</v>
      </c>
      <c r="G66" s="85" t="s">
        <v>4346</v>
      </c>
      <c r="H66" s="111"/>
      <c r="I66" s="111" t="s">
        <v>4365</v>
      </c>
    </row>
    <row r="67" spans="4:9" ht="27" customHeight="1">
      <c r="D67" s="113" t="str">
        <f>D65</f>
        <v>ST-MD</v>
      </c>
      <c r="E67" s="118" t="s">
        <v>4250</v>
      </c>
      <c r="F67" s="117" t="str">
        <f t="shared" si="15"/>
        <v>S01AA009-00001</v>
      </c>
      <c r="G67" s="85" t="s">
        <v>4253</v>
      </c>
      <c r="H67" s="111"/>
      <c r="I67" s="111" t="s">
        <v>4365</v>
      </c>
    </row>
    <row r="68" spans="4:9" ht="27" customHeight="1">
      <c r="D68" s="114" t="str">
        <f>D65</f>
        <v>ST-MD</v>
      </c>
      <c r="E68" s="118" t="s">
        <v>4267</v>
      </c>
      <c r="F68" s="117" t="str">
        <f t="shared" si="15"/>
        <v>S01AA011-00001</v>
      </c>
      <c r="G68" s="85" t="s">
        <v>4268</v>
      </c>
      <c r="H68" s="111"/>
      <c r="I68" s="111" t="s">
        <v>4365</v>
      </c>
    </row>
    <row r="69" spans="4:9" ht="27" customHeight="1">
      <c r="D69" s="116" t="s">
        <v>4347</v>
      </c>
      <c r="E69" s="118" t="s">
        <v>4340</v>
      </c>
      <c r="F69" s="117" t="str">
        <f>LEFT(G69,14)</f>
        <v>S01AA074-00001</v>
      </c>
      <c r="G69" s="85" t="s">
        <v>4351</v>
      </c>
      <c r="H69" s="119" t="s">
        <v>4348</v>
      </c>
      <c r="I69" s="111" t="s">
        <v>4365</v>
      </c>
    </row>
    <row r="70" spans="4:9" ht="27" customHeight="1">
      <c r="D70" s="113" t="str">
        <f>D69</f>
        <v>ST-LG</v>
      </c>
      <c r="E70" s="118" t="s">
        <v>4339</v>
      </c>
      <c r="F70" s="117" t="str">
        <f t="shared" ref="F70:F72" si="16">LEFT(G70,14)</f>
        <v>S03AA084-00001</v>
      </c>
      <c r="G70" s="85" t="s">
        <v>4352</v>
      </c>
      <c r="H70" s="111"/>
      <c r="I70" s="111" t="s">
        <v>4365</v>
      </c>
    </row>
    <row r="71" spans="4:9" ht="27" customHeight="1">
      <c r="D71" s="113" t="str">
        <f>D69</f>
        <v>ST-LG</v>
      </c>
      <c r="E71" s="118" t="s">
        <v>4250</v>
      </c>
      <c r="F71" s="117" t="str">
        <f t="shared" si="16"/>
        <v>S01AA009-00001</v>
      </c>
      <c r="G71" s="85" t="s">
        <v>4253</v>
      </c>
      <c r="H71" s="111"/>
      <c r="I71" s="111" t="s">
        <v>4365</v>
      </c>
    </row>
    <row r="72" spans="4:9" ht="27" customHeight="1">
      <c r="D72" s="114" t="str">
        <f>D69</f>
        <v>ST-LG</v>
      </c>
      <c r="E72" s="118" t="s">
        <v>4267</v>
      </c>
      <c r="F72" s="117" t="str">
        <f t="shared" si="16"/>
        <v>S01AA011-00001</v>
      </c>
      <c r="G72" s="85" t="s">
        <v>4268</v>
      </c>
      <c r="H72" s="111"/>
      <c r="I72" s="111" t="s">
        <v>4365</v>
      </c>
    </row>
    <row r="73" spans="4:9" ht="27" customHeight="1">
      <c r="D73" s="116" t="s">
        <v>4349</v>
      </c>
      <c r="E73" s="118" t="s">
        <v>4340</v>
      </c>
      <c r="F73" s="117" t="str">
        <f>LEFT(G73,14)</f>
        <v>S01AA075-00001</v>
      </c>
      <c r="G73" s="85" t="s">
        <v>4353</v>
      </c>
      <c r="H73" s="119" t="s">
        <v>4350</v>
      </c>
      <c r="I73" s="111" t="s">
        <v>4365</v>
      </c>
    </row>
    <row r="74" spans="4:9" ht="27" customHeight="1">
      <c r="D74" s="113" t="str">
        <f>D73</f>
        <v>ST-EL</v>
      </c>
      <c r="E74" s="118" t="s">
        <v>4339</v>
      </c>
      <c r="F74" s="117" t="str">
        <f t="shared" ref="F74:F76" si="17">LEFT(G74,14)</f>
        <v>S03AA085-00001</v>
      </c>
      <c r="G74" s="85" t="s">
        <v>4354</v>
      </c>
      <c r="H74" s="111"/>
      <c r="I74" s="111" t="s">
        <v>4365</v>
      </c>
    </row>
    <row r="75" spans="4:9" ht="27" customHeight="1">
      <c r="D75" s="113" t="str">
        <f>D73</f>
        <v>ST-EL</v>
      </c>
      <c r="E75" s="118" t="s">
        <v>4250</v>
      </c>
      <c r="F75" s="117" t="str">
        <f t="shared" si="17"/>
        <v>S01AA009-00001</v>
      </c>
      <c r="G75" s="85" t="s">
        <v>4253</v>
      </c>
      <c r="H75" s="111"/>
      <c r="I75" s="111" t="s">
        <v>4365</v>
      </c>
    </row>
    <row r="76" spans="4:9" ht="27" customHeight="1">
      <c r="D76" s="114" t="str">
        <f>D73</f>
        <v>ST-EL</v>
      </c>
      <c r="E76" s="118" t="s">
        <v>4267</v>
      </c>
      <c r="F76" s="117" t="str">
        <f t="shared" si="17"/>
        <v>S01AA011-00001</v>
      </c>
      <c r="G76" s="85" t="s">
        <v>4268</v>
      </c>
      <c r="H76" s="111"/>
      <c r="I76" s="111" t="s">
        <v>4365</v>
      </c>
    </row>
    <row r="77" spans="4:9" ht="27" customHeight="1"/>
    <row r="78" spans="4:9" ht="27" customHeight="1">
      <c r="D78" s="116" t="s">
        <v>4261</v>
      </c>
      <c r="E78" s="118" t="s">
        <v>4340</v>
      </c>
      <c r="F78" s="117" t="str">
        <f>LEFT(G78,14)</f>
        <v>S01AA076-00001</v>
      </c>
      <c r="G78" s="85" t="s">
        <v>4262</v>
      </c>
      <c r="H78" s="119" t="s">
        <v>4259</v>
      </c>
      <c r="I78" s="111" t="s">
        <v>4365</v>
      </c>
    </row>
    <row r="79" spans="4:9" ht="27" customHeight="1">
      <c r="D79" s="113" t="str">
        <f>D78</f>
        <v>ST-B-EH</v>
      </c>
      <c r="E79" s="118" t="s">
        <v>4339</v>
      </c>
      <c r="F79" s="117" t="str">
        <f t="shared" ref="F79:F81" si="18">LEFT(G79,14)</f>
        <v>S03AA081-00001</v>
      </c>
      <c r="G79" s="85" t="s">
        <v>4260</v>
      </c>
      <c r="H79" s="111"/>
      <c r="I79" s="111" t="s">
        <v>4365</v>
      </c>
    </row>
    <row r="80" spans="4:9" ht="27" customHeight="1">
      <c r="D80" s="113" t="str">
        <f>D78</f>
        <v>ST-B-EH</v>
      </c>
      <c r="E80" s="118" t="s">
        <v>4250</v>
      </c>
      <c r="F80" s="117" t="str">
        <f t="shared" si="18"/>
        <v>S01AA009-00001</v>
      </c>
      <c r="G80" s="85" t="s">
        <v>4253</v>
      </c>
      <c r="H80" s="111"/>
      <c r="I80" s="111" t="s">
        <v>4365</v>
      </c>
    </row>
    <row r="81" spans="4:9" ht="27" customHeight="1">
      <c r="D81" s="114" t="str">
        <f>D78</f>
        <v>ST-B-EH</v>
      </c>
      <c r="E81" s="118" t="s">
        <v>4267</v>
      </c>
      <c r="F81" s="117" t="str">
        <f t="shared" si="18"/>
        <v>S01AA011-00001</v>
      </c>
      <c r="G81" s="85" t="s">
        <v>4268</v>
      </c>
      <c r="H81" s="111"/>
      <c r="I81" s="111" t="s">
        <v>4365</v>
      </c>
    </row>
    <row r="82" spans="4:9" ht="27" customHeight="1">
      <c r="D82" s="116" t="s">
        <v>4355</v>
      </c>
      <c r="E82" s="118" t="s">
        <v>4340</v>
      </c>
      <c r="F82" s="117" t="str">
        <f>LEFT(G82,14)</f>
        <v>S01AA077-00001</v>
      </c>
      <c r="G82" s="85" t="s">
        <v>4356</v>
      </c>
      <c r="H82" s="119" t="s">
        <v>4257</v>
      </c>
      <c r="I82" s="111" t="s">
        <v>4365</v>
      </c>
    </row>
    <row r="83" spans="4:9" ht="27" customHeight="1">
      <c r="D83" s="113" t="str">
        <f>D82</f>
        <v>ST-B-HV</v>
      </c>
      <c r="E83" s="118" t="s">
        <v>4339</v>
      </c>
      <c r="F83" s="117" t="str">
        <f t="shared" ref="F83:F85" si="19">LEFT(G83,14)</f>
        <v>S03AA082-00001</v>
      </c>
      <c r="G83" s="85" t="s">
        <v>4252</v>
      </c>
      <c r="H83" s="111"/>
      <c r="I83" s="111" t="s">
        <v>4365</v>
      </c>
    </row>
    <row r="84" spans="4:9" ht="27" customHeight="1">
      <c r="D84" s="113" t="str">
        <f>D82</f>
        <v>ST-B-HV</v>
      </c>
      <c r="E84" s="118" t="s">
        <v>4250</v>
      </c>
      <c r="F84" s="117" t="str">
        <f t="shared" si="19"/>
        <v>S01AA009-00001</v>
      </c>
      <c r="G84" s="85" t="s">
        <v>4253</v>
      </c>
      <c r="H84" s="111"/>
      <c r="I84" s="111" t="s">
        <v>4365</v>
      </c>
    </row>
    <row r="85" spans="4:9" ht="27" customHeight="1">
      <c r="D85" s="114" t="str">
        <f>D82</f>
        <v>ST-B-HV</v>
      </c>
      <c r="E85" s="118" t="s">
        <v>4267</v>
      </c>
      <c r="F85" s="117" t="str">
        <f t="shared" si="19"/>
        <v>S01AA011-00001</v>
      </c>
      <c r="G85" s="85" t="s">
        <v>4268</v>
      </c>
      <c r="H85" s="111"/>
      <c r="I85" s="111" t="s">
        <v>4365</v>
      </c>
    </row>
    <row r="86" spans="4:9" ht="27" customHeight="1"/>
    <row r="87" spans="4:9" ht="27" customHeight="1">
      <c r="D87" s="116" t="s">
        <v>4264</v>
      </c>
      <c r="E87" s="118" t="s">
        <v>4340</v>
      </c>
      <c r="F87" s="117" t="str">
        <f>LEFT(G87,14)</f>
        <v>S01AA007-00001</v>
      </c>
      <c r="G87" s="85" t="s">
        <v>4265</v>
      </c>
      <c r="H87" s="119" t="s">
        <v>4357</v>
      </c>
      <c r="I87" s="111" t="s">
        <v>4365</v>
      </c>
    </row>
    <row r="88" spans="4:9" ht="27" customHeight="1">
      <c r="D88" s="113" t="str">
        <f>D87</f>
        <v>ST-PG</v>
      </c>
      <c r="E88" s="118" t="s">
        <v>4339</v>
      </c>
      <c r="F88" s="117" t="str">
        <f t="shared" ref="F88:F90" si="20">LEFT(G88,14)</f>
        <v>S03AA007-00001</v>
      </c>
      <c r="G88" s="85" t="s">
        <v>4266</v>
      </c>
      <c r="H88" s="119" t="s">
        <v>4357</v>
      </c>
      <c r="I88" s="111" t="s">
        <v>4365</v>
      </c>
    </row>
    <row r="89" spans="4:9" ht="27" customHeight="1">
      <c r="D89" s="113" t="str">
        <f>D87</f>
        <v>ST-PG</v>
      </c>
      <c r="E89" s="118" t="s">
        <v>4250</v>
      </c>
      <c r="F89" s="117" t="str">
        <f t="shared" si="20"/>
        <v>S01AA009-00001</v>
      </c>
      <c r="G89" s="85" t="s">
        <v>4253</v>
      </c>
      <c r="H89" s="111"/>
      <c r="I89" s="111" t="s">
        <v>4365</v>
      </c>
    </row>
    <row r="90" spans="4:9" ht="27" customHeight="1">
      <c r="D90" s="114" t="str">
        <f>D87</f>
        <v>ST-PG</v>
      </c>
      <c r="E90" s="118" t="s">
        <v>4267</v>
      </c>
      <c r="F90" s="117" t="str">
        <f t="shared" si="20"/>
        <v>S01AA012-00001</v>
      </c>
      <c r="G90" s="85" t="s">
        <v>4269</v>
      </c>
      <c r="H90" s="111"/>
      <c r="I90" s="111" t="s">
        <v>4365</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4364</v>
      </c>
    </row>
    <row r="94" spans="4:9" ht="27" customHeight="1">
      <c r="D94" s="113" t="str">
        <f>D93</f>
        <v>EW-DIM</v>
      </c>
      <c r="E94" s="118" t="s">
        <v>28</v>
      </c>
      <c r="F94" s="117" t="str">
        <f>LEFT(G94,14)</f>
        <v>A04AL076-00002</v>
      </c>
      <c r="G94" s="85" t="s">
        <v>4279</v>
      </c>
      <c r="H94" s="119" t="s">
        <v>4280</v>
      </c>
      <c r="I94" s="119" t="s">
        <v>4364</v>
      </c>
    </row>
    <row r="95" spans="4:9" ht="27" customHeight="1">
      <c r="D95" s="114" t="str">
        <f>D93</f>
        <v>EW-DIM</v>
      </c>
      <c r="E95" s="118" t="s">
        <v>4334</v>
      </c>
      <c r="F95" s="117" t="str">
        <f>LEFT(G95,14)</f>
        <v>A04AL069-00002</v>
      </c>
      <c r="G95" s="85" t="s">
        <v>4283</v>
      </c>
      <c r="H95" s="120" t="s">
        <v>4284</v>
      </c>
      <c r="I95" s="119" t="s">
        <v>4364</v>
      </c>
    </row>
    <row r="96" spans="4:9" ht="27" customHeight="1"/>
    <row r="97" spans="4:9" ht="27" customHeight="1">
      <c r="D97" s="116" t="s">
        <v>4287</v>
      </c>
      <c r="E97" s="118" t="s">
        <v>4672</v>
      </c>
      <c r="F97" s="117" t="str">
        <f>LEFT(G97,14)</f>
        <v>A04AL069-00001</v>
      </c>
      <c r="G97" s="85" t="s">
        <v>4281</v>
      </c>
      <c r="H97" s="120" t="s">
        <v>4282</v>
      </c>
      <c r="I97" s="119" t="s">
        <v>4364</v>
      </c>
    </row>
    <row r="98" spans="4:9" ht="27" customHeight="1">
      <c r="D98" s="113" t="str">
        <f>D97</f>
        <v>EW-MIM</v>
      </c>
      <c r="E98" s="118" t="s">
        <v>28</v>
      </c>
      <c r="F98" s="117" t="str">
        <f>LEFT(G98,14)</f>
        <v>A04AL076-00002</v>
      </c>
      <c r="G98" s="85" t="s">
        <v>4279</v>
      </c>
      <c r="H98" s="119" t="s">
        <v>4280</v>
      </c>
      <c r="I98" s="119" t="s">
        <v>4364</v>
      </c>
    </row>
    <row r="99" spans="4:9" ht="27" customHeight="1">
      <c r="D99" s="114" t="str">
        <f>D97</f>
        <v>EW-MIM</v>
      </c>
      <c r="E99" s="118" t="s">
        <v>4334</v>
      </c>
      <c r="F99" s="117" t="str">
        <f>LEFT(G99,14)</f>
        <v>A04AL069-00002</v>
      </c>
      <c r="G99" s="85" t="s">
        <v>4283</v>
      </c>
      <c r="H99" s="120" t="s">
        <v>4284</v>
      </c>
      <c r="I99" s="119" t="s">
        <v>4364</v>
      </c>
    </row>
    <row r="100" spans="4:9" ht="27" customHeight="1"/>
    <row r="101" spans="4:9" ht="27" customHeight="1">
      <c r="D101" s="116" t="s">
        <v>4289</v>
      </c>
      <c r="E101" s="118" t="s">
        <v>4672</v>
      </c>
      <c r="F101" s="117" t="str">
        <f>LEFT(G101,14)</f>
        <v>A04AL069-00001</v>
      </c>
      <c r="G101" s="85" t="s">
        <v>4281</v>
      </c>
      <c r="H101" s="120" t="s">
        <v>4282</v>
      </c>
      <c r="I101" s="119" t="s">
        <v>4364</v>
      </c>
    </row>
    <row r="102" spans="4:9" ht="27" customHeight="1">
      <c r="D102" s="114" t="str">
        <f>D101</f>
        <v>EW-MI</v>
      </c>
      <c r="E102" s="118" t="s">
        <v>28</v>
      </c>
      <c r="F102" s="117" t="str">
        <f>LEFT(G102,14)</f>
        <v>A04AL076-00002</v>
      </c>
      <c r="G102" s="85" t="s">
        <v>4279</v>
      </c>
      <c r="H102" s="119" t="s">
        <v>4280</v>
      </c>
      <c r="I102" s="119" t="s">
        <v>4364</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4364</v>
      </c>
    </row>
    <row r="106" spans="4:9" ht="27" customHeight="1">
      <c r="D106" s="113" t="str">
        <f>D105</f>
        <v>IW-DIM</v>
      </c>
      <c r="E106" s="118" t="s">
        <v>28</v>
      </c>
      <c r="F106" s="117" t="str">
        <f>LEFT(G106,14)</f>
        <v>A04AL076-00002</v>
      </c>
      <c r="G106" s="85" t="s">
        <v>4279</v>
      </c>
      <c r="H106" s="119" t="s">
        <v>4280</v>
      </c>
      <c r="I106" s="119" t="s">
        <v>4364</v>
      </c>
    </row>
    <row r="107" spans="4:9" ht="27" customHeight="1">
      <c r="D107" s="114" t="str">
        <f>D105</f>
        <v>IW-DIM</v>
      </c>
      <c r="E107" s="118" t="s">
        <v>4288</v>
      </c>
      <c r="F107" s="117" t="str">
        <f>LEFT(G107,14)</f>
        <v>A04AL069-00002</v>
      </c>
      <c r="G107" s="85" t="s">
        <v>4283</v>
      </c>
      <c r="H107" s="120" t="s">
        <v>4284</v>
      </c>
      <c r="I107" s="119" t="s">
        <v>4364</v>
      </c>
    </row>
    <row r="108" spans="4:9" ht="27" customHeight="1"/>
    <row r="109" spans="4:9" ht="27" customHeight="1">
      <c r="D109" s="109" t="s">
        <v>4391</v>
      </c>
      <c r="E109" s="110"/>
    </row>
    <row r="110" spans="4:9" ht="27" customHeight="1">
      <c r="D110" s="116" t="s">
        <v>4409</v>
      </c>
      <c r="E110" s="118" t="s">
        <v>4401</v>
      </c>
      <c r="F110" s="117" t="str">
        <f t="shared" ref="F110:F116" si="21">LEFT(G110,14)</f>
        <v>A04AQ086-00003</v>
      </c>
      <c r="G110" s="85" t="s">
        <v>4994</v>
      </c>
      <c r="H110" s="111" t="s">
        <v>4993</v>
      </c>
      <c r="I110" s="119" t="s">
        <v>4363</v>
      </c>
    </row>
    <row r="111" spans="4:9" ht="27" customHeight="1">
      <c r="D111" s="113" t="str">
        <f>D110</f>
        <v>ROOF</v>
      </c>
      <c r="E111" s="118" t="s">
        <v>4995</v>
      </c>
      <c r="F111" s="117" t="str">
        <f t="shared" ref="F111" si="22">LEFT(G111,14)</f>
        <v>A04AQ038-00002</v>
      </c>
      <c r="G111" s="85" t="s">
        <v>4996</v>
      </c>
      <c r="H111" s="111" t="s">
        <v>4997</v>
      </c>
      <c r="I111" s="119" t="s">
        <v>4364</v>
      </c>
    </row>
    <row r="112" spans="4:9" ht="27" customHeight="1">
      <c r="D112" s="113" t="str">
        <f>D110</f>
        <v>ROOF</v>
      </c>
      <c r="E112" s="118" t="s">
        <v>29</v>
      </c>
      <c r="F112" s="117" t="str">
        <f t="shared" si="21"/>
        <v>A04AQ310-00001</v>
      </c>
      <c r="G112" s="85" t="s">
        <v>4392</v>
      </c>
      <c r="H112" s="111" t="s">
        <v>5000</v>
      </c>
      <c r="I112" s="119" t="s">
        <v>4364</v>
      </c>
    </row>
    <row r="113" spans="4:9" ht="27" customHeight="1">
      <c r="D113" s="113" t="str">
        <f>D110</f>
        <v>ROOF</v>
      </c>
      <c r="E113" s="118" t="s">
        <v>28</v>
      </c>
      <c r="F113" s="117" t="str">
        <f t="shared" si="21"/>
        <v>A04AQ088-00004</v>
      </c>
      <c r="G113" s="85" t="s">
        <v>4998</v>
      </c>
      <c r="H113" s="111" t="s">
        <v>4999</v>
      </c>
      <c r="I113" s="119" t="s">
        <v>4364</v>
      </c>
    </row>
    <row r="114" spans="4:9" ht="27" customHeight="1">
      <c r="D114" s="113" t="str">
        <f>D110</f>
        <v>ROOF</v>
      </c>
      <c r="E114" s="118" t="s">
        <v>38</v>
      </c>
      <c r="F114" s="117" t="str">
        <f t="shared" si="21"/>
        <v>A04AQ012-00001</v>
      </c>
      <c r="G114" s="85" t="s">
        <v>4393</v>
      </c>
      <c r="H114" s="111"/>
      <c r="I114" s="119" t="s">
        <v>4364</v>
      </c>
    </row>
    <row r="115" spans="4:9" ht="27" customHeight="1">
      <c r="D115" s="113" t="str">
        <f>D110</f>
        <v>ROOF</v>
      </c>
      <c r="E115" s="118" t="s">
        <v>4400</v>
      </c>
      <c r="F115" s="117" t="str">
        <f t="shared" si="21"/>
        <v/>
      </c>
      <c r="G115" s="85"/>
      <c r="H115" s="111"/>
      <c r="I115" s="119" t="s">
        <v>4363</v>
      </c>
    </row>
    <row r="116" spans="4:9" ht="27" customHeight="1">
      <c r="D116" s="114" t="str">
        <f>D110</f>
        <v>ROOF</v>
      </c>
      <c r="E116" s="118" t="s">
        <v>4394</v>
      </c>
      <c r="F116" s="117" t="str">
        <f t="shared" si="21"/>
        <v/>
      </c>
      <c r="G116" s="85"/>
      <c r="H116" s="111"/>
      <c r="I116" s="119" t="s">
        <v>4364</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52" zoomScale="85" zoomScaleNormal="85" workbookViewId="0">
      <selection activeCell="E59" sqref="E5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7" t="s">
        <v>4519</v>
      </c>
      <c r="E2" s="387"/>
      <c r="F2" s="387"/>
      <c r="G2" s="387"/>
      <c r="H2" s="387"/>
      <c r="I2" s="388"/>
    </row>
    <row r="3" spans="4:48" ht="52.9" customHeight="1">
      <c r="G3" s="108"/>
      <c r="H3" s="108"/>
      <c r="I3" s="108"/>
    </row>
    <row r="4" spans="4:48" ht="27" customHeight="1">
      <c r="D4" s="112" t="s">
        <v>4366</v>
      </c>
      <c r="E4" s="112" t="s">
        <v>4336</v>
      </c>
      <c r="F4" s="112" t="s">
        <v>4337</v>
      </c>
      <c r="G4" s="112" t="s">
        <v>4338</v>
      </c>
      <c r="H4" s="112" t="s">
        <v>4254</v>
      </c>
      <c r="I4" s="112" t="s">
        <v>4362</v>
      </c>
    </row>
    <row r="5" spans="4:48" ht="27" customHeight="1">
      <c r="D5" s="109" t="s">
        <v>4600</v>
      </c>
      <c r="E5" s="110"/>
    </row>
    <row r="6" spans="4:48" ht="27" customHeight="1">
      <c r="D6" s="194" t="s">
        <v>4598</v>
      </c>
      <c r="E6" s="115" t="s">
        <v>4602</v>
      </c>
      <c r="F6" s="117" t="str">
        <f t="shared" ref="F6:F16" si="0">LEFT(G6,14)</f>
        <v>A04AS173-00001</v>
      </c>
      <c r="G6" s="85" t="s">
        <v>4603</v>
      </c>
      <c r="H6" s="111"/>
      <c r="I6" s="111" t="s">
        <v>4364</v>
      </c>
    </row>
    <row r="7" spans="4:48" ht="27" customHeight="1">
      <c r="D7" s="194" t="s">
        <v>4598</v>
      </c>
      <c r="E7" s="115" t="s">
        <v>4608</v>
      </c>
      <c r="F7" s="117" t="str">
        <f t="shared" si="0"/>
        <v>A04AS173-00003</v>
      </c>
      <c r="G7" s="85" t="s">
        <v>4607</v>
      </c>
      <c r="H7" s="111"/>
      <c r="I7" s="111" t="s">
        <v>4364</v>
      </c>
    </row>
    <row r="8" spans="4:48" ht="27" customHeight="1">
      <c r="D8" s="194" t="s">
        <v>4598</v>
      </c>
      <c r="E8" s="115" t="s">
        <v>4605</v>
      </c>
      <c r="F8" s="117" t="str">
        <f t="shared" si="0"/>
        <v>A04AS168-00001</v>
      </c>
      <c r="G8" s="85" t="s">
        <v>4606</v>
      </c>
      <c r="H8" s="111"/>
      <c r="I8" s="111" t="s">
        <v>4364</v>
      </c>
    </row>
    <row r="9" spans="4:48" ht="27" customHeight="1">
      <c r="D9" s="194" t="s">
        <v>4598</v>
      </c>
      <c r="E9" s="115" t="s">
        <v>29</v>
      </c>
      <c r="F9" s="117" t="str">
        <f t="shared" si="0"/>
        <v>A04AP085-00001</v>
      </c>
      <c r="G9" s="85" t="s">
        <v>4616</v>
      </c>
      <c r="H9" s="111"/>
      <c r="I9" s="111" t="s">
        <v>4364</v>
      </c>
    </row>
    <row r="10" spans="4:48" ht="27" customHeight="1">
      <c r="D10" s="194" t="s">
        <v>4598</v>
      </c>
      <c r="E10" s="115" t="s">
        <v>4631</v>
      </c>
      <c r="F10" s="117" t="str">
        <f t="shared" si="0"/>
        <v>A04AM080-00005</v>
      </c>
      <c r="G10" s="85" t="s">
        <v>4601</v>
      </c>
      <c r="H10" s="111"/>
      <c r="I10" s="111" t="s">
        <v>4364</v>
      </c>
      <c r="AV10" s="351">
        <f>'2.C Input'!E23</f>
        <v>0.1</v>
      </c>
    </row>
    <row r="11" spans="4:48" ht="27" customHeight="1">
      <c r="D11" s="194" t="s">
        <v>4598</v>
      </c>
      <c r="E11" s="115" t="s">
        <v>4632</v>
      </c>
      <c r="F11" s="117" t="str">
        <f t="shared" si="0"/>
        <v>A04AM080-00006</v>
      </c>
      <c r="G11" s="85" t="s">
        <v>4629</v>
      </c>
      <c r="H11" s="111"/>
      <c r="I11" s="111" t="s">
        <v>4364</v>
      </c>
    </row>
    <row r="12" spans="4:48" ht="27" customHeight="1">
      <c r="D12" s="194" t="s">
        <v>4598</v>
      </c>
      <c r="E12" s="115" t="s">
        <v>4947</v>
      </c>
      <c r="F12" s="117" t="str">
        <f t="shared" si="0"/>
        <v>A04AN083-00001</v>
      </c>
      <c r="G12" s="85" t="s">
        <v>4604</v>
      </c>
      <c r="H12" s="111"/>
      <c r="I12" s="111" t="s">
        <v>4364</v>
      </c>
    </row>
    <row r="13" spans="4:48" ht="27" customHeight="1">
      <c r="D13" s="194" t="s">
        <v>4598</v>
      </c>
      <c r="E13" s="115" t="s">
        <v>4960</v>
      </c>
      <c r="F13" s="117" t="str">
        <f t="shared" ref="F13" si="1">LEFT(G13,14)</f>
        <v>A04AN083-00002</v>
      </c>
      <c r="G13" s="85" t="s">
        <v>4958</v>
      </c>
      <c r="H13" s="111"/>
      <c r="I13" s="111" t="s">
        <v>4364</v>
      </c>
    </row>
    <row r="14" spans="4:48" ht="27" customHeight="1">
      <c r="D14" s="194" t="s">
        <v>4598</v>
      </c>
      <c r="E14" s="115" t="s">
        <v>4939</v>
      </c>
      <c r="F14" s="117" t="str">
        <f t="shared" ref="F14" si="2">LEFT(G14,14)</f>
        <v>A04AN083-00004</v>
      </c>
      <c r="G14" s="85" t="s">
        <v>4945</v>
      </c>
      <c r="H14" s="111"/>
      <c r="I14" s="111" t="s">
        <v>4364</v>
      </c>
    </row>
    <row r="15" spans="4:48" ht="27" customHeight="1">
      <c r="D15" s="194" t="s">
        <v>4598</v>
      </c>
      <c r="E15" s="118" t="s">
        <v>4937</v>
      </c>
      <c r="F15" s="117" t="str">
        <f t="shared" si="0"/>
        <v>A04AS174-00002</v>
      </c>
      <c r="G15" s="85" t="s">
        <v>4935</v>
      </c>
      <c r="H15" s="111" t="s">
        <v>4934</v>
      </c>
      <c r="I15" s="111" t="s">
        <v>4364</v>
      </c>
    </row>
    <row r="16" spans="4:48" ht="27" customHeight="1">
      <c r="D16" s="194" t="s">
        <v>4598</v>
      </c>
      <c r="E16" s="115" t="s">
        <v>4609</v>
      </c>
      <c r="F16" s="117" t="str">
        <f t="shared" si="0"/>
        <v>A04AS172-00001</v>
      </c>
      <c r="G16" s="85" t="s">
        <v>4610</v>
      </c>
      <c r="H16" s="111"/>
      <c r="I16" s="111" t="s">
        <v>4364</v>
      </c>
    </row>
    <row r="17" spans="4:9" ht="27" customHeight="1"/>
    <row r="18" spans="4:9" ht="27" customHeight="1">
      <c r="D18" s="194" t="s">
        <v>4199</v>
      </c>
      <c r="E18" s="115" t="s">
        <v>4634</v>
      </c>
      <c r="F18" s="117" t="str">
        <f t="shared" ref="F18:F23" si="3">LEFT(G18,14)</f>
        <v>A04AM081-00001</v>
      </c>
      <c r="G18" s="85" t="s">
        <v>4611</v>
      </c>
      <c r="H18" s="111"/>
      <c r="I18" s="111" t="s">
        <v>4531</v>
      </c>
    </row>
    <row r="19" spans="4:9" ht="27" customHeight="1">
      <c r="D19" s="194" t="s">
        <v>4199</v>
      </c>
      <c r="E19" s="115" t="s">
        <v>4632</v>
      </c>
      <c r="F19" s="117" t="str">
        <f t="shared" si="3"/>
        <v>A04AM081-00007</v>
      </c>
      <c r="G19" s="85" t="s">
        <v>4932</v>
      </c>
      <c r="H19" s="111" t="s">
        <v>4940</v>
      </c>
      <c r="I19" s="111" t="s">
        <v>4531</v>
      </c>
    </row>
    <row r="20" spans="4:9" ht="27" customHeight="1">
      <c r="D20" s="194" t="s">
        <v>4199</v>
      </c>
      <c r="E20" s="115" t="s">
        <v>4939</v>
      </c>
      <c r="F20" s="117" t="str">
        <f t="shared" si="3"/>
        <v>A04AN084-00013</v>
      </c>
      <c r="G20" s="85" t="s">
        <v>4613</v>
      </c>
      <c r="H20" s="111" t="s">
        <v>4940</v>
      </c>
      <c r="I20" s="111" t="s">
        <v>4531</v>
      </c>
    </row>
    <row r="21" spans="4:9" ht="27" customHeight="1">
      <c r="D21" s="194" t="s">
        <v>4199</v>
      </c>
      <c r="E21" s="115" t="s">
        <v>4625</v>
      </c>
      <c r="F21" s="117" t="str">
        <f t="shared" si="3"/>
        <v>A04AN084-00001</v>
      </c>
      <c r="G21" s="85" t="s">
        <v>4612</v>
      </c>
      <c r="H21" s="111"/>
      <c r="I21" s="111" t="s">
        <v>4531</v>
      </c>
    </row>
    <row r="22" spans="4:9" ht="27" customHeight="1">
      <c r="D22" s="194" t="s">
        <v>4199</v>
      </c>
      <c r="E22" s="115" t="s">
        <v>4960</v>
      </c>
      <c r="F22" s="117" t="str">
        <f t="shared" si="3"/>
        <v>A04AN084-00007</v>
      </c>
      <c r="G22" s="85" t="s">
        <v>4961</v>
      </c>
      <c r="H22" s="111" t="s">
        <v>4940</v>
      </c>
      <c r="I22" s="111" t="s">
        <v>4531</v>
      </c>
    </row>
    <row r="23" spans="4:9" ht="27" customHeight="1">
      <c r="D23" s="194" t="s">
        <v>4199</v>
      </c>
      <c r="E23" s="115" t="s">
        <v>4622</v>
      </c>
      <c r="F23" s="117" t="str">
        <f t="shared" si="3"/>
        <v>A04AS185-00001</v>
      </c>
      <c r="G23" s="85" t="s">
        <v>4621</v>
      </c>
      <c r="H23" s="111"/>
      <c r="I23" s="111" t="s">
        <v>4531</v>
      </c>
    </row>
    <row r="24" spans="4:9" ht="27" customHeight="1"/>
    <row r="25" spans="4:9" ht="27" customHeight="1">
      <c r="D25" s="194" t="s">
        <v>17</v>
      </c>
      <c r="E25" s="115" t="s">
        <v>39</v>
      </c>
      <c r="F25" s="117" t="str">
        <f t="shared" ref="F25:F35" si="4">LEFT(G25,14)</f>
        <v>A04AT198-00002</v>
      </c>
      <c r="G25" s="85" t="s">
        <v>4620</v>
      </c>
      <c r="H25" s="111"/>
      <c r="I25" s="111" t="s">
        <v>4364</v>
      </c>
    </row>
    <row r="26" spans="4:9" ht="27" customHeight="1">
      <c r="D26" s="194" t="s">
        <v>17</v>
      </c>
      <c r="E26" s="115" t="s">
        <v>4981</v>
      </c>
      <c r="F26" s="117" t="str">
        <f t="shared" si="4"/>
        <v>A04AT198-00002</v>
      </c>
      <c r="G26" s="85" t="s">
        <v>4620</v>
      </c>
      <c r="H26" s="111" t="s">
        <v>4952</v>
      </c>
      <c r="I26" s="111" t="s">
        <v>4364</v>
      </c>
    </row>
    <row r="27" spans="4:9" ht="27" customHeight="1">
      <c r="D27" s="194" t="s">
        <v>17</v>
      </c>
      <c r="E27" s="115" t="s">
        <v>29</v>
      </c>
      <c r="F27" s="117" t="str">
        <f t="shared" si="4"/>
        <v>A04AP085-00002</v>
      </c>
      <c r="G27" s="85" t="s">
        <v>4618</v>
      </c>
      <c r="H27" s="111"/>
      <c r="I27" s="111" t="s">
        <v>4364</v>
      </c>
    </row>
    <row r="28" spans="4:9" ht="27" customHeight="1">
      <c r="D28" s="194" t="s">
        <v>17</v>
      </c>
      <c r="E28" s="118" t="s">
        <v>4983</v>
      </c>
      <c r="F28" s="117" t="str">
        <f t="shared" si="4"/>
        <v>A04AP085-00002</v>
      </c>
      <c r="G28" s="85" t="s">
        <v>4618</v>
      </c>
      <c r="H28" s="111" t="s">
        <v>4951</v>
      </c>
      <c r="I28" s="111" t="s">
        <v>4364</v>
      </c>
    </row>
    <row r="29" spans="4:9" ht="27" customHeight="1">
      <c r="D29" s="194" t="s">
        <v>17</v>
      </c>
      <c r="E29" s="115" t="s">
        <v>4634</v>
      </c>
      <c r="F29" s="117" t="str">
        <f t="shared" si="4"/>
        <v>A04AM078-00001</v>
      </c>
      <c r="G29" s="85" t="s">
        <v>4614</v>
      </c>
      <c r="H29" s="111"/>
      <c r="I29" s="111" t="s">
        <v>4364</v>
      </c>
    </row>
    <row r="30" spans="4:9" ht="27" customHeight="1">
      <c r="D30" s="194" t="s">
        <v>17</v>
      </c>
      <c r="E30" s="115" t="s">
        <v>4979</v>
      </c>
      <c r="F30" s="117" t="str">
        <f t="shared" si="4"/>
        <v>A04AM078-00001</v>
      </c>
      <c r="G30" s="85" t="s">
        <v>4614</v>
      </c>
      <c r="H30" s="111" t="s">
        <v>4952</v>
      </c>
      <c r="I30" s="111" t="s">
        <v>4364</v>
      </c>
    </row>
    <row r="31" spans="4:9" ht="27" customHeight="1">
      <c r="D31" s="194" t="s">
        <v>17</v>
      </c>
      <c r="E31" s="115" t="s">
        <v>4636</v>
      </c>
      <c r="F31" s="117" t="str">
        <f t="shared" si="4"/>
        <v>A04AM078-00009</v>
      </c>
      <c r="G31" s="85" t="s">
        <v>4635</v>
      </c>
      <c r="H31" s="111"/>
      <c r="I31" s="111" t="s">
        <v>4364</v>
      </c>
    </row>
    <row r="32" spans="4:9" ht="27" customHeight="1">
      <c r="D32" s="194" t="s">
        <v>17</v>
      </c>
      <c r="E32" s="115" t="s">
        <v>4963</v>
      </c>
      <c r="F32" s="117" t="str">
        <f t="shared" si="4"/>
        <v>A04AM078-00004</v>
      </c>
      <c r="G32" s="85" t="s">
        <v>4964</v>
      </c>
      <c r="H32" s="111"/>
      <c r="I32" s="111" t="s">
        <v>4364</v>
      </c>
    </row>
    <row r="33" spans="4:9" ht="27" customHeight="1">
      <c r="D33" s="194" t="s">
        <v>17</v>
      </c>
      <c r="E33" s="115" t="s">
        <v>4967</v>
      </c>
      <c r="F33" s="117" t="str">
        <f t="shared" si="4"/>
        <v>A04AS314-00001</v>
      </c>
      <c r="G33" s="85" t="s">
        <v>4965</v>
      </c>
      <c r="H33" s="111"/>
      <c r="I33" s="111" t="s">
        <v>4364</v>
      </c>
    </row>
    <row r="34" spans="4:9" ht="27" customHeight="1">
      <c r="D34" s="194" t="s">
        <v>17</v>
      </c>
      <c r="E34" s="115" t="s">
        <v>4625</v>
      </c>
      <c r="F34" s="117" t="str">
        <f t="shared" si="4"/>
        <v>A04AN082-00001</v>
      </c>
      <c r="G34" s="85" t="s">
        <v>4615</v>
      </c>
      <c r="H34" s="111"/>
      <c r="I34" s="111" t="s">
        <v>4364</v>
      </c>
    </row>
    <row r="35" spans="4:9" ht="27" customHeight="1">
      <c r="D35" s="194" t="s">
        <v>17</v>
      </c>
      <c r="E35" s="115" t="s">
        <v>4977</v>
      </c>
      <c r="F35" s="117" t="str">
        <f t="shared" si="4"/>
        <v>A04AN082-00001</v>
      </c>
      <c r="G35" s="85" t="s">
        <v>4615</v>
      </c>
      <c r="H35" s="111" t="s">
        <v>4951</v>
      </c>
      <c r="I35" s="111" t="s">
        <v>4364</v>
      </c>
    </row>
    <row r="36" spans="4:9" ht="27" customHeight="1"/>
    <row r="37" spans="4:9" ht="27" customHeight="1">
      <c r="D37" s="194" t="s">
        <v>4200</v>
      </c>
      <c r="E37" s="115" t="s">
        <v>4634</v>
      </c>
      <c r="F37" s="117" t="str">
        <f>LEFT(G37,14)</f>
        <v>A04AM079-00001</v>
      </c>
      <c r="G37" s="85" t="s">
        <v>4623</v>
      </c>
      <c r="H37" s="111"/>
      <c r="I37" s="111" t="s">
        <v>4364</v>
      </c>
    </row>
    <row r="38" spans="4:9" ht="27" customHeight="1">
      <c r="D38" s="194" t="s">
        <v>4200</v>
      </c>
      <c r="E38" s="115" t="s">
        <v>4943</v>
      </c>
      <c r="F38" s="117" t="str">
        <f>LEFT(G38,14)</f>
        <v>A04AS190-00002</v>
      </c>
      <c r="G38" s="85" t="s">
        <v>4941</v>
      </c>
      <c r="H38" s="111" t="s">
        <v>4950</v>
      </c>
      <c r="I38" s="111" t="s">
        <v>4364</v>
      </c>
    </row>
    <row r="39" spans="4:9" ht="27" customHeight="1">
      <c r="D39" s="194" t="s">
        <v>4200</v>
      </c>
      <c r="E39" s="115" t="s">
        <v>4628</v>
      </c>
      <c r="F39" s="117" t="str">
        <f>LEFT(G39,14)</f>
        <v>A04AS191-00002</v>
      </c>
      <c r="G39" s="85" t="s">
        <v>4626</v>
      </c>
      <c r="H39" s="111" t="s">
        <v>4950</v>
      </c>
      <c r="I39" s="111" t="s">
        <v>4364</v>
      </c>
    </row>
    <row r="40" spans="4:9" ht="27" customHeight="1"/>
    <row r="41" spans="4:9" ht="27" customHeight="1">
      <c r="D41" s="109" t="s">
        <v>4536</v>
      </c>
      <c r="E41" s="110"/>
    </row>
    <row r="42" spans="4:9" ht="27" customHeight="1">
      <c r="D42" s="194" t="s">
        <v>4664</v>
      </c>
      <c r="E42" s="115" t="s">
        <v>4881</v>
      </c>
      <c r="F42" s="117" t="str">
        <f>LEFT(G42,14)</f>
        <v>A01ZZ009-00003</v>
      </c>
      <c r="G42" s="85" t="s">
        <v>4880</v>
      </c>
      <c r="H42" s="111"/>
      <c r="I42" s="111" t="s">
        <v>4363</v>
      </c>
    </row>
    <row r="43" spans="4:9" ht="27" customHeight="1">
      <c r="D43" s="194" t="s">
        <v>4664</v>
      </c>
      <c r="E43" s="115" t="s">
        <v>4521</v>
      </c>
      <c r="F43" s="117" t="str">
        <f>LEFT(G43,14)</f>
        <v>A01ZZ012-00002</v>
      </c>
      <c r="G43" s="85" t="s">
        <v>4523</v>
      </c>
      <c r="H43" s="111"/>
      <c r="I43" s="111" t="s">
        <v>4364</v>
      </c>
    </row>
    <row r="44" spans="4:9" ht="27" customHeight="1">
      <c r="D44" s="194" t="s">
        <v>4664</v>
      </c>
      <c r="E44" s="115" t="s">
        <v>4637</v>
      </c>
      <c r="F44" s="117" t="str">
        <f>LEFT(G44,14)</f>
        <v>A01ZZ011-00001</v>
      </c>
      <c r="G44" s="85" t="s">
        <v>4638</v>
      </c>
      <c r="H44" s="111"/>
      <c r="I44" s="111" t="s">
        <v>4364</v>
      </c>
    </row>
    <row r="45" spans="4:9" ht="27" customHeight="1"/>
    <row r="46" spans="4:9" ht="27" customHeight="1">
      <c r="D46" s="109" t="s">
        <v>4537</v>
      </c>
      <c r="E46" s="110"/>
    </row>
    <row r="47" spans="4:9" ht="27" customHeight="1">
      <c r="D47" s="194" t="s">
        <v>24</v>
      </c>
      <c r="E47" s="115" t="s">
        <v>4534</v>
      </c>
      <c r="F47" s="117" t="str">
        <f>LEFT(G47,14)</f>
        <v>A02AC024-00001</v>
      </c>
      <c r="G47" s="85" t="s">
        <v>4535</v>
      </c>
      <c r="H47" s="111"/>
      <c r="I47" s="111" t="s">
        <v>4530</v>
      </c>
    </row>
    <row r="48" spans="4:9" ht="27" customHeight="1"/>
    <row r="49" spans="4:9" ht="27" customHeight="1">
      <c r="D49" s="109" t="s">
        <v>4639</v>
      </c>
      <c r="E49" s="110"/>
    </row>
    <row r="50" spans="4:9" ht="27" customHeight="1">
      <c r="D50" s="194" t="s">
        <v>4297</v>
      </c>
      <c r="E50" s="118" t="s">
        <v>4662</v>
      </c>
      <c r="F50" s="117" t="str">
        <f>LEFT(G50,14)</f>
        <v>A03AK068-00001</v>
      </c>
      <c r="G50" s="85" t="s">
        <v>4663</v>
      </c>
      <c r="H50" s="119"/>
      <c r="I50" s="119" t="s">
        <v>4364</v>
      </c>
    </row>
    <row r="51" spans="4:9" ht="27" customHeight="1">
      <c r="D51" s="194" t="s">
        <v>4297</v>
      </c>
      <c r="E51" s="118" t="s">
        <v>4885</v>
      </c>
      <c r="F51" s="117" t="str">
        <f>LEFT(G51,14)</f>
        <v>A03AD029-00004</v>
      </c>
      <c r="G51" s="85" t="s">
        <v>4524</v>
      </c>
      <c r="H51" s="111"/>
      <c r="I51" s="111" t="s">
        <v>4530</v>
      </c>
    </row>
    <row r="52" spans="4:9" ht="27" customHeight="1">
      <c r="D52" s="194" t="s">
        <v>4297</v>
      </c>
      <c r="E52" s="118" t="s">
        <v>4886</v>
      </c>
      <c r="F52" s="117" t="str">
        <f>LEFT(G52,14)</f>
        <v>A03AD029-00005</v>
      </c>
      <c r="G52" s="85" t="s">
        <v>4884</v>
      </c>
      <c r="H52" s="119"/>
      <c r="I52" s="119" t="s">
        <v>4530</v>
      </c>
    </row>
    <row r="53" spans="4:9" ht="27" customHeight="1">
      <c r="D53" s="194" t="s">
        <v>4297</v>
      </c>
      <c r="E53" s="118" t="s">
        <v>4887</v>
      </c>
      <c r="F53" s="117" t="str">
        <f>LEFT(G53,14)</f>
        <v>A03AG029-00005</v>
      </c>
      <c r="G53" s="85" t="s">
        <v>4729</v>
      </c>
      <c r="H53" s="119"/>
      <c r="I53" s="119" t="s">
        <v>4530</v>
      </c>
    </row>
    <row r="54" spans="4:9" ht="27" customHeight="1">
      <c r="D54" s="194" t="s">
        <v>4297</v>
      </c>
      <c r="E54" s="118" t="s">
        <v>4907</v>
      </c>
      <c r="F54" s="117" t="str">
        <f>LEFT(G54,14)</f>
        <v>A03AF030-00003</v>
      </c>
      <c r="G54" s="85" t="s">
        <v>4910</v>
      </c>
      <c r="H54" s="119"/>
      <c r="I54" s="119" t="s">
        <v>4530</v>
      </c>
    </row>
    <row r="55" spans="4:9" ht="27" customHeight="1"/>
    <row r="56" spans="4:9" ht="27" customHeight="1">
      <c r="D56" s="109" t="s">
        <v>4667</v>
      </c>
      <c r="E56" s="110"/>
    </row>
    <row r="57" spans="4:9" ht="27" customHeight="1">
      <c r="D57" s="194" t="s">
        <v>4658</v>
      </c>
      <c r="E57" s="118" t="s">
        <v>4658</v>
      </c>
      <c r="F57" s="117" t="str">
        <f t="shared" ref="F57:F63" si="5">LEFT(G57,14)</f>
        <v>A04AT198-00001</v>
      </c>
      <c r="G57" s="85" t="s">
        <v>4659</v>
      </c>
      <c r="H57" s="119"/>
      <c r="I57" s="119" t="s">
        <v>4364</v>
      </c>
    </row>
    <row r="58" spans="4:9" ht="27" customHeight="1">
      <c r="D58" s="194" t="s">
        <v>4196</v>
      </c>
      <c r="E58" s="118" t="s">
        <v>5006</v>
      </c>
      <c r="F58" s="117" t="str">
        <f t="shared" si="5"/>
        <v>A04AL069-00002</v>
      </c>
      <c r="G58" s="85" t="s">
        <v>4283</v>
      </c>
      <c r="H58" s="119" t="s">
        <v>5004</v>
      </c>
      <c r="I58" s="119" t="s">
        <v>4364</v>
      </c>
    </row>
    <row r="59" spans="4:9" ht="27" customHeight="1">
      <c r="D59" s="194" t="s">
        <v>4196</v>
      </c>
      <c r="E59" s="118" t="s">
        <v>5007</v>
      </c>
      <c r="F59" s="117" t="str">
        <f t="shared" si="5"/>
        <v>A04AL069-00002</v>
      </c>
      <c r="G59" s="85" t="s">
        <v>4283</v>
      </c>
      <c r="H59" s="119" t="s">
        <v>5005</v>
      </c>
      <c r="I59" s="119" t="s">
        <v>4364</v>
      </c>
    </row>
    <row r="60" spans="4:9" ht="27" customHeight="1">
      <c r="D60" s="194" t="s">
        <v>38</v>
      </c>
      <c r="E60" s="118" t="s">
        <v>38</v>
      </c>
      <c r="F60" s="117" t="str">
        <f t="shared" si="5"/>
        <v>A04AL012-00001</v>
      </c>
      <c r="G60" s="85" t="s">
        <v>4928</v>
      </c>
      <c r="H60" s="119"/>
      <c r="I60" s="119" t="s">
        <v>4364</v>
      </c>
    </row>
    <row r="61" spans="4:9" ht="27" customHeight="1">
      <c r="D61" s="194" t="s">
        <v>4926</v>
      </c>
      <c r="E61" s="118" t="s">
        <v>4926</v>
      </c>
      <c r="F61" s="117" t="str">
        <f t="shared" si="5"/>
        <v>A04AS176-00003</v>
      </c>
      <c r="G61" s="85" t="s">
        <v>4915</v>
      </c>
      <c r="H61" s="119"/>
      <c r="I61" s="119" t="s">
        <v>4364</v>
      </c>
    </row>
    <row r="62" spans="4:9" ht="27" customHeight="1">
      <c r="D62" s="194" t="s">
        <v>4670</v>
      </c>
      <c r="E62" s="118" t="s">
        <v>4670</v>
      </c>
      <c r="F62" s="117" t="str">
        <f t="shared" si="5"/>
        <v>A04AS177-00032</v>
      </c>
      <c r="G62" s="85" t="s">
        <v>4671</v>
      </c>
      <c r="H62" s="119"/>
      <c r="I62" s="119" t="s">
        <v>4364</v>
      </c>
    </row>
    <row r="63" spans="4:9" ht="27" customHeight="1">
      <c r="D63" s="194" t="s">
        <v>4675</v>
      </c>
      <c r="E63" s="118" t="s">
        <v>4675</v>
      </c>
      <c r="F63" s="117" t="str">
        <f t="shared" si="5"/>
        <v>A04AM080-00006</v>
      </c>
      <c r="G63" s="85" t="s">
        <v>4629</v>
      </c>
      <c r="H63" s="119"/>
      <c r="I63" s="119" t="s">
        <v>4364</v>
      </c>
    </row>
    <row r="64" spans="4:9" ht="27" customHeight="1"/>
    <row r="65" spans="4:9" ht="27" customHeight="1">
      <c r="D65" s="109" t="s">
        <v>4684</v>
      </c>
      <c r="E65" s="110"/>
    </row>
    <row r="66" spans="4:9" ht="27" customHeight="1">
      <c r="D66" s="194" t="s">
        <v>4270</v>
      </c>
      <c r="E66" s="118" t="s">
        <v>4857</v>
      </c>
      <c r="F66" s="117" t="str">
        <f t="shared" ref="F66:F73" si="6">LEFT(G66,14)</f>
        <v>A04AR099-00001</v>
      </c>
      <c r="G66" s="85" t="s">
        <v>4685</v>
      </c>
      <c r="H66" s="119"/>
      <c r="I66" s="119" t="s">
        <v>4530</v>
      </c>
    </row>
    <row r="67" spans="4:9" ht="27" customHeight="1">
      <c r="D67" s="194" t="s">
        <v>4270</v>
      </c>
      <c r="E67" s="118" t="s">
        <v>4859</v>
      </c>
      <c r="F67" s="117" t="str">
        <f t="shared" si="6"/>
        <v>A04AR105-00010</v>
      </c>
      <c r="G67" s="85" t="s">
        <v>4686</v>
      </c>
      <c r="H67" s="119"/>
      <c r="I67" s="119" t="s">
        <v>4530</v>
      </c>
    </row>
    <row r="68" spans="4:9" ht="27" customHeight="1">
      <c r="D68" s="194" t="s">
        <v>4270</v>
      </c>
      <c r="E68" s="118" t="s">
        <v>4861</v>
      </c>
      <c r="F68" s="117" t="str">
        <f t="shared" ref="F68:F69" si="7">LEFT(G68,14)</f>
        <v>A04AR099-00001</v>
      </c>
      <c r="G68" s="85" t="s">
        <v>4685</v>
      </c>
      <c r="H68" s="119"/>
      <c r="I68" s="119" t="s">
        <v>4530</v>
      </c>
    </row>
    <row r="69" spans="4:9" ht="27" customHeight="1">
      <c r="D69" s="194" t="s">
        <v>4270</v>
      </c>
      <c r="E69" s="118" t="s">
        <v>4863</v>
      </c>
      <c r="F69" s="117" t="str">
        <f t="shared" si="7"/>
        <v>A04AR105-00010</v>
      </c>
      <c r="G69" s="85" t="s">
        <v>4686</v>
      </c>
      <c r="H69" s="119"/>
      <c r="I69" s="119" t="s">
        <v>4530</v>
      </c>
    </row>
    <row r="70" spans="4:9" ht="27" customHeight="1">
      <c r="D70" s="194" t="s">
        <v>4565</v>
      </c>
      <c r="E70" s="118" t="s">
        <v>4565</v>
      </c>
      <c r="F70" s="117" t="str">
        <f t="shared" si="6"/>
        <v>A04AR315-00001</v>
      </c>
      <c r="G70" s="85" t="s">
        <v>4691</v>
      </c>
      <c r="H70" s="119"/>
      <c r="I70" s="119" t="s">
        <v>4364</v>
      </c>
    </row>
    <row r="71" spans="4:9" ht="27" customHeight="1">
      <c r="D71" s="194" t="s">
        <v>4687</v>
      </c>
      <c r="E71" s="118" t="s">
        <v>4855</v>
      </c>
      <c r="F71" s="117" t="str">
        <f t="shared" si="6"/>
        <v>A04AR127-00001</v>
      </c>
      <c r="G71" s="85" t="s">
        <v>4688</v>
      </c>
      <c r="H71" s="119"/>
      <c r="I71" s="119" t="s">
        <v>4530</v>
      </c>
    </row>
    <row r="72" spans="4:9" ht="27" customHeight="1">
      <c r="D72" s="194" t="s">
        <v>4271</v>
      </c>
      <c r="E72" s="118" t="s">
        <v>4865</v>
      </c>
      <c r="F72" s="117" t="str">
        <f t="shared" si="6"/>
        <v>A04AR159-00001</v>
      </c>
      <c r="G72" s="85" t="s">
        <v>4689</v>
      </c>
      <c r="H72" s="119"/>
      <c r="I72" s="119" t="s">
        <v>4530</v>
      </c>
    </row>
    <row r="73" spans="4:9" ht="27" customHeight="1">
      <c r="D73" s="194" t="s">
        <v>4272</v>
      </c>
      <c r="E73" s="118" t="s">
        <v>4867</v>
      </c>
      <c r="F73" s="117" t="str">
        <f t="shared" si="6"/>
        <v>A04AR164-00001</v>
      </c>
      <c r="G73" s="85" t="s">
        <v>4690</v>
      </c>
      <c r="H73" s="119"/>
      <c r="I73" s="119" t="s">
        <v>4530</v>
      </c>
    </row>
    <row r="74" spans="4:9" ht="27" customHeight="1"/>
    <row r="75" spans="4:9" ht="27" customHeight="1">
      <c r="D75" s="109" t="s">
        <v>4666</v>
      </c>
      <c r="E75" s="110"/>
    </row>
    <row r="76" spans="4:9" ht="27" customHeight="1">
      <c r="D76" s="194" t="s">
        <v>36</v>
      </c>
      <c r="E76" s="118" t="s">
        <v>4648</v>
      </c>
      <c r="F76" s="117" t="str">
        <f>LEFT(G76,14)</f>
        <v>A05ZZ200-00005</v>
      </c>
      <c r="G76" s="85" t="s">
        <v>4650</v>
      </c>
      <c r="H76" s="119"/>
      <c r="I76" s="119" t="s">
        <v>4364</v>
      </c>
    </row>
    <row r="77" spans="4:9" ht="27" customHeight="1">
      <c r="D77" s="194" t="s">
        <v>36</v>
      </c>
      <c r="E77" s="118" t="s">
        <v>4651</v>
      </c>
      <c r="F77" s="117" t="str">
        <f>LEFT(G77,14)</f>
        <v>A05ZZ200-00001</v>
      </c>
      <c r="G77" s="85" t="s">
        <v>4649</v>
      </c>
      <c r="H77" s="119"/>
      <c r="I77" s="119" t="s">
        <v>4364</v>
      </c>
    </row>
    <row r="78" spans="4:9" ht="27" customHeight="1">
      <c r="D78" s="194" t="s">
        <v>4190</v>
      </c>
      <c r="E78" s="118" t="s">
        <v>4653</v>
      </c>
      <c r="F78" s="117" t="str">
        <f>LEFT(G78,14)</f>
        <v>A05ZZ199-00006</v>
      </c>
      <c r="G78" s="85" t="s">
        <v>4655</v>
      </c>
      <c r="H78" s="119"/>
      <c r="I78" s="119" t="s">
        <v>4364</v>
      </c>
    </row>
    <row r="79" spans="4:9" ht="27" customHeight="1">
      <c r="D79" s="194" t="s">
        <v>4190</v>
      </c>
      <c r="E79" s="118" t="s">
        <v>4654</v>
      </c>
      <c r="F79" s="117" t="str">
        <f>LEFT(G79,14)</f>
        <v>A05ZZ199-00005</v>
      </c>
      <c r="G79" s="85" t="s">
        <v>4656</v>
      </c>
      <c r="H79" s="119"/>
      <c r="I79" s="119" t="s">
        <v>4364</v>
      </c>
    </row>
    <row r="80" spans="4:9" ht="27" customHeight="1">
      <c r="D80" s="194" t="s">
        <v>4</v>
      </c>
      <c r="E80" s="118" t="s">
        <v>4</v>
      </c>
      <c r="F80" s="117" t="str">
        <f>LEFT(G80,14)</f>
        <v>A05ZZ204-00001</v>
      </c>
      <c r="G80" s="85" t="s">
        <v>4657</v>
      </c>
      <c r="H80" s="119"/>
      <c r="I80" s="119" t="s">
        <v>4531</v>
      </c>
    </row>
    <row r="81" spans="4:9" ht="27" customHeight="1"/>
    <row r="82" spans="4:9" ht="27" customHeight="1">
      <c r="D82" s="109" t="s">
        <v>4665</v>
      </c>
      <c r="E82" s="110"/>
    </row>
    <row r="83" spans="4:9" ht="27" customHeight="1">
      <c r="D83" s="194" t="s">
        <v>4189</v>
      </c>
      <c r="E83" s="118" t="s">
        <v>4641</v>
      </c>
      <c r="F83" s="117" t="str">
        <f t="shared" ref="F83:F94" si="8">LEFT(G83,14)</f>
        <v>S02AA018-00003</v>
      </c>
      <c r="G83" s="85" t="s">
        <v>4640</v>
      </c>
      <c r="H83" s="119"/>
      <c r="I83" s="111" t="s">
        <v>4364</v>
      </c>
    </row>
    <row r="84" spans="4:9" ht="27" customHeight="1">
      <c r="D84" s="194" t="s">
        <v>4189</v>
      </c>
      <c r="E84" s="118" t="s">
        <v>4642</v>
      </c>
      <c r="F84" s="117" t="str">
        <f t="shared" si="8"/>
        <v>S04AA018-00003</v>
      </c>
      <c r="G84" s="85" t="s">
        <v>4643</v>
      </c>
      <c r="H84" s="119"/>
      <c r="I84" s="111" t="s">
        <v>4364</v>
      </c>
    </row>
    <row r="85" spans="4:9" ht="27" customHeight="1">
      <c r="D85" s="194" t="s">
        <v>4505</v>
      </c>
      <c r="E85" s="118" t="s">
        <v>4644</v>
      </c>
      <c r="F85" s="117" t="str">
        <f t="shared" si="8"/>
        <v>S02AA017-00003</v>
      </c>
      <c r="G85" s="85" t="s">
        <v>4646</v>
      </c>
      <c r="H85" s="119"/>
      <c r="I85" s="111" t="s">
        <v>4364</v>
      </c>
    </row>
    <row r="86" spans="4:9" ht="27" customHeight="1">
      <c r="D86" s="194" t="s">
        <v>4505</v>
      </c>
      <c r="E86" s="118" t="s">
        <v>4645</v>
      </c>
      <c r="F86" s="117" t="str">
        <f t="shared" si="8"/>
        <v>S04AA017-00001</v>
      </c>
      <c r="G86" s="85" t="s">
        <v>4647</v>
      </c>
      <c r="H86" s="119"/>
      <c r="I86" s="111" t="s">
        <v>4364</v>
      </c>
    </row>
    <row r="87" spans="4:9" ht="27" customHeight="1">
      <c r="D87" s="194" t="s">
        <v>4194</v>
      </c>
      <c r="E87" s="118" t="s">
        <v>4194</v>
      </c>
      <c r="F87" s="117" t="str">
        <f t="shared" si="8"/>
        <v>A04AV212-00001</v>
      </c>
      <c r="G87" s="85" t="s">
        <v>4669</v>
      </c>
      <c r="H87" s="119"/>
      <c r="I87" s="111" t="s">
        <v>4364</v>
      </c>
    </row>
    <row r="88" spans="4:9" ht="27" customHeight="1">
      <c r="D88" s="194" t="s">
        <v>4582</v>
      </c>
      <c r="E88" s="118" t="s">
        <v>4582</v>
      </c>
      <c r="F88" s="117" t="str">
        <f t="shared" si="8"/>
        <v>S03AA030-00001</v>
      </c>
      <c r="G88" s="85" t="s">
        <v>4677</v>
      </c>
      <c r="H88" s="119"/>
      <c r="I88" s="111" t="s">
        <v>4364</v>
      </c>
    </row>
    <row r="89" spans="4:9" ht="27" customHeight="1">
      <c r="D89" s="194" t="s">
        <v>4676</v>
      </c>
      <c r="E89" s="118" t="s">
        <v>4680</v>
      </c>
      <c r="F89" s="117" t="str">
        <f t="shared" si="8"/>
        <v>S41AA051-00001</v>
      </c>
      <c r="G89" s="85" t="s">
        <v>4678</v>
      </c>
      <c r="H89" s="119"/>
      <c r="I89" s="111" t="s">
        <v>4364</v>
      </c>
    </row>
    <row r="90" spans="4:9" ht="27" customHeight="1">
      <c r="D90" s="194" t="s">
        <v>4676</v>
      </c>
      <c r="E90" s="118" t="s">
        <v>4681</v>
      </c>
      <c r="F90" s="117" t="str">
        <f t="shared" si="8"/>
        <v>S41AA052-00001</v>
      </c>
      <c r="G90" s="85" t="s">
        <v>4679</v>
      </c>
      <c r="H90" s="119"/>
      <c r="I90" s="111" t="s">
        <v>4364</v>
      </c>
    </row>
    <row r="91" spans="4:9" ht="27" customHeight="1">
      <c r="D91" s="194" t="s">
        <v>4694</v>
      </c>
      <c r="E91" s="118" t="s">
        <v>4697</v>
      </c>
      <c r="F91" s="117" t="str">
        <f t="shared" si="8"/>
        <v>S02AA019-00002</v>
      </c>
      <c r="G91" s="85" t="s">
        <v>4695</v>
      </c>
      <c r="H91" s="119"/>
      <c r="I91" s="111" t="s">
        <v>4531</v>
      </c>
    </row>
    <row r="92" spans="4:9" ht="27" customHeight="1">
      <c r="D92" s="194" t="s">
        <v>4694</v>
      </c>
      <c r="E92" s="118" t="s">
        <v>4698</v>
      </c>
      <c r="F92" s="117" t="str">
        <f t="shared" si="8"/>
        <v>S04AA019-00001</v>
      </c>
      <c r="G92" s="85" t="s">
        <v>4699</v>
      </c>
      <c r="H92" s="119"/>
      <c r="I92" s="111" t="s">
        <v>4531</v>
      </c>
    </row>
    <row r="93" spans="4:9" ht="27" customHeight="1">
      <c r="D93" s="194" t="s">
        <v>4569</v>
      </c>
      <c r="E93" s="118" t="s">
        <v>4704</v>
      </c>
      <c r="F93" s="117" t="str">
        <f t="shared" si="8"/>
        <v>S02AA020-00003</v>
      </c>
      <c r="G93" s="85" t="s">
        <v>4703</v>
      </c>
      <c r="H93" s="119"/>
      <c r="I93" s="111" t="s">
        <v>4531</v>
      </c>
    </row>
    <row r="94" spans="4:9" ht="27" customHeight="1">
      <c r="D94" s="194" t="s">
        <v>4569</v>
      </c>
      <c r="E94" s="118" t="s">
        <v>4705</v>
      </c>
      <c r="F94" s="117" t="str">
        <f t="shared" si="8"/>
        <v>S04AA020-00001</v>
      </c>
      <c r="G94" s="85" t="s">
        <v>4706</v>
      </c>
      <c r="H94" s="119"/>
      <c r="I94" s="111" t="s">
        <v>4531</v>
      </c>
    </row>
    <row r="95" spans="4:9" ht="27" customHeight="1"/>
    <row r="96" spans="4:9" ht="27" customHeight="1">
      <c r="D96" s="109" t="s">
        <v>4707</v>
      </c>
      <c r="E96" s="110"/>
    </row>
    <row r="97" spans="4:9" ht="27" customHeight="1">
      <c r="D97" s="194" t="s">
        <v>4572</v>
      </c>
      <c r="E97" s="118" t="s">
        <v>4710</v>
      </c>
      <c r="F97" s="117" t="str">
        <f>LEFT(G97,14)</f>
        <v>S02AA041-00001</v>
      </c>
      <c r="G97" s="85" t="s">
        <v>4709</v>
      </c>
      <c r="H97" s="119"/>
      <c r="I97" s="119" t="s">
        <v>4531</v>
      </c>
    </row>
    <row r="98" spans="4:9" ht="27" customHeight="1">
      <c r="D98" s="194" t="s">
        <v>4572</v>
      </c>
      <c r="E98" s="118" t="s">
        <v>4711</v>
      </c>
      <c r="F98" s="117" t="str">
        <f>LEFT(G98,14)</f>
        <v>S04AA041-00001</v>
      </c>
      <c r="G98" s="85" t="s">
        <v>4712</v>
      </c>
      <c r="H98" s="119"/>
      <c r="I98" s="119" t="s">
        <v>4531</v>
      </c>
    </row>
    <row r="99" spans="4:9" ht="27" customHeight="1">
      <c r="D99" s="194" t="s">
        <v>4574</v>
      </c>
      <c r="E99" s="118" t="s">
        <v>4574</v>
      </c>
      <c r="F99" s="117" t="str">
        <f>LEFT(G99,14)</f>
        <v>A04AV219-00001</v>
      </c>
      <c r="G99" s="85" t="s">
        <v>4714</v>
      </c>
      <c r="H99" s="119"/>
      <c r="I99" s="119" t="s">
        <v>4530</v>
      </c>
    </row>
    <row r="100" spans="4:9" ht="27" customHeight="1">
      <c r="D100" s="194" t="s">
        <v>4576</v>
      </c>
      <c r="E100" s="118" t="s">
        <v>4575</v>
      </c>
      <c r="F100" s="117" t="str">
        <f t="shared" ref="F100:F112" si="9">LEFT(G100,14)</f>
        <v>A04AV205-00001</v>
      </c>
      <c r="G100" s="85" t="s">
        <v>4716</v>
      </c>
      <c r="H100" s="119"/>
      <c r="I100" s="119" t="s">
        <v>4530</v>
      </c>
    </row>
    <row r="101" spans="4:9" ht="27" customHeight="1">
      <c r="D101" s="194" t="s">
        <v>4577</v>
      </c>
      <c r="E101" s="118" t="s">
        <v>2850</v>
      </c>
      <c r="F101" s="117" t="str">
        <f t="shared" si="9"/>
        <v>A04AV207-00001</v>
      </c>
      <c r="G101" s="85" t="s">
        <v>4717</v>
      </c>
      <c r="H101" s="119"/>
      <c r="I101" s="119" t="s">
        <v>4531</v>
      </c>
    </row>
    <row r="102" spans="4:9" ht="27" customHeight="1">
      <c r="D102" s="194" t="s">
        <v>4581</v>
      </c>
      <c r="E102" s="118" t="s">
        <v>2873</v>
      </c>
      <c r="F102" s="117" t="str">
        <f t="shared" si="9"/>
        <v>A04AV209-00001</v>
      </c>
      <c r="G102" s="85" t="s">
        <v>4718</v>
      </c>
      <c r="H102" s="119"/>
      <c r="I102" s="119" t="s">
        <v>4530</v>
      </c>
    </row>
    <row r="103" spans="4:9" ht="27" customHeight="1">
      <c r="D103" s="194" t="s">
        <v>4522</v>
      </c>
      <c r="E103" s="118" t="s">
        <v>4882</v>
      </c>
      <c r="F103" s="117" t="str">
        <f t="shared" si="9"/>
        <v>S43AA061-00004</v>
      </c>
      <c r="G103" s="85" t="s">
        <v>4719</v>
      </c>
      <c r="H103" s="119"/>
      <c r="I103" s="119" t="s">
        <v>4530</v>
      </c>
    </row>
    <row r="104" spans="4:9" ht="27" customHeight="1">
      <c r="D104" s="194" t="s">
        <v>4522</v>
      </c>
      <c r="E104" s="118" t="s">
        <v>4888</v>
      </c>
      <c r="F104" s="117" t="str">
        <f t="shared" ref="F104" si="10">LEFT(G104,14)</f>
        <v>S43AA061-00005</v>
      </c>
      <c r="G104" s="85" t="s">
        <v>4889</v>
      </c>
      <c r="H104" s="119"/>
      <c r="I104" s="119" t="s">
        <v>4530</v>
      </c>
    </row>
    <row r="105" spans="4:9" ht="27" customHeight="1">
      <c r="D105" s="194" t="s">
        <v>4583</v>
      </c>
      <c r="E105" s="118" t="s">
        <v>4720</v>
      </c>
      <c r="F105" s="117" t="str">
        <f t="shared" si="9"/>
        <v>A03AD049-00001</v>
      </c>
      <c r="G105" s="85" t="s">
        <v>4721</v>
      </c>
      <c r="H105" s="119"/>
      <c r="I105" s="119" t="s">
        <v>4713</v>
      </c>
    </row>
    <row r="106" spans="4:9" ht="27" customHeight="1">
      <c r="D106" s="194" t="s">
        <v>4583</v>
      </c>
      <c r="E106" s="118" t="s">
        <v>4725</v>
      </c>
      <c r="F106" s="117" t="str">
        <f t="shared" si="9"/>
        <v>A03AE049-00001</v>
      </c>
      <c r="G106" s="85" t="s">
        <v>4722</v>
      </c>
      <c r="H106" s="119"/>
      <c r="I106" s="119" t="s">
        <v>4713</v>
      </c>
    </row>
    <row r="107" spans="4:9" ht="27" customHeight="1">
      <c r="D107" s="194" t="s">
        <v>4583</v>
      </c>
      <c r="E107" s="118" t="s">
        <v>4726</v>
      </c>
      <c r="F107" s="117" t="str">
        <f t="shared" si="9"/>
        <v>A03AF049-00001</v>
      </c>
      <c r="G107" s="85" t="s">
        <v>4723</v>
      </c>
      <c r="H107" s="119"/>
      <c r="I107" s="119" t="s">
        <v>4713</v>
      </c>
    </row>
    <row r="108" spans="4:9" ht="27" customHeight="1">
      <c r="D108" s="194" t="s">
        <v>4583</v>
      </c>
      <c r="E108" s="118" t="s">
        <v>4728</v>
      </c>
      <c r="F108" s="117" t="str">
        <f t="shared" si="9"/>
        <v>A03AG049-00001</v>
      </c>
      <c r="G108" s="85" t="s">
        <v>4724</v>
      </c>
      <c r="H108" s="119"/>
      <c r="I108" s="119" t="s">
        <v>4713</v>
      </c>
    </row>
    <row r="109" spans="4:9" ht="27" customHeight="1">
      <c r="D109" s="194" t="s">
        <v>4584</v>
      </c>
      <c r="E109" s="118" t="s">
        <v>4731</v>
      </c>
      <c r="F109" s="117" t="str">
        <f t="shared" si="9"/>
        <v>A04AV221-00001</v>
      </c>
      <c r="G109" s="85" t="s">
        <v>4715</v>
      </c>
      <c r="H109" s="119"/>
      <c r="I109" s="119" t="s">
        <v>4530</v>
      </c>
    </row>
    <row r="110" spans="4:9" ht="27" customHeight="1">
      <c r="D110" s="280" t="s">
        <v>4708</v>
      </c>
      <c r="E110" s="118" t="s">
        <v>4825</v>
      </c>
      <c r="F110" s="117" t="str">
        <f t="shared" si="9"/>
        <v>A04AV224-00001</v>
      </c>
      <c r="G110" s="85" t="s">
        <v>4732</v>
      </c>
      <c r="H110" s="119"/>
      <c r="I110" s="119" t="s">
        <v>4530</v>
      </c>
    </row>
    <row r="111" spans="4:9" ht="27" customHeight="1">
      <c r="D111" s="280" t="s">
        <v>4585</v>
      </c>
      <c r="E111" s="118" t="s">
        <v>4585</v>
      </c>
      <c r="F111" s="117" t="str">
        <f t="shared" si="9"/>
        <v>A04AV241-00001</v>
      </c>
      <c r="G111" s="85" t="s">
        <v>4733</v>
      </c>
      <c r="H111" s="119"/>
      <c r="I111" s="119" t="s">
        <v>4530</v>
      </c>
    </row>
    <row r="112" spans="4:9" ht="27" customHeight="1">
      <c r="D112" s="280" t="s">
        <v>4587</v>
      </c>
      <c r="E112" s="118" t="s">
        <v>4587</v>
      </c>
      <c r="F112" s="117" t="str">
        <f t="shared" si="9"/>
        <v>A04BA260-00001</v>
      </c>
      <c r="G112" s="85" t="s">
        <v>4734</v>
      </c>
      <c r="H112" s="119"/>
      <c r="I112" s="119" t="s">
        <v>4530</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filterMode="1">
    <tabColor rgb="FFFFC000"/>
  </sheetPr>
  <dimension ref="A1:AV570"/>
  <sheetViews>
    <sheetView view="pageBreakPreview" topLeftCell="A290" zoomScale="70" zoomScaleNormal="85" zoomScaleSheetLayoutView="70" workbookViewId="0">
      <selection activeCell="P330" sqref="P330"/>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17.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thickBot="1">
      <c r="C3" s="160"/>
      <c r="D3" s="161"/>
      <c r="E3" s="189"/>
      <c r="F3" s="189"/>
      <c r="G3" s="189"/>
      <c r="H3" s="189"/>
      <c r="I3" s="161"/>
      <c r="J3" s="161"/>
      <c r="K3" s="162"/>
      <c r="L3" s="161"/>
      <c r="M3" s="161"/>
      <c r="N3" s="161"/>
      <c r="O3" s="161"/>
      <c r="P3" s="161"/>
      <c r="Q3" s="161"/>
    </row>
    <row r="4" spans="1:48" ht="10.9" hidden="1" customHeight="1" thickBot="1">
      <c r="E4" s="190"/>
      <c r="F4" s="143"/>
      <c r="G4" s="143" t="s">
        <v>4373</v>
      </c>
      <c r="H4" s="190"/>
      <c r="I4" s="142"/>
    </row>
    <row r="5" spans="1:48" ht="30" customHeight="1" thickBot="1">
      <c r="A5" s="294" t="s">
        <v>4738</v>
      </c>
      <c r="B5" s="294" t="s">
        <v>4738</v>
      </c>
      <c r="C5" s="225" t="s">
        <v>0</v>
      </c>
      <c r="D5" s="271" t="s">
        <v>4741</v>
      </c>
      <c r="E5" s="272" t="s">
        <v>4367</v>
      </c>
      <c r="F5" s="226" t="s">
        <v>4368</v>
      </c>
      <c r="G5" s="226" t="s">
        <v>4369</v>
      </c>
      <c r="H5" s="226" t="s">
        <v>4370</v>
      </c>
      <c r="I5" s="227" t="s">
        <v>4372</v>
      </c>
      <c r="J5" s="288" t="s">
        <v>4371</v>
      </c>
      <c r="K5" s="228" t="s">
        <v>4359</v>
      </c>
      <c r="L5" s="228" t="s">
        <v>4338</v>
      </c>
      <c r="M5" s="228" t="s">
        <v>4360</v>
      </c>
      <c r="N5" s="228" t="s">
        <v>4362</v>
      </c>
      <c r="O5" s="229" t="s">
        <v>4361</v>
      </c>
      <c r="P5" s="230" t="s">
        <v>4374</v>
      </c>
      <c r="Q5" s="231" t="s">
        <v>4375</v>
      </c>
      <c r="R5" s="52"/>
    </row>
    <row r="6" spans="1:48" s="9" customFormat="1" ht="30" customHeight="1" thickBot="1">
      <c r="A6" s="294" t="s">
        <v>4738</v>
      </c>
      <c r="B6" s="294" t="s">
        <v>4738</v>
      </c>
      <c r="C6" s="7" t="s">
        <v>1</v>
      </c>
      <c r="D6" s="8"/>
      <c r="E6" s="273"/>
      <c r="F6" s="191"/>
      <c r="G6" s="191"/>
      <c r="H6" s="191"/>
      <c r="I6" s="74"/>
      <c r="J6" s="8"/>
      <c r="K6" s="138"/>
      <c r="L6" s="8"/>
      <c r="M6" s="8"/>
      <c r="N6" s="8"/>
      <c r="O6" s="126"/>
      <c r="P6" s="127"/>
      <c r="Q6" s="74"/>
    </row>
    <row r="7" spans="1:48" ht="30" customHeight="1">
      <c r="A7" s="294" t="s">
        <v>4738</v>
      </c>
      <c r="B7" s="294" t="s">
        <v>4738</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4972</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4598</v>
      </c>
      <c r="J9" s="256" t="s">
        <v>4602</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4598</v>
      </c>
      <c r="J10" s="256" t="s">
        <v>4930</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4598</v>
      </c>
      <c r="J11" s="256" t="s">
        <v>4931</v>
      </c>
      <c r="K11" s="71" t="str">
        <f t="shared" si="0"/>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4931</v>
      </c>
      <c r="K12" s="71" t="str">
        <f t="shared" si="0"/>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4619</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4633</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4633</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4944</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4598</v>
      </c>
      <c r="J17" s="256" t="s">
        <v>4933</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4598</v>
      </c>
      <c r="J18" s="256" t="s">
        <v>4630</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4598</v>
      </c>
      <c r="J19" s="256" t="s">
        <v>4936</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4938</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4619</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4633</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4966</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4942</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4969</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4598</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c r="P26" s="124"/>
      <c r="Q26" s="133"/>
      <c r="R26" s="9"/>
    </row>
    <row r="27" spans="1:48" ht="30" customHeight="1" outlineLevel="1">
      <c r="B27" s="261" t="b">
        <v>1</v>
      </c>
      <c r="C27" s="172"/>
      <c r="D27" s="184"/>
      <c r="E27" s="220" t="s">
        <v>4187</v>
      </c>
      <c r="F27" s="71" t="s">
        <v>96</v>
      </c>
      <c r="G27" s="71" t="s">
        <v>96</v>
      </c>
      <c r="H27" s="71" t="s">
        <v>96</v>
      </c>
      <c r="I27" s="255" t="s">
        <v>4598</v>
      </c>
      <c r="J27" s="256" t="s">
        <v>4938</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4598</v>
      </c>
      <c r="J28" s="256" t="s">
        <v>4948</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4938</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4619</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4633</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4942</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4973</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4598</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4598</v>
      </c>
      <c r="J35" s="256" t="s">
        <v>4938</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4938</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4619</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4633</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4943</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4949</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4598</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4598</v>
      </c>
      <c r="J42" s="256" t="s">
        <v>4938</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4938</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4619</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4633</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4627</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4971</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4598</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4598</v>
      </c>
      <c r="J49" s="256" t="s">
        <v>4617</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4598</v>
      </c>
      <c r="J50" s="256" t="s">
        <v>4946</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4624</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4982</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c r="P52" s="124" t="str" cm="1">
        <f t="array" ref="P52">INDEX('3.S Family'!$L$1:$AH$200,MIN(IF(('3.S Family'!$L$1:$L$200=$P$7),ROW('3.S Family'!$L$1:$L$200))),MATCH($I52,'3.S Family'!$6:$6,0)-11)</f>
        <v>=P*H</v>
      </c>
      <c r="Q52" s="361" t="s">
        <v>4953</v>
      </c>
      <c r="R52" s="9"/>
    </row>
    <row r="53" spans="1:18" ht="30" customHeight="1" outlineLevel="1">
      <c r="B53" s="261" t="b">
        <v>1</v>
      </c>
      <c r="C53" s="172"/>
      <c r="D53" s="184"/>
      <c r="E53" s="220" t="s">
        <v>4187</v>
      </c>
      <c r="F53" s="71" t="s">
        <v>96</v>
      </c>
      <c r="G53" s="71" t="s">
        <v>96</v>
      </c>
      <c r="H53" s="71" t="s">
        <v>96</v>
      </c>
      <c r="I53" s="255" t="s">
        <v>17</v>
      </c>
      <c r="J53" s="256" t="s">
        <v>4976</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c r="P53" s="124" t="str" cm="1">
        <f t="array" ref="P53">INDEX('3.S Family'!$L$1:$AH$200,MIN(IF(('3.S Family'!$L$1:$L$200=$P$7),ROW('3.S Family'!$L$1:$L$200))),MATCH($I53,'3.S Family'!$6:$6,0)-11)</f>
        <v>=P*H</v>
      </c>
      <c r="Q53" s="361" t="s">
        <v>4953</v>
      </c>
      <c r="R53" s="9"/>
    </row>
    <row r="54" spans="1:18" ht="30" customHeight="1" outlineLevel="1">
      <c r="B54" s="261" t="b">
        <v>1</v>
      </c>
      <c r="C54" s="172"/>
      <c r="D54" s="184"/>
      <c r="E54" s="220" t="s">
        <v>4187</v>
      </c>
      <c r="F54" s="71" t="s">
        <v>96</v>
      </c>
      <c r="G54" s="71" t="s">
        <v>96</v>
      </c>
      <c r="H54" s="71" t="s">
        <v>96</v>
      </c>
      <c r="I54" s="255" t="s">
        <v>17</v>
      </c>
      <c r="J54" s="256" t="s">
        <v>4980</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c r="P54" s="124" t="str" cm="1">
        <f t="array" ref="P54">INDEX('3.S Family'!$L$1:$AH$200,MIN(IF(('3.S Family'!$L$1:$L$200=$P$7),ROW('3.S Family'!$L$1:$L$200))),MATCH($I54,'3.S Family'!$6:$6,0)-11)</f>
        <v>=P*H</v>
      </c>
      <c r="Q54" s="361" t="s">
        <v>4954</v>
      </c>
      <c r="R54" s="9"/>
    </row>
    <row r="55" spans="1:18" ht="30" customHeight="1" outlineLevel="1">
      <c r="B55" s="261" t="b">
        <v>1</v>
      </c>
      <c r="C55" s="172"/>
      <c r="D55" s="184"/>
      <c r="E55" s="220" t="s">
        <v>4187</v>
      </c>
      <c r="F55" s="71" t="s">
        <v>96</v>
      </c>
      <c r="G55" s="71" t="s">
        <v>96</v>
      </c>
      <c r="H55" s="71" t="s">
        <v>96</v>
      </c>
      <c r="I55" s="255" t="s">
        <v>17</v>
      </c>
      <c r="J55" s="256" t="s">
        <v>4978</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c r="P55" s="124" t="str" cm="1">
        <f t="array" ref="P55">INDEX('3.S Family'!$L$1:$AH$200,MIN(IF(('3.S Family'!$L$1:$L$200=$P$7),ROW('3.S Family'!$L$1:$L$200))),MATCH($I55,'3.S Family'!$6:$6,0)-11)</f>
        <v>=P*H</v>
      </c>
      <c r="Q55" s="361" t="s">
        <v>4954</v>
      </c>
      <c r="R55" s="9"/>
    </row>
    <row r="56" spans="1:18" ht="30" customHeight="1" outlineLevel="1">
      <c r="B56" s="261" t="b">
        <v>1</v>
      </c>
      <c r="C56" s="172"/>
      <c r="D56" s="216"/>
      <c r="E56" s="220" t="s">
        <v>4187</v>
      </c>
      <c r="F56" s="71" t="s">
        <v>96</v>
      </c>
      <c r="G56" s="71" t="s">
        <v>96</v>
      </c>
      <c r="H56" s="71" t="s">
        <v>96</v>
      </c>
      <c r="I56" s="255" t="s">
        <v>4200</v>
      </c>
      <c r="J56" s="256" t="s">
        <v>4943</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4955</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4598</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4598</v>
      </c>
      <c r="J59" s="256" t="s">
        <v>4946</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4938</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4619</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4633</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4942</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4956</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4598</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4598</v>
      </c>
      <c r="J66" s="256" t="s">
        <v>4931</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4931</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4619</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4633</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4633</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4957</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4598</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4598</v>
      </c>
      <c r="J73" s="256" t="s">
        <v>4959</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4959</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4619</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4962</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4633</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4968</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4598</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4598</v>
      </c>
      <c r="J80" s="256" t="s">
        <v>4938</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4938</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4619</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4633</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4966</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4633</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4970</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4598</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4598</v>
      </c>
      <c r="J88" s="256" t="s">
        <v>4946</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4624</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4976</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c r="P90" s="124" t="str" cm="1">
        <f t="array" ref="P90">INDEX('3.S Family'!$L$1:$AH$200,MIN(IF(('3.S Family'!$L$1:$L$200=$P$7),ROW('3.S Family'!$L$1:$L$200))),MATCH($I90,'3.S Family'!$6:$6,0)-11)</f>
        <v>=P*H</v>
      </c>
      <c r="Q90" s="361" t="s">
        <v>4953</v>
      </c>
      <c r="R90" s="9"/>
    </row>
    <row r="91" spans="1:18" ht="30" customHeight="1" outlineLevel="1">
      <c r="B91" s="261" t="b">
        <v>1</v>
      </c>
      <c r="C91" s="172"/>
      <c r="D91" s="184"/>
      <c r="E91" s="220" t="s">
        <v>4187</v>
      </c>
      <c r="F91" s="71" t="s">
        <v>96</v>
      </c>
      <c r="G91" s="71" t="s">
        <v>96</v>
      </c>
      <c r="H91" s="71" t="s">
        <v>96</v>
      </c>
      <c r="I91" s="255" t="s">
        <v>17</v>
      </c>
      <c r="J91" s="256" t="s">
        <v>4980</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c r="P91" s="124" t="str" cm="1">
        <f t="array" ref="P91">INDEX('3.S Family'!$L$1:$AH$200,MIN(IF(('3.S Family'!$L$1:$L$200=$P$7),ROW('3.S Family'!$L$1:$L$200))),MATCH($I91,'3.S Family'!$6:$6,0)-11)</f>
        <v>=P*H</v>
      </c>
      <c r="Q91" s="361" t="s">
        <v>4954</v>
      </c>
      <c r="R91" s="9"/>
    </row>
    <row r="92" spans="1:18" ht="30" customHeight="1" outlineLevel="1">
      <c r="B92" s="261" t="b">
        <v>1</v>
      </c>
      <c r="C92" s="172"/>
      <c r="D92" s="184"/>
      <c r="E92" s="220" t="s">
        <v>4187</v>
      </c>
      <c r="F92" s="71" t="s">
        <v>96</v>
      </c>
      <c r="G92" s="71" t="s">
        <v>96</v>
      </c>
      <c r="H92" s="71" t="s">
        <v>96</v>
      </c>
      <c r="I92" s="255" t="s">
        <v>17</v>
      </c>
      <c r="J92" s="256" t="s">
        <v>4978</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c r="P92" s="124" t="str" cm="1">
        <f t="array" ref="P92">INDEX('3.S Family'!$L$1:$AH$200,MIN(IF(('3.S Family'!$L$1:$L$200=$P$7),ROW('3.S Family'!$L$1:$L$200))),MATCH($I92,'3.S Family'!$6:$6,0)-11)</f>
        <v>=P*H</v>
      </c>
      <c r="Q92" s="361" t="s">
        <v>4954</v>
      </c>
      <c r="R92" s="9"/>
    </row>
    <row r="93" spans="1:18" ht="30" customHeight="1" outlineLevel="1">
      <c r="B93" s="261" t="b">
        <v>1</v>
      </c>
      <c r="C93" s="172"/>
      <c r="D93" s="216"/>
      <c r="E93" s="220" t="s">
        <v>4187</v>
      </c>
      <c r="F93" s="71" t="s">
        <v>96</v>
      </c>
      <c r="G93" s="71" t="s">
        <v>96</v>
      </c>
      <c r="H93" s="71" t="s">
        <v>96</v>
      </c>
      <c r="I93" s="255" t="s">
        <v>4200</v>
      </c>
      <c r="J93" s="256" t="s">
        <v>4627</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4974</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4598</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4598</v>
      </c>
      <c r="J96" s="256" t="s">
        <v>4617</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4598</v>
      </c>
      <c r="J97" s="256" t="s">
        <v>4946</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4624</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4617</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4624</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4943</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4975</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4598</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4598</v>
      </c>
      <c r="J104" s="256" t="s">
        <v>4946</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4624</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4619</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4633</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4943</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c r="P108" s="124" t="str" cm="1">
        <f t="array" ref="P108">INDEX('3.S Family'!$L$1:$AH$200,MIN(IF(('3.S Family'!$L$1:$L$200=$P$7),ROW('3.S Family'!$L$1:$L$200))),MATCH($I108,'3.S Family'!$6:$6,0)-11)</f>
        <v>=A</v>
      </c>
      <c r="Q108" s="133"/>
      <c r="R108" s="9"/>
    </row>
    <row r="109" spans="1:18" ht="30" customHeight="1" thickBot="1">
      <c r="A109" s="294" t="s">
        <v>4738</v>
      </c>
      <c r="B109" s="294" t="s">
        <v>4738</v>
      </c>
      <c r="C109" s="7" t="s">
        <v>2</v>
      </c>
      <c r="D109" s="8"/>
      <c r="E109" s="191"/>
      <c r="F109" s="191"/>
      <c r="G109" s="191"/>
      <c r="H109" s="191"/>
      <c r="I109" s="8"/>
      <c r="J109" s="8"/>
      <c r="K109" s="138"/>
      <c r="L109" s="8"/>
      <c r="M109" s="8"/>
      <c r="N109" s="8"/>
      <c r="O109" s="126"/>
      <c r="P109" s="127"/>
      <c r="Q109" s="74"/>
      <c r="R109" s="9"/>
    </row>
    <row r="110" spans="1:18" ht="30" customHeight="1">
      <c r="A110" s="294" t="s">
        <v>4738</v>
      </c>
      <c r="B110" s="294" t="s">
        <v>4738</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4984</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c r="P114" s="124" t="str" cm="1">
        <f t="array" ref="P114">INDEX('3.S Family'!$L$1:$AH$200,MIN(IF(('3.S Family'!$L$1:$L$200=$P$110),ROW('3.S Family'!$L$1:$L$200))),MATCH($J114,'3.S Family'!$8:$8,0)-11)</f>
        <v>=V*RE</v>
      </c>
      <c r="Q114" s="133"/>
      <c r="R114" s="9"/>
    </row>
    <row r="115" spans="1:18" ht="30" hidden="1" customHeight="1">
      <c r="A115" s="266" t="b">
        <v>0</v>
      </c>
      <c r="B115" s="266" t="b">
        <f>IF(A115=TRUE, TRUE, FALSE)</f>
        <v>0</v>
      </c>
      <c r="C115" s="172"/>
      <c r="D115" s="183" t="s">
        <v>4546</v>
      </c>
      <c r="E115" s="209"/>
      <c r="F115" s="207"/>
      <c r="G115" s="207"/>
      <c r="H115" s="207"/>
      <c r="I115" s="208"/>
      <c r="J115" s="209"/>
      <c r="K115" s="210"/>
      <c r="L115" s="211"/>
      <c r="M115" s="207"/>
      <c r="N115" s="207"/>
      <c r="O115" s="212"/>
      <c r="P115" s="207"/>
      <c r="Q115" s="213"/>
      <c r="R115" s="9"/>
    </row>
    <row r="116" spans="1:18" ht="30" hidden="1" customHeight="1" outlineLevel="1">
      <c r="B116" s="261" t="b">
        <v>0</v>
      </c>
      <c r="C116" s="172"/>
      <c r="D116" s="183"/>
      <c r="E116" s="286" t="s">
        <v>4543</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hidden="1" customHeight="1" outlineLevel="1">
      <c r="B117" s="261" t="b">
        <v>0</v>
      </c>
      <c r="C117" s="172"/>
      <c r="D117" s="184"/>
      <c r="E117" s="286" t="s">
        <v>4543</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hidden="1" customHeight="1" outlineLevel="1">
      <c r="B118" s="261" t="b">
        <v>0</v>
      </c>
      <c r="C118" s="173"/>
      <c r="D118" s="216"/>
      <c r="E118" s="286" t="s">
        <v>4543</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ollapsed="1">
      <c r="A119" s="294" t="s">
        <v>4738</v>
      </c>
      <c r="B119" s="294" t="s">
        <v>4738</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hidden="1" customHeight="1">
      <c r="A120" s="266" t="b">
        <v>0</v>
      </c>
      <c r="B120" s="266" t="b">
        <f>IF(A120=TRUE, TRUE, FALSE)</f>
        <v>0</v>
      </c>
      <c r="C120" s="171"/>
      <c r="D120" s="183" t="s">
        <v>4496</v>
      </c>
      <c r="E120" s="209"/>
      <c r="F120" s="207"/>
      <c r="G120" s="207"/>
      <c r="H120" s="207"/>
      <c r="I120" s="208"/>
      <c r="J120" s="209"/>
      <c r="K120" s="210"/>
      <c r="L120" s="211"/>
      <c r="M120" s="207"/>
      <c r="N120" s="207"/>
      <c r="O120" s="212"/>
      <c r="P120" s="207"/>
      <c r="Q120" s="213"/>
      <c r="R120" s="9"/>
    </row>
    <row r="121" spans="1:18" ht="30" hidden="1"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hidden="1"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hidden="1"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hidden="1"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ollapsed="1">
      <c r="A125" s="294" t="s">
        <v>4738</v>
      </c>
      <c r="B125" s="294" t="s">
        <v>4738</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hidden="1" customHeight="1">
      <c r="A126" s="266" t="b">
        <v>0</v>
      </c>
      <c r="B126" s="266" t="b">
        <f>IF(A126=TRUE, TRUE, FALSE)</f>
        <v>0</v>
      </c>
      <c r="C126" s="171"/>
      <c r="D126" s="217" t="s">
        <v>4498</v>
      </c>
      <c r="E126" s="209"/>
      <c r="F126" s="207"/>
      <c r="G126" s="207"/>
      <c r="H126" s="207"/>
      <c r="I126" s="208"/>
      <c r="J126" s="209"/>
      <c r="K126" s="210"/>
      <c r="L126" s="211"/>
      <c r="M126" s="207"/>
      <c r="N126" s="207"/>
      <c r="O126" s="212"/>
      <c r="P126" s="207"/>
      <c r="Q126" s="213"/>
      <c r="R126" s="9"/>
    </row>
    <row r="127" spans="1:18" ht="30" hidden="1" customHeight="1" outlineLevel="1">
      <c r="A127" s="267"/>
      <c r="B127" s="261" t="b">
        <v>0</v>
      </c>
      <c r="C127" s="172"/>
      <c r="D127" s="184"/>
      <c r="E127" s="220" t="s">
        <v>4187</v>
      </c>
      <c r="F127" s="71" t="s">
        <v>4187</v>
      </c>
      <c r="G127" s="71" t="s">
        <v>4187</v>
      </c>
      <c r="H127" s="71" t="s">
        <v>4187</v>
      </c>
      <c r="I127" s="179" t="str">
        <f>$I$125</f>
        <v>Grating</v>
      </c>
      <c r="J127" s="258" t="s">
        <v>4641</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hidden="1" customHeight="1" outlineLevel="1">
      <c r="A128" s="267"/>
      <c r="B128" s="261" t="b">
        <v>0</v>
      </c>
      <c r="C128" s="172"/>
      <c r="D128" s="184"/>
      <c r="E128" s="220" t="s">
        <v>4187</v>
      </c>
      <c r="F128" s="71" t="s">
        <v>4187</v>
      </c>
      <c r="G128" s="71" t="s">
        <v>4187</v>
      </c>
      <c r="H128" s="71" t="s">
        <v>4187</v>
      </c>
      <c r="I128" s="179" t="str">
        <f>I$125</f>
        <v>Grating</v>
      </c>
      <c r="J128" s="258" t="s">
        <v>4642</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ollapsed="1" thickBot="1">
      <c r="A129" s="294" t="s">
        <v>4738</v>
      </c>
      <c r="B129" s="294" t="s">
        <v>4738</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hidden="1" customHeight="1">
      <c r="A130" s="266" t="b">
        <v>0</v>
      </c>
      <c r="B130" s="266" t="b">
        <f>IF(A130=TRUE, TRUE, FALSE)</f>
        <v>0</v>
      </c>
      <c r="C130" s="171"/>
      <c r="D130" s="217" t="s">
        <v>4833</v>
      </c>
      <c r="E130" s="209"/>
      <c r="F130" s="207"/>
      <c r="G130" s="207"/>
      <c r="H130" s="207"/>
      <c r="I130" s="208"/>
      <c r="J130" s="209"/>
      <c r="K130" s="210"/>
      <c r="L130" s="211"/>
      <c r="M130" s="207"/>
      <c r="N130" s="207"/>
      <c r="O130" s="212"/>
      <c r="P130" s="207"/>
      <c r="Q130" s="213"/>
      <c r="R130" s="9"/>
    </row>
    <row r="131" spans="1:18" ht="30" hidden="1" customHeight="1" outlineLevel="1">
      <c r="A131" s="267"/>
      <c r="B131" s="261" t="b">
        <v>0</v>
      </c>
      <c r="C131" s="172"/>
      <c r="D131" s="184"/>
      <c r="E131" s="220" t="s">
        <v>4187</v>
      </c>
      <c r="F131" s="71" t="s">
        <v>4187</v>
      </c>
      <c r="G131" s="71" t="s">
        <v>4187</v>
      </c>
      <c r="H131" s="71" t="s">
        <v>4187</v>
      </c>
      <c r="I131" s="187" t="str">
        <f>$I$129</f>
        <v>Check Plate</v>
      </c>
      <c r="J131" s="257" t="s">
        <v>4644</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hidden="1" customHeight="1" outlineLevel="1" thickBot="1">
      <c r="A132" s="267"/>
      <c r="B132" s="261" t="b">
        <v>0</v>
      </c>
      <c r="C132" s="172"/>
      <c r="D132" s="184"/>
      <c r="E132" s="220" t="s">
        <v>4187</v>
      </c>
      <c r="F132" s="71" t="s">
        <v>4187</v>
      </c>
      <c r="G132" s="71" t="s">
        <v>4187</v>
      </c>
      <c r="H132" s="71" t="s">
        <v>4187</v>
      </c>
      <c r="I132" s="187" t="str">
        <f>$I$129</f>
        <v>Check Plate</v>
      </c>
      <c r="J132" s="257" t="s">
        <v>4645</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collapsed="1" thickBot="1">
      <c r="A133" s="294" t="s">
        <v>4738</v>
      </c>
      <c r="B133" s="294" t="s">
        <v>4738</v>
      </c>
      <c r="C133" s="7" t="s">
        <v>3</v>
      </c>
      <c r="D133" s="8"/>
      <c r="E133" s="191"/>
      <c r="F133" s="191"/>
      <c r="G133" s="191"/>
      <c r="H133" s="191"/>
      <c r="I133" s="169"/>
      <c r="J133" s="169"/>
      <c r="K133" s="138"/>
      <c r="L133" s="8"/>
      <c r="M133" s="8"/>
      <c r="N133" s="8"/>
      <c r="O133" s="126"/>
      <c r="P133" s="130"/>
      <c r="Q133" s="134"/>
      <c r="R133" s="9"/>
    </row>
    <row r="134" spans="1:18" ht="30" customHeight="1">
      <c r="A134" s="294" t="s">
        <v>4738</v>
      </c>
      <c r="B134" s="294" t="s">
        <v>4738</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hidden="1" customHeight="1">
      <c r="A135" s="266" t="b">
        <v>0</v>
      </c>
      <c r="B135" s="266" t="b">
        <f>IF(A135=TRUE, TRUE, FALSE)</f>
        <v>0</v>
      </c>
      <c r="C135" s="171"/>
      <c r="D135" s="217" t="s">
        <v>4499</v>
      </c>
      <c r="E135" s="209"/>
      <c r="F135" s="207"/>
      <c r="G135" s="207"/>
      <c r="H135" s="207"/>
      <c r="I135" s="208"/>
      <c r="J135" s="209"/>
      <c r="K135" s="210"/>
      <c r="L135" s="211"/>
      <c r="M135" s="207"/>
      <c r="N135" s="207"/>
      <c r="O135" s="212"/>
      <c r="P135" s="207"/>
      <c r="Q135" s="213"/>
      <c r="R135" s="9"/>
    </row>
    <row r="136" spans="1:18" ht="30" customHeight="1" outlineLevel="1">
      <c r="A136" s="267"/>
      <c r="B136" s="261" t="b">
        <v>1</v>
      </c>
      <c r="C136" s="172"/>
      <c r="D136" s="184"/>
      <c r="E136" s="220" t="s">
        <v>4187</v>
      </c>
      <c r="F136" s="71" t="s">
        <v>4187</v>
      </c>
      <c r="G136" s="71" t="s">
        <v>4187</v>
      </c>
      <c r="H136" s="71" t="s">
        <v>4187</v>
      </c>
      <c r="I136" s="187" t="str">
        <f>$I$134</f>
        <v>Sandwich Panel</v>
      </c>
      <c r="J136" s="257" t="s">
        <v>4648</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4738</v>
      </c>
      <c r="B137" s="294" t="s">
        <v>4738</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hidden="1" customHeight="1">
      <c r="A138" s="266" t="b">
        <v>0</v>
      </c>
      <c r="B138" s="266" t="b">
        <f>IF(A138=TRUE, TRUE, FALSE)</f>
        <v>0</v>
      </c>
      <c r="C138" s="171"/>
      <c r="D138" s="217" t="s">
        <v>4500</v>
      </c>
      <c r="E138" s="209"/>
      <c r="F138" s="207"/>
      <c r="G138" s="207"/>
      <c r="H138" s="207"/>
      <c r="I138" s="208"/>
      <c r="J138" s="209"/>
      <c r="K138" s="210"/>
      <c r="L138" s="211"/>
      <c r="M138" s="207"/>
      <c r="N138" s="207"/>
      <c r="O138" s="212"/>
      <c r="P138" s="207"/>
      <c r="Q138" s="213"/>
      <c r="R138" s="9"/>
    </row>
    <row r="139" spans="1:18" ht="30" hidden="1" customHeight="1" outlineLevel="1">
      <c r="A139" s="267"/>
      <c r="B139" s="261" t="b">
        <v>0</v>
      </c>
      <c r="C139" s="172"/>
      <c r="D139" s="184"/>
      <c r="E139" s="220" t="s">
        <v>4187</v>
      </c>
      <c r="F139" s="71" t="s">
        <v>4187</v>
      </c>
      <c r="G139" s="71" t="s">
        <v>4187</v>
      </c>
      <c r="H139" s="71" t="s">
        <v>4187</v>
      </c>
      <c r="I139" s="187" t="str">
        <f>$I$137</f>
        <v>Single Sheet</v>
      </c>
      <c r="J139" s="257" t="s">
        <v>4653</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ollapsed="1">
      <c r="A140" s="294" t="s">
        <v>4738</v>
      </c>
      <c r="B140" s="294" t="s">
        <v>4738</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4501</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5001</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4995</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4617</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4929</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c r="P146" s="124" t="str" cm="1">
        <f t="array" ref="P146">INDEX('3.S Family'!$L$1:$AH$200,MIN(IF(('3.S Family'!$L$1:$L$200=$P$140),ROW('3.S Family'!$L$1:$L$200))),MATCH($J146,'3.S Family'!$13:$13,0)-11)</f>
        <v>=A</v>
      </c>
      <c r="Q146" s="133"/>
      <c r="R146" s="9"/>
    </row>
    <row r="147" spans="1:18" ht="30" hidden="1" customHeight="1" outlineLevel="1">
      <c r="A147" s="267"/>
      <c r="B147" s="261" t="b">
        <v>0</v>
      </c>
      <c r="C147" s="172"/>
      <c r="D147" s="184"/>
      <c r="E147" s="220" t="s">
        <v>4187</v>
      </c>
      <c r="F147" s="71" t="str">
        <f t="shared" si="19"/>
        <v>ROOF</v>
      </c>
      <c r="G147" s="71" t="s">
        <v>4187</v>
      </c>
      <c r="H147" s="71" t="s">
        <v>4187</v>
      </c>
      <c r="I147" s="179"/>
      <c r="J147" s="175" t="s">
        <v>5002</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hidden="1" customHeight="1" outlineLevel="1">
      <c r="A148" s="267"/>
      <c r="B148" s="261" t="b">
        <v>0</v>
      </c>
      <c r="C148" s="173"/>
      <c r="D148" s="216"/>
      <c r="E148" s="220" t="s">
        <v>4187</v>
      </c>
      <c r="F148" s="71" t="str">
        <f t="shared" si="19"/>
        <v>ROOF</v>
      </c>
      <c r="G148" s="71" t="s">
        <v>4187</v>
      </c>
      <c r="H148" s="71" t="s">
        <v>4187</v>
      </c>
      <c r="I148" s="179"/>
      <c r="J148" s="175" t="s">
        <v>5003</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4738</v>
      </c>
      <c r="B149" s="294" t="s">
        <v>4738</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hidden="1" customHeight="1">
      <c r="A150" s="266" t="b">
        <v>0</v>
      </c>
      <c r="B150" s="266" t="b">
        <f>IF(A150=TRUE, TRUE, FALSE)</f>
        <v>0</v>
      </c>
      <c r="C150" s="171"/>
      <c r="D150" s="217" t="s">
        <v>4497</v>
      </c>
      <c r="E150" s="209"/>
      <c r="F150" s="207"/>
      <c r="G150" s="207"/>
      <c r="H150" s="207"/>
      <c r="I150" s="208"/>
      <c r="J150" s="209"/>
      <c r="K150" s="210"/>
      <c r="L150" s="211"/>
      <c r="M150" s="207"/>
      <c r="N150" s="207"/>
      <c r="O150" s="212"/>
      <c r="P150" s="207"/>
      <c r="Q150" s="213"/>
      <c r="R150" s="9"/>
    </row>
    <row r="151" spans="1:18" ht="30" customHeight="1" outlineLevel="1" thickBot="1">
      <c r="A151" s="267"/>
      <c r="B151" s="261" t="b">
        <v>1</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4738</v>
      </c>
      <c r="B152" s="294" t="s">
        <v>4738</v>
      </c>
      <c r="C152" s="7" t="s">
        <v>5</v>
      </c>
      <c r="D152" s="8"/>
      <c r="E152" s="191"/>
      <c r="F152" s="191"/>
      <c r="G152" s="191"/>
      <c r="H152" s="191"/>
      <c r="I152" s="169"/>
      <c r="J152" s="8"/>
      <c r="K152" s="138"/>
      <c r="L152" s="8"/>
      <c r="M152" s="8"/>
      <c r="N152" s="8"/>
      <c r="O152" s="126"/>
      <c r="P152" s="130"/>
      <c r="Q152" s="134"/>
      <c r="R152" s="9"/>
    </row>
    <row r="153" spans="1:18" ht="30" customHeight="1">
      <c r="A153" s="294" t="s">
        <v>4738</v>
      </c>
      <c r="B153" s="294" t="s">
        <v>4738</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4738</v>
      </c>
      <c r="B154" s="294" t="s">
        <v>4738</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hidden="1" customHeight="1">
      <c r="A155" s="266" t="b">
        <v>0</v>
      </c>
      <c r="B155" s="266" t="b">
        <f>IF(A155=TRUE, TRUE, FALSE)</f>
        <v>0</v>
      </c>
      <c r="C155" s="171"/>
      <c r="D155" s="217" t="s">
        <v>4503</v>
      </c>
      <c r="E155" s="209"/>
      <c r="F155" s="207"/>
      <c r="G155" s="207"/>
      <c r="H155" s="207"/>
      <c r="I155" s="208"/>
      <c r="J155" s="209"/>
      <c r="K155" s="210"/>
      <c r="L155" s="211"/>
      <c r="M155" s="207"/>
      <c r="N155" s="207"/>
      <c r="O155" s="212"/>
      <c r="P155" s="207"/>
      <c r="Q155" s="213"/>
      <c r="R155" s="9"/>
    </row>
    <row r="156" spans="1:18" ht="38.25" hidden="1" outlineLevel="1">
      <c r="A156" s="267"/>
      <c r="B156" s="261" t="b">
        <v>0</v>
      </c>
      <c r="C156" s="172"/>
      <c r="D156" s="184"/>
      <c r="E156" s="220" t="s">
        <v>96</v>
      </c>
      <c r="F156" s="71" t="str">
        <f>$F$154</f>
        <v>EW-DIM</v>
      </c>
      <c r="G156" s="71" t="s">
        <v>96</v>
      </c>
      <c r="H156" s="71" t="s">
        <v>96</v>
      </c>
      <c r="I156" s="179"/>
      <c r="J156" s="175" t="s">
        <v>4916</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hidden="1"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hidden="1" customHeight="1" outlineLevel="1">
      <c r="A158" s="267"/>
      <c r="B158" s="261" t="b">
        <v>0</v>
      </c>
      <c r="C158" s="172"/>
      <c r="D158" s="184"/>
      <c r="E158" s="220" t="s">
        <v>96</v>
      </c>
      <c r="F158" s="71" t="str">
        <f>$F$154</f>
        <v>EW-DIM</v>
      </c>
      <c r="G158" s="71" t="s">
        <v>96</v>
      </c>
      <c r="H158" s="71" t="s">
        <v>96</v>
      </c>
      <c r="I158" s="179"/>
      <c r="J158" s="175" t="s">
        <v>4917</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hidden="1" customHeight="1" outlineLevel="1">
      <c r="A159" s="267"/>
      <c r="B159" s="261" t="b">
        <v>0</v>
      </c>
      <c r="C159" s="173"/>
      <c r="D159" s="185"/>
      <c r="E159" s="220" t="s">
        <v>4187</v>
      </c>
      <c r="F159" s="71" t="s">
        <v>4187</v>
      </c>
      <c r="G159" s="71" t="s">
        <v>4187</v>
      </c>
      <c r="H159" s="71" t="s">
        <v>4187</v>
      </c>
      <c r="I159" s="187" t="str">
        <f>$I$160</f>
        <v>Outer Plaster</v>
      </c>
      <c r="J159" s="257" t="s">
        <v>4658</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ollapsed="1">
      <c r="A160" s="294" t="s">
        <v>4738</v>
      </c>
      <c r="B160" s="294" t="s">
        <v>4738</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hidden="1" customHeight="1">
      <c r="A161" s="266" t="b">
        <v>0</v>
      </c>
      <c r="B161" s="266" t="b">
        <f>IF(A161=TRUE, TRUE, FALSE)</f>
        <v>0</v>
      </c>
      <c r="C161" s="171"/>
      <c r="D161" s="217" t="s">
        <v>4504</v>
      </c>
      <c r="E161" s="209"/>
      <c r="F161" s="207"/>
      <c r="G161" s="207"/>
      <c r="H161" s="207"/>
      <c r="I161" s="208"/>
      <c r="J161" s="209"/>
      <c r="K161" s="210"/>
      <c r="L161" s="211"/>
      <c r="M161" s="207"/>
      <c r="N161" s="207"/>
      <c r="O161" s="212"/>
      <c r="P161" s="207"/>
      <c r="Q161" s="213"/>
      <c r="R161" s="9"/>
    </row>
    <row r="162" spans="1:18" ht="25.5" hidden="1"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hidden="1"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hidden="1"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hidden="1" customHeight="1" outlineLevel="1">
      <c r="A165" s="267"/>
      <c r="B165" s="261" t="b">
        <v>0</v>
      </c>
      <c r="C165" s="173"/>
      <c r="D165" s="185"/>
      <c r="E165" s="220" t="s">
        <v>4187</v>
      </c>
      <c r="F165" s="71" t="s">
        <v>4187</v>
      </c>
      <c r="G165" s="71" t="s">
        <v>4187</v>
      </c>
      <c r="H165" s="71" t="s">
        <v>4187</v>
      </c>
      <c r="I165" s="187" t="str">
        <f>$I$160</f>
        <v>Outer Plaster</v>
      </c>
      <c r="J165" s="257" t="s">
        <v>4658</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ollapsed="1">
      <c r="A166" s="294" t="s">
        <v>4738</v>
      </c>
      <c r="B166" s="294" t="s">
        <v>4738</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hidden="1" customHeight="1">
      <c r="A167" s="266" t="b">
        <v>0</v>
      </c>
      <c r="B167" s="266" t="b">
        <f>IF(A167=TRUE, TRUE, FALSE)</f>
        <v>0</v>
      </c>
      <c r="C167" s="171"/>
      <c r="D167" s="217" t="s">
        <v>4506</v>
      </c>
      <c r="E167" s="209"/>
      <c r="F167" s="207"/>
      <c r="G167" s="207"/>
      <c r="H167" s="207"/>
      <c r="I167" s="208"/>
      <c r="J167" s="209"/>
      <c r="K167" s="210"/>
      <c r="L167" s="211"/>
      <c r="M167" s="207"/>
      <c r="N167" s="207"/>
      <c r="O167" s="212"/>
      <c r="P167" s="207"/>
      <c r="Q167" s="213"/>
      <c r="R167" s="9"/>
    </row>
    <row r="168" spans="1:18" ht="30" hidden="1"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hidden="1"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ollapsed="1">
      <c r="A170" s="294" t="s">
        <v>4738</v>
      </c>
      <c r="B170" s="294" t="s">
        <v>4738</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4738</v>
      </c>
      <c r="B171" s="294" t="s">
        <v>4738</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4507</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c r="P175" s="124" t="str" cm="1">
        <f t="array" ref="P175">INDEX('3.S Family'!$L$1:$AH$200,MIN(IF(('3.S Family'!$L$1:$L$200=$P$171),ROW('3.S Family'!$L$1:$L$200))),MATCH($J175,'3.S Family'!$18:$18,0)-11)</f>
        <v>=V*RE</v>
      </c>
      <c r="Q175" s="133"/>
      <c r="R175" s="9"/>
    </row>
    <row r="176" spans="1:18" ht="30" customHeight="1">
      <c r="A176" s="294" t="s">
        <v>4738</v>
      </c>
      <c r="B176" s="294" t="s">
        <v>4738</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hidden="1" customHeight="1">
      <c r="A177" s="266" t="b">
        <v>0</v>
      </c>
      <c r="B177" s="266" t="b">
        <f>IF(A177=TRUE, TRUE, FALSE)</f>
        <v>0</v>
      </c>
      <c r="C177" s="171"/>
      <c r="D177" s="217" t="s">
        <v>4508</v>
      </c>
      <c r="E177" s="209"/>
      <c r="F177" s="207"/>
      <c r="G177" s="207"/>
      <c r="H177" s="207"/>
      <c r="I177" s="208"/>
      <c r="J177" s="209"/>
      <c r="K177" s="210"/>
      <c r="L177" s="211"/>
      <c r="M177" s="207"/>
      <c r="N177" s="207"/>
      <c r="O177" s="212"/>
      <c r="P177" s="207"/>
      <c r="Q177" s="213"/>
      <c r="R177" s="9"/>
    </row>
    <row r="178" spans="1:18" ht="30" hidden="1" customHeight="1" outlineLevel="1">
      <c r="A178" s="267"/>
      <c r="B178" s="261" t="b">
        <v>0</v>
      </c>
      <c r="C178" s="172"/>
      <c r="D178" s="184"/>
      <c r="E178" s="220" t="str">
        <f>$E$176</f>
        <v>RC-UG</v>
      </c>
      <c r="F178" s="71" t="s">
        <v>96</v>
      </c>
      <c r="G178" s="71" t="s">
        <v>96</v>
      </c>
      <c r="H178" s="71" t="s">
        <v>96</v>
      </c>
      <c r="I178" s="179"/>
      <c r="J178" s="175" t="s">
        <v>4921</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hidden="1" customHeight="1" outlineLevel="1">
      <c r="A179" s="267"/>
      <c r="B179" s="261" t="b">
        <v>0</v>
      </c>
      <c r="C179" s="172"/>
      <c r="D179" s="184"/>
      <c r="E179" s="220" t="str">
        <f>$E$176</f>
        <v>RC-UG</v>
      </c>
      <c r="F179" s="71" t="s">
        <v>96</v>
      </c>
      <c r="G179" s="71" t="s">
        <v>96</v>
      </c>
      <c r="H179" s="71" t="s">
        <v>96</v>
      </c>
      <c r="I179" s="179"/>
      <c r="J179" s="175" t="s">
        <v>4922</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hidden="1" customHeight="1" outlineLevel="1">
      <c r="A180" s="267"/>
      <c r="B180" s="261" t="b">
        <v>0</v>
      </c>
      <c r="C180" s="172"/>
      <c r="D180" s="358"/>
      <c r="E180" s="220" t="str">
        <f>$E$176</f>
        <v>RC-UG</v>
      </c>
      <c r="F180" s="71" t="s">
        <v>96</v>
      </c>
      <c r="G180" s="71" t="s">
        <v>96</v>
      </c>
      <c r="H180" s="71" t="s">
        <v>96</v>
      </c>
      <c r="I180" s="179"/>
      <c r="J180" s="175" t="s">
        <v>4923</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hidden="1" customHeight="1" outlineLevel="1">
      <c r="A181" s="267"/>
      <c r="B181" s="261" t="b">
        <v>0</v>
      </c>
      <c r="C181" s="172"/>
      <c r="D181" s="358"/>
      <c r="E181" s="220" t="str">
        <f>$E$176</f>
        <v>RC-UG</v>
      </c>
      <c r="F181" s="71" t="s">
        <v>96</v>
      </c>
      <c r="G181" s="71" t="s">
        <v>96</v>
      </c>
      <c r="H181" s="71" t="s">
        <v>96</v>
      </c>
      <c r="I181" s="179"/>
      <c r="J181" s="175" t="s">
        <v>4924</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hidden="1" customHeight="1" outlineLevel="1">
      <c r="A182" s="267"/>
      <c r="B182" s="261" t="b">
        <v>0</v>
      </c>
      <c r="C182" s="172"/>
      <c r="D182" s="358"/>
      <c r="E182" s="71" t="s">
        <v>96</v>
      </c>
      <c r="F182" s="71" t="str">
        <f>F176</f>
        <v>UG-PT</v>
      </c>
      <c r="G182" s="71" t="s">
        <v>96</v>
      </c>
      <c r="H182" s="71" t="s">
        <v>96</v>
      </c>
      <c r="I182" s="179"/>
      <c r="J182" s="175" t="s">
        <v>4918</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hidden="1" customHeight="1" outlineLevel="1">
      <c r="A183" s="267"/>
      <c r="B183" s="261" t="b">
        <v>0</v>
      </c>
      <c r="C183" s="172"/>
      <c r="D183" s="358"/>
      <c r="E183" s="71" t="s">
        <v>96</v>
      </c>
      <c r="F183" s="71" t="str">
        <f>F176</f>
        <v>UG-PT</v>
      </c>
      <c r="G183" s="71" t="s">
        <v>96</v>
      </c>
      <c r="H183" s="71" t="s">
        <v>96</v>
      </c>
      <c r="I183" s="179"/>
      <c r="J183" s="175" t="s">
        <v>4919</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hidden="1" customHeight="1" outlineLevel="1">
      <c r="A184" s="267"/>
      <c r="B184" s="261" t="b">
        <v>0</v>
      </c>
      <c r="C184" s="173"/>
      <c r="D184" s="185"/>
      <c r="E184" s="71" t="s">
        <v>96</v>
      </c>
      <c r="F184" s="71" t="str">
        <f>F176</f>
        <v>UG-PT</v>
      </c>
      <c r="G184" s="71" t="s">
        <v>96</v>
      </c>
      <c r="H184" s="71" t="s">
        <v>96</v>
      </c>
      <c r="I184" s="179"/>
      <c r="J184" s="175" t="s">
        <v>4920</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ollapsed="1">
      <c r="A185" s="294" t="s">
        <v>4738</v>
      </c>
      <c r="B185" s="294" t="s">
        <v>4738</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hidden="1" customHeight="1">
      <c r="A186" s="266" t="b">
        <v>0</v>
      </c>
      <c r="B186" s="266" t="b">
        <f>IF(A186=TRUE, TRUE, FALSE)</f>
        <v>0</v>
      </c>
      <c r="C186" s="171"/>
      <c r="D186" s="217" t="s">
        <v>4660</v>
      </c>
      <c r="E186" s="209"/>
      <c r="F186" s="207"/>
      <c r="G186" s="207"/>
      <c r="H186" s="207"/>
      <c r="I186" s="208"/>
      <c r="J186" s="209"/>
      <c r="K186" s="210"/>
      <c r="L186" s="211"/>
      <c r="M186" s="207"/>
      <c r="N186" s="207"/>
      <c r="O186" s="212"/>
      <c r="P186" s="207"/>
      <c r="Q186" s="213"/>
      <c r="R186" s="9"/>
    </row>
    <row r="187" spans="1:18" ht="30" hidden="1" customHeight="1" outlineLevel="1">
      <c r="A187" s="267"/>
      <c r="B187" s="261" t="b">
        <v>0</v>
      </c>
      <c r="C187" s="172"/>
      <c r="D187" s="358"/>
      <c r="E187" s="220" t="s">
        <v>96</v>
      </c>
      <c r="F187" s="71" t="str">
        <f>$F$185</f>
        <v>-</v>
      </c>
      <c r="G187" s="71" t="s">
        <v>4187</v>
      </c>
      <c r="H187" s="71" t="s">
        <v>4187</v>
      </c>
      <c r="I187" s="179" t="s">
        <v>4196</v>
      </c>
      <c r="J187" s="258" t="s">
        <v>5006</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hidden="1" customHeight="1" outlineLevel="1">
      <c r="A188" s="267"/>
      <c r="B188" s="261" t="b">
        <v>0</v>
      </c>
      <c r="C188" s="173"/>
      <c r="D188" s="185"/>
      <c r="E188" s="220" t="s">
        <v>4187</v>
      </c>
      <c r="F188" s="71" t="s">
        <v>4187</v>
      </c>
      <c r="G188" s="71" t="s">
        <v>4187</v>
      </c>
      <c r="H188" s="71" t="s">
        <v>4187</v>
      </c>
      <c r="I188" s="187" t="s">
        <v>4658</v>
      </c>
      <c r="J188" s="257" t="s">
        <v>4658</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ollapsed="1">
      <c r="A189" s="294" t="s">
        <v>4738</v>
      </c>
      <c r="B189" s="294" t="s">
        <v>4738</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hidden="1" customHeight="1">
      <c r="A190" s="266" t="b">
        <v>0</v>
      </c>
      <c r="B190" s="266" t="b">
        <f>IF(A190=TRUE, TRUE, FALSE)</f>
        <v>0</v>
      </c>
      <c r="C190" s="171"/>
      <c r="D190" s="217" t="s">
        <v>4502</v>
      </c>
      <c r="E190" s="209"/>
      <c r="F190" s="207"/>
      <c r="G190" s="207"/>
      <c r="H190" s="207"/>
      <c r="I190" s="208"/>
      <c r="J190" s="209"/>
      <c r="K190" s="210"/>
      <c r="L190" s="211"/>
      <c r="M190" s="207"/>
      <c r="N190" s="207"/>
      <c r="O190" s="212"/>
      <c r="P190" s="207"/>
      <c r="Q190" s="213"/>
      <c r="R190" s="9"/>
    </row>
    <row r="191" spans="1:18" ht="30" hidden="1" customHeight="1" outlineLevel="1">
      <c r="A191" s="267"/>
      <c r="B191" s="261" t="b">
        <v>0</v>
      </c>
      <c r="C191" s="172"/>
      <c r="D191" s="184"/>
      <c r="E191" s="220" t="s">
        <v>4187</v>
      </c>
      <c r="F191" s="71" t="s">
        <v>4187</v>
      </c>
      <c r="G191" s="71" t="s">
        <v>4187</v>
      </c>
      <c r="H191" s="71" t="s">
        <v>4187</v>
      </c>
      <c r="I191" s="179" t="s">
        <v>4926</v>
      </c>
      <c r="J191" s="258" t="s">
        <v>4926</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ollapsed="1">
      <c r="A192" s="266" t="b">
        <v>1</v>
      </c>
      <c r="B192" s="266" t="b">
        <f>IF(A192=TRUE, TRUE, FALSE)</f>
        <v>1</v>
      </c>
      <c r="C192" s="171"/>
      <c r="D192" s="217" t="s">
        <v>4927</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4926</v>
      </c>
      <c r="J193" s="258" t="s">
        <v>4926</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c r="P194" s="124" t="str" cm="1">
        <f t="array" ref="P194">INDEX('3.S Family'!$L$1:$AH$200,MIN(IF(('3.S Family'!$L$1:$L$200=$P$189),ROW('3.S Family'!$L$1:$L$200))),MATCH($I194,'3.S Family'!$18:$18,0)-11)</f>
        <v>=A</v>
      </c>
      <c r="Q194" s="133"/>
      <c r="R194" s="9"/>
    </row>
    <row r="195" spans="1:18" ht="30" customHeight="1">
      <c r="A195" s="294" t="s">
        <v>4738</v>
      </c>
      <c r="B195" s="294" t="s">
        <v>4738</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hidden="1" customHeight="1">
      <c r="A196" s="266" t="b">
        <v>0</v>
      </c>
      <c r="B196" s="266" t="b">
        <f>IF(A196=TRUE, TRUE, FALSE)</f>
        <v>0</v>
      </c>
      <c r="C196" s="171"/>
      <c r="D196" s="186" t="s">
        <v>4512</v>
      </c>
      <c r="E196" s="209"/>
      <c r="F196" s="207"/>
      <c r="G196" s="207"/>
      <c r="H196" s="207"/>
      <c r="I196" s="208"/>
      <c r="J196" s="209"/>
      <c r="K196" s="210"/>
      <c r="L196" s="211"/>
      <c r="M196" s="207"/>
      <c r="N196" s="207"/>
      <c r="O196" s="212"/>
      <c r="P196" s="207"/>
      <c r="Q196" s="213"/>
      <c r="R196" s="9"/>
    </row>
    <row r="197" spans="1:18" ht="30" hidden="1" customHeight="1" outlineLevel="1">
      <c r="A197" s="267"/>
      <c r="B197" s="261" t="b">
        <v>0</v>
      </c>
      <c r="C197" s="173"/>
      <c r="D197" s="186"/>
      <c r="E197" s="220" t="s">
        <v>4187</v>
      </c>
      <c r="F197" s="71" t="s">
        <v>4187</v>
      </c>
      <c r="G197" s="71" t="s">
        <v>4187</v>
      </c>
      <c r="H197" s="71" t="s">
        <v>4187</v>
      </c>
      <c r="I197" s="187" t="s">
        <v>4668</v>
      </c>
      <c r="J197" s="257" t="s">
        <v>4668</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ollapsed="1">
      <c r="A198" s="294" t="s">
        <v>4738</v>
      </c>
      <c r="B198" s="294" t="s">
        <v>4738</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hidden="1" customHeight="1">
      <c r="A199" s="266" t="b">
        <v>0</v>
      </c>
      <c r="B199" s="266" t="b">
        <f>IF(A199=TRUE, TRUE, FALSE)</f>
        <v>0</v>
      </c>
      <c r="C199" s="171"/>
      <c r="D199" s="186" t="s">
        <v>4513</v>
      </c>
      <c r="E199" s="209"/>
      <c r="F199" s="207"/>
      <c r="G199" s="207"/>
      <c r="H199" s="207"/>
      <c r="I199" s="208"/>
      <c r="J199" s="209"/>
      <c r="K199" s="210"/>
      <c r="L199" s="211"/>
      <c r="M199" s="207"/>
      <c r="N199" s="207"/>
      <c r="O199" s="212"/>
      <c r="P199" s="207"/>
      <c r="Q199" s="213"/>
      <c r="R199" s="9"/>
    </row>
    <row r="200" spans="1:18" ht="30" hidden="1" customHeight="1" outlineLevel="1">
      <c r="A200" s="267"/>
      <c r="B200" s="261" t="b">
        <v>0</v>
      </c>
      <c r="C200" s="173"/>
      <c r="D200" s="186"/>
      <c r="E200" s="220" t="s">
        <v>4187</v>
      </c>
      <c r="F200" s="71" t="s">
        <v>4187</v>
      </c>
      <c r="G200" s="71" t="s">
        <v>4187</v>
      </c>
      <c r="H200" s="71" t="s">
        <v>4187</v>
      </c>
      <c r="I200" s="187" t="s">
        <v>35</v>
      </c>
      <c r="J200" s="257" t="s">
        <v>4651</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ollapsed="1" thickBot="1">
      <c r="A201" s="294" t="s">
        <v>4738</v>
      </c>
      <c r="B201" s="294" t="s">
        <v>4738</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hidden="1" customHeight="1">
      <c r="A202" s="266" t="b">
        <v>0</v>
      </c>
      <c r="B202" s="266" t="b">
        <f>IF(A202=TRUE, TRUE, FALSE)</f>
        <v>0</v>
      </c>
      <c r="C202" s="171"/>
      <c r="D202" s="186" t="s">
        <v>4514</v>
      </c>
      <c r="E202" s="209"/>
      <c r="F202" s="207"/>
      <c r="G202" s="207"/>
      <c r="H202" s="207"/>
      <c r="I202" s="208"/>
      <c r="J202" s="209"/>
      <c r="K202" s="210"/>
      <c r="L202" s="211"/>
      <c r="M202" s="207"/>
      <c r="N202" s="207"/>
      <c r="O202" s="212"/>
      <c r="P202" s="207"/>
      <c r="Q202" s="213"/>
      <c r="R202" s="9"/>
    </row>
    <row r="203" spans="1:18" ht="30" hidden="1" customHeight="1" outlineLevel="1" thickBot="1">
      <c r="A203" s="267"/>
      <c r="B203" s="261" t="b">
        <v>0</v>
      </c>
      <c r="C203" s="173"/>
      <c r="D203" s="186"/>
      <c r="E203" s="220" t="s">
        <v>4187</v>
      </c>
      <c r="F203" s="71" t="s">
        <v>4187</v>
      </c>
      <c r="G203" s="71" t="s">
        <v>4187</v>
      </c>
      <c r="H203" s="71" t="s">
        <v>4187</v>
      </c>
      <c r="I203" s="187" t="s">
        <v>4652</v>
      </c>
      <c r="J203" s="257" t="s">
        <v>4654</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collapsed="1" thickBot="1">
      <c r="A204" s="294" t="s">
        <v>4738</v>
      </c>
      <c r="B204" s="294" t="s">
        <v>4738</v>
      </c>
      <c r="C204" s="7" t="s">
        <v>4479</v>
      </c>
      <c r="D204" s="8"/>
      <c r="E204" s="191"/>
      <c r="F204" s="191"/>
      <c r="G204" s="191"/>
      <c r="H204" s="191"/>
      <c r="I204" s="169"/>
      <c r="J204" s="8"/>
      <c r="K204" s="138"/>
      <c r="L204" s="8"/>
      <c r="M204" s="8"/>
      <c r="N204" s="8"/>
      <c r="O204" s="126"/>
      <c r="P204" s="130"/>
      <c r="Q204" s="134"/>
      <c r="R204" s="9"/>
    </row>
    <row r="205" spans="1:18" ht="30" customHeight="1">
      <c r="A205" s="294" t="s">
        <v>4738</v>
      </c>
      <c r="B205" s="294" t="s">
        <v>4738</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4515</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4670</v>
      </c>
      <c r="J207" s="258" t="s">
        <v>4670</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4738</v>
      </c>
      <c r="B208" s="294" t="s">
        <v>4738</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hidden="1" customHeight="1">
      <c r="A209" s="266" t="b">
        <v>0</v>
      </c>
      <c r="B209" s="266" t="b">
        <f>IF(A209=TRUE, TRUE, FALSE)</f>
        <v>0</v>
      </c>
      <c r="C209" s="171"/>
      <c r="D209" s="217" t="s">
        <v>4516</v>
      </c>
      <c r="E209" s="209"/>
      <c r="F209" s="207"/>
      <c r="G209" s="207"/>
      <c r="H209" s="207"/>
      <c r="I209" s="208"/>
      <c r="J209" s="209"/>
      <c r="K209" s="210"/>
      <c r="L209" s="211"/>
      <c r="M209" s="207"/>
      <c r="N209" s="207"/>
      <c r="O209" s="212"/>
      <c r="P209" s="207"/>
      <c r="Q209" s="213"/>
      <c r="R209" s="9"/>
    </row>
    <row r="210" spans="1:18" ht="40.15" hidden="1"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hidden="1"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hidden="1"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ollapsed="1">
      <c r="A213" s="294" t="s">
        <v>4738</v>
      </c>
      <c r="B213" s="294" t="s">
        <v>4738</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5008</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5006</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5009</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5007</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thickBot="1">
      <c r="A218" s="294" t="s">
        <v>4738</v>
      </c>
      <c r="B218" s="294" t="s">
        <v>4738</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hidden="1" customHeight="1">
      <c r="A219" s="266" t="b">
        <v>0</v>
      </c>
      <c r="B219" s="266" t="b">
        <f>IF(A219=TRUE, TRUE, FALSE)</f>
        <v>0</v>
      </c>
      <c r="C219" s="171"/>
      <c r="D219" s="217" t="s">
        <v>4517</v>
      </c>
      <c r="E219" s="209"/>
      <c r="F219" s="207"/>
      <c r="G219" s="207"/>
      <c r="H219" s="207"/>
      <c r="I219" s="208"/>
      <c r="J219" s="209"/>
      <c r="K219" s="210"/>
      <c r="L219" s="211"/>
      <c r="M219" s="207"/>
      <c r="N219" s="207"/>
      <c r="O219" s="212"/>
      <c r="P219" s="207"/>
      <c r="Q219" s="213"/>
      <c r="R219" s="9"/>
    </row>
    <row r="220" spans="1:18" ht="30" hidden="1"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hidden="1"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hidden="1"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collapsed="1" thickBot="1">
      <c r="A223" s="294" t="s">
        <v>4738</v>
      </c>
      <c r="B223" s="294" t="s">
        <v>4738</v>
      </c>
      <c r="C223" s="7" t="s">
        <v>4480</v>
      </c>
      <c r="D223" s="8"/>
      <c r="E223" s="191"/>
      <c r="F223" s="192"/>
      <c r="G223" s="192"/>
      <c r="H223" s="192"/>
      <c r="I223" s="106"/>
      <c r="J223" s="106"/>
      <c r="K223" s="138"/>
      <c r="L223" s="8"/>
      <c r="M223" s="8"/>
      <c r="N223" s="8"/>
      <c r="O223" s="126"/>
      <c r="P223" s="130"/>
      <c r="Q223" s="134"/>
      <c r="R223" s="9"/>
    </row>
    <row r="224" spans="1:18" ht="30" customHeight="1">
      <c r="A224" s="294" t="s">
        <v>4738</v>
      </c>
      <c r="B224" s="294" t="s">
        <v>4738</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hidden="1" customHeight="1">
      <c r="A225" s="266" t="b">
        <v>0</v>
      </c>
      <c r="B225" s="266" t="b">
        <f>IF(A225=TRUE, TRUE, FALSE)</f>
        <v>0</v>
      </c>
      <c r="C225" s="171"/>
      <c r="D225" s="184" t="s">
        <v>4518</v>
      </c>
      <c r="E225" s="209"/>
      <c r="F225" s="207"/>
      <c r="G225" s="207"/>
      <c r="H225" s="207"/>
      <c r="I225" s="208"/>
      <c r="J225" s="209"/>
      <c r="K225" s="210"/>
      <c r="L225" s="211"/>
      <c r="M225" s="207"/>
      <c r="N225" s="207"/>
      <c r="O225" s="212"/>
      <c r="P225" s="207"/>
      <c r="Q225" s="213"/>
      <c r="R225" s="9"/>
    </row>
    <row r="226" spans="1:18" ht="30" hidden="1"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hidden="1"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hidden="1"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hidden="1"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hidden="1"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hidden="1"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hidden="1"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hidden="1"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hidden="1"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hidden="1"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hidden="1"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hidden="1"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hidden="1"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hidden="1"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ollapsed="1">
      <c r="A240" s="294" t="s">
        <v>4738</v>
      </c>
      <c r="B240" s="294" t="s">
        <v>4738</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hidden="1" customHeight="1">
      <c r="A241" s="266" t="b">
        <v>0</v>
      </c>
      <c r="B241" s="266" t="b">
        <f>IF(A241=TRUE, TRUE, FALSE)</f>
        <v>0</v>
      </c>
      <c r="C241" s="171"/>
      <c r="D241" s="184" t="s">
        <v>4547</v>
      </c>
      <c r="E241" s="209"/>
      <c r="F241" s="207"/>
      <c r="G241" s="207"/>
      <c r="H241" s="207"/>
      <c r="I241" s="208"/>
      <c r="J241" s="209"/>
      <c r="K241" s="210"/>
      <c r="L241" s="211"/>
      <c r="M241" s="207"/>
      <c r="N241" s="207"/>
      <c r="O241" s="212"/>
      <c r="P241" s="207"/>
      <c r="Q241" s="213"/>
      <c r="R241" s="9"/>
    </row>
    <row r="242" spans="1:18" ht="30" hidden="1"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hidden="1"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hidden="1"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hidden="1"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hidden="1"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hidden="1"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hidden="1"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hidden="1"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hidden="1"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hidden="1"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hidden="1"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hidden="1"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hidden="1"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hidden="1"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ollapsed="1">
      <c r="A256" s="294" t="s">
        <v>4738</v>
      </c>
      <c r="B256" s="294" t="s">
        <v>4738</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5012</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c r="P261" s="124" cm="1">
        <f t="array" ref="P261">INDEX('3.S Family'!$L$1:$AH$200,MIN(IF(('3.S Family'!$L$1:$L$200=$P$256),ROW('3.S Family'!$L$1:$L$200))),MATCH($J261,'3.S Family'!$36:$36,0)-11)</f>
        <v>0</v>
      </c>
      <c r="Q261" s="133"/>
      <c r="R261" s="9"/>
    </row>
    <row r="262" spans="1:18" ht="30" customHeight="1">
      <c r="A262" s="294" t="s">
        <v>4738</v>
      </c>
      <c r="B262" s="294" t="s">
        <v>4738</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hidden="1" customHeight="1">
      <c r="A263" s="266" t="b">
        <v>0</v>
      </c>
      <c r="B263" s="266" t="b">
        <f>IF(A263=TRUE, TRUE, FALSE)</f>
        <v>0</v>
      </c>
      <c r="C263" s="171"/>
      <c r="D263" s="184" t="s">
        <v>4902</v>
      </c>
      <c r="E263" s="209"/>
      <c r="F263" s="207"/>
      <c r="G263" s="207"/>
      <c r="H263" s="207"/>
      <c r="I263" s="208"/>
      <c r="J263" s="209"/>
      <c r="K263" s="210"/>
      <c r="L263" s="211"/>
      <c r="M263" s="207"/>
      <c r="N263" s="207"/>
      <c r="O263" s="212"/>
      <c r="P263" s="207"/>
      <c r="Q263" s="213"/>
      <c r="R263" s="9"/>
    </row>
    <row r="264" spans="1:18" ht="30" hidden="1"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hidden="1"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hidden="1"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hidden="1"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hidden="1"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hidden="1"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hidden="1"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hidden="1"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hidden="1"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hidden="1"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hidden="1"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hidden="1"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hidden="1"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hidden="1"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hidden="1" customHeight="1" outlineLevel="1">
      <c r="A278" s="267"/>
      <c r="B278" s="261" t="b">
        <v>0</v>
      </c>
      <c r="C278" s="173"/>
      <c r="D278" s="216"/>
      <c r="E278" s="220" t="s">
        <v>4187</v>
      </c>
      <c r="F278" s="71" t="s">
        <v>4187</v>
      </c>
      <c r="G278" s="71" t="s">
        <v>96</v>
      </c>
      <c r="H278" s="71" t="s">
        <v>96</v>
      </c>
      <c r="I278" s="179" t="str">
        <f>$I$262</f>
        <v>PE Sheet</v>
      </c>
      <c r="J278" s="258" t="s">
        <v>4521</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ollapsed="1">
      <c r="A279" s="266" t="b">
        <v>1</v>
      </c>
      <c r="B279" s="266" t="b">
        <f>IF(A279=TRUE, TRUE, FALSE)</f>
        <v>1</v>
      </c>
      <c r="C279" s="171"/>
      <c r="D279" s="184" t="s">
        <v>5018</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4899</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4899</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4899</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4899</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c r="P284" s="124" t="str" cm="1">
        <f t="array" ref="P284">INDEX('3.S Family'!$L$1:$AH$200,MIN(IF(('3.S Family'!$L$1:$L$200=$P$262),ROW('3.S Family'!$L$1:$L$200))),MATCH($J284,'3.S Family'!$36:$36,0)-11)</f>
        <v>=A</v>
      </c>
      <c r="Q284" s="133"/>
      <c r="R284" s="9"/>
    </row>
    <row r="285" spans="1:18" ht="30" hidden="1"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hidden="1"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c r="P287" s="124" t="str" cm="1">
        <f t="array" ref="P287">INDEX('3.S Family'!$L$1:$AH$200,MIN(IF(('3.S Family'!$L$1:$L$200=$P$262),ROW('3.S Family'!$L$1:$L$200))),MATCH($J287,'3.S Family'!$36:$36,0)-11)</f>
        <v>=Exca</v>
      </c>
      <c r="Q287" s="133"/>
      <c r="R287" s="9"/>
    </row>
    <row r="288" spans="1:18" ht="30" hidden="1"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hidden="1"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4521</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c r="P294" s="124" t="str" cm="1">
        <f t="array" ref="P294">INDEX('3.S Family'!$L$1:$AH$200,MIN(IF(('3.S Family'!$L$1:$L$200=$P$262),ROW('3.S Family'!$L$1:$L$200))),MATCH($I294,'3.S Family'!$36:$36,0)-11)</f>
        <v>=A</v>
      </c>
      <c r="Q294" s="133"/>
      <c r="R294" s="9"/>
    </row>
    <row r="295" spans="1:18" ht="30" customHeight="1">
      <c r="A295" s="294" t="s">
        <v>4738</v>
      </c>
      <c r="B295" s="294" t="s">
        <v>4738</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hidden="1" customHeight="1">
      <c r="A296" s="266" t="b">
        <v>0</v>
      </c>
      <c r="B296" s="266" t="b">
        <f>IF(A296=TRUE, TRUE, FALSE)</f>
        <v>0</v>
      </c>
      <c r="C296" s="171"/>
      <c r="D296" s="217" t="s">
        <v>4549</v>
      </c>
      <c r="E296" s="209"/>
      <c r="F296" s="207"/>
      <c r="G296" s="207"/>
      <c r="H296" s="207"/>
      <c r="I296" s="208"/>
      <c r="J296" s="209"/>
      <c r="K296" s="210"/>
      <c r="L296" s="211"/>
      <c r="M296" s="207"/>
      <c r="N296" s="207"/>
      <c r="O296" s="212"/>
      <c r="P296" s="207"/>
      <c r="Q296" s="213"/>
      <c r="R296" s="9"/>
    </row>
    <row r="297" spans="1:18" ht="30" hidden="1"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hidden="1"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hidden="1"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hidden="1"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hidden="1"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hidden="1"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hidden="1"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hidden="1"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hidden="1"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hidden="1"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hidden="1"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hidden="1"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hidden="1"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hidden="1"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hidden="1" customHeight="1" outlineLevel="1">
      <c r="A311" s="267"/>
      <c r="B311" s="261" t="b">
        <v>0</v>
      </c>
      <c r="C311" s="173"/>
      <c r="D311" s="216"/>
      <c r="E311" s="220" t="s">
        <v>4187</v>
      </c>
      <c r="F311" s="71" t="s">
        <v>4187</v>
      </c>
      <c r="G311" s="71" t="s">
        <v>96</v>
      </c>
      <c r="H311" s="71" t="s">
        <v>96</v>
      </c>
      <c r="I311" s="179" t="str">
        <f>$I$295</f>
        <v>Trench Finish</v>
      </c>
      <c r="J311" s="258" t="s">
        <v>4675</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ollapsed="1">
      <c r="A312" s="294" t="s">
        <v>4738</v>
      </c>
      <c r="B312" s="294" t="s">
        <v>4738</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hidden="1" customHeight="1">
      <c r="A313" s="266" t="b">
        <v>0</v>
      </c>
      <c r="B313" s="266" t="b">
        <f>IF(A313=TRUE, TRUE, FALSE)</f>
        <v>0</v>
      </c>
      <c r="C313" s="171"/>
      <c r="D313" s="217" t="s">
        <v>4548</v>
      </c>
      <c r="E313" s="209"/>
      <c r="F313" s="207"/>
      <c r="G313" s="207"/>
      <c r="H313" s="207"/>
      <c r="I313" s="208"/>
      <c r="J313" s="209"/>
      <c r="K313" s="210"/>
      <c r="L313" s="211"/>
      <c r="M313" s="207"/>
      <c r="N313" s="207"/>
      <c r="O313" s="212"/>
      <c r="P313" s="207"/>
      <c r="Q313" s="213"/>
      <c r="R313" s="9"/>
    </row>
    <row r="314" spans="1:18" ht="30" hidden="1"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hidden="1"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hidden="1"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hidden="1"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hidden="1"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hidden="1"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hidden="1"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hidden="1"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hidden="1"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hidden="1"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hidden="1"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hidden="1"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hidden="1"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ollapsed="1">
      <c r="A327" s="294" t="s">
        <v>4738</v>
      </c>
      <c r="B327" s="294" t="s">
        <v>4738</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5015</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c r="P333" s="124" t="str" cm="1">
        <f t="array" ref="P333">INDEX('3.S Family'!$L$1:$AH$200,MIN(IF(('3.S Family'!$L$1:$L$200=$P$327),ROW('3.S Family'!$L$1:$L$200))),MATCH($J333,'3.S Family'!$36:$36,0)-11)</f>
        <v>=2*(W+D)*T+2*(W*D)</v>
      </c>
      <c r="Q333" s="133"/>
      <c r="R333" s="9"/>
    </row>
    <row r="334" spans="1:18" ht="30" hidden="1"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hidden="1"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c r="P336" s="124" t="str" cm="1">
        <f t="array" ref="P336">INDEX('3.S Family'!$L$1:$AH$200,MIN(IF(('3.S Family'!$L$1:$L$200=$P$327),ROW('3.S Family'!$L$1:$L$200))),MATCH($J336,'3.S Family'!$36:$36,0)-11)</f>
        <v>=Exca</v>
      </c>
      <c r="Q336" s="133"/>
      <c r="R336" s="9"/>
    </row>
    <row r="337" spans="1:18" ht="30" hidden="1"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hidden="1"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c r="P342" s="124" t="str" cm="1">
        <f t="array" ref="P342">INDEX('3.S Family'!$L$1:$AH$200,MIN(IF(('3.S Family'!$L$1:$L$200=$P$327),ROW('3.S Family'!$L$1:$L$200))),MATCH($J342,'3.S Family'!$36:$36,0)-11)</f>
        <v>=(W+2*D1)*(D+2*D1)</v>
      </c>
      <c r="Q342" s="133"/>
      <c r="R342" s="9"/>
    </row>
    <row r="343" spans="1:18" ht="30" customHeight="1" thickBot="1">
      <c r="A343" s="294" t="s">
        <v>4738</v>
      </c>
      <c r="B343" s="294" t="s">
        <v>4738</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hidden="1" customHeight="1">
      <c r="A344" s="266" t="b">
        <v>0</v>
      </c>
      <c r="B344" s="266" t="b">
        <f>IF(A344=TRUE, TRUE, FALSE)</f>
        <v>0</v>
      </c>
      <c r="C344" s="171"/>
      <c r="D344" s="217" t="s">
        <v>4533</v>
      </c>
      <c r="E344" s="209"/>
      <c r="F344" s="207"/>
      <c r="G344" s="207"/>
      <c r="H344" s="207"/>
      <c r="I344" s="208"/>
      <c r="J344" s="209"/>
      <c r="K344" s="210"/>
      <c r="L344" s="211"/>
      <c r="M344" s="207"/>
      <c r="N344" s="207"/>
      <c r="O344" s="212"/>
      <c r="P344" s="207"/>
      <c r="Q344" s="213"/>
      <c r="R344" s="9"/>
    </row>
    <row r="345" spans="1:18" ht="30" hidden="1"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hidden="1"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collapsed="1" thickBot="1">
      <c r="A347" s="294" t="s">
        <v>4738</v>
      </c>
      <c r="B347" s="294" t="s">
        <v>4738</v>
      </c>
      <c r="C347" s="7" t="s">
        <v>4481</v>
      </c>
      <c r="D347" s="8"/>
      <c r="E347" s="191"/>
      <c r="F347" s="191"/>
      <c r="G347" s="191"/>
      <c r="H347" s="191"/>
      <c r="I347" s="169"/>
      <c r="J347" s="8"/>
      <c r="K347" s="138"/>
      <c r="L347" s="8"/>
      <c r="M347" s="8"/>
      <c r="N347" s="8"/>
      <c r="O347" s="126"/>
      <c r="P347" s="130"/>
      <c r="Q347" s="134"/>
      <c r="R347" s="9"/>
    </row>
    <row r="348" spans="1:18" ht="30" customHeight="1">
      <c r="A348" s="294" t="s">
        <v>4738</v>
      </c>
      <c r="B348" s="294" t="s">
        <v>4738</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5014</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c r="P354" s="124" t="str" cm="1">
        <f t="array" ref="P354">INDEX('3.S Family'!$L$1:$AH$200,MIN(IF(('3.S Family'!$L$1:$L$200=$P$348),ROW('3.S Family'!$L$1:$L$200))),MATCH($J354,'3.S Family'!$45:$45,0)-11)</f>
        <v>=2*(W+D)*H</v>
      </c>
      <c r="Q354" s="133"/>
      <c r="R354" s="9"/>
    </row>
    <row r="355" spans="1:18" ht="30" hidden="1"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hidden="1"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hidden="1" customHeight="1" outlineLevel="1">
      <c r="A357" s="267"/>
      <c r="B357" s="261" t="b">
        <v>0</v>
      </c>
      <c r="C357" s="172"/>
      <c r="D357" s="184"/>
      <c r="E357" s="275" t="s">
        <v>4187</v>
      </c>
      <c r="F357" s="274" t="s">
        <v>4187</v>
      </c>
      <c r="G357" s="274" t="s">
        <v>4187</v>
      </c>
      <c r="H357" s="274" t="s">
        <v>4187</v>
      </c>
      <c r="I357" s="340" t="s">
        <v>7</v>
      </c>
      <c r="J357" s="276" t="s">
        <v>4582</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hidden="1" customHeight="1" outlineLevel="1">
      <c r="A358" s="267"/>
      <c r="B358" s="261" t="b">
        <v>0</v>
      </c>
      <c r="C358" s="172"/>
      <c r="D358" s="184"/>
      <c r="E358" s="275" t="s">
        <v>4187</v>
      </c>
      <c r="F358" s="274" t="s">
        <v>4187</v>
      </c>
      <c r="G358" s="274" t="s">
        <v>4187</v>
      </c>
      <c r="H358" s="274" t="s">
        <v>4187</v>
      </c>
      <c r="I358" s="340" t="s">
        <v>4522</v>
      </c>
      <c r="J358" s="276" t="s">
        <v>4885</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hidden="1" customHeight="1" outlineLevel="1">
      <c r="A359" s="267"/>
      <c r="B359" s="261" t="b">
        <v>0</v>
      </c>
      <c r="C359" s="173"/>
      <c r="D359" s="185"/>
      <c r="E359" s="275" t="s">
        <v>4187</v>
      </c>
      <c r="F359" s="274" t="s">
        <v>4187</v>
      </c>
      <c r="G359" s="274" t="s">
        <v>4187</v>
      </c>
      <c r="H359" s="274" t="s">
        <v>4187</v>
      </c>
      <c r="I359" s="340" t="str">
        <f>$I$551</f>
        <v>Anchor Bolt</v>
      </c>
      <c r="J359" s="279" t="s">
        <v>4882</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4738</v>
      </c>
      <c r="B360" s="294" t="s">
        <v>4738</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5011</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c r="P364" s="124" t="str" cm="1">
        <f t="array" ref="P364">INDEX('3.S Family'!$L$1:$AH$200,MIN(IF(('3.S Family'!$L$1:$L$200=$P$360),ROW('3.S Family'!$L$1:$L$200))),MATCH($J364,'3.S Family'!$45:$45,0)-11)</f>
        <v>=V*RE</v>
      </c>
      <c r="Q364" s="133"/>
      <c r="R364" s="9"/>
    </row>
    <row r="365" spans="1:18" ht="30" customHeight="1">
      <c r="A365" s="294" t="s">
        <v>4738</v>
      </c>
      <c r="B365" s="294" t="s">
        <v>4738</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hidden="1" customHeight="1">
      <c r="A366" s="266" t="b">
        <v>0</v>
      </c>
      <c r="B366" s="266" t="b">
        <f>IF(A366=TRUE, TRUE, FALSE)</f>
        <v>0</v>
      </c>
      <c r="C366" s="171"/>
      <c r="D366" s="217" t="s">
        <v>4550</v>
      </c>
      <c r="E366" s="209"/>
      <c r="F366" s="207"/>
      <c r="G366" s="207"/>
      <c r="H366" s="207"/>
      <c r="I366" s="208"/>
      <c r="J366" s="209"/>
      <c r="K366" s="210"/>
      <c r="L366" s="211"/>
      <c r="M366" s="207"/>
      <c r="N366" s="207"/>
      <c r="O366" s="212"/>
      <c r="P366" s="207"/>
      <c r="Q366" s="213"/>
      <c r="R366" s="9"/>
    </row>
    <row r="367" spans="1:18" ht="30" hidden="1"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hidden="1"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hidden="1"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hidden="1"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hidden="1" customHeight="1" outlineLevel="1">
      <c r="A371" s="267"/>
      <c r="B371" s="261" t="b">
        <v>0</v>
      </c>
      <c r="C371" s="173"/>
      <c r="D371" s="216"/>
      <c r="E371" s="275" t="s">
        <v>4187</v>
      </c>
      <c r="F371" s="274" t="s">
        <v>4187</v>
      </c>
      <c r="G371" s="274" t="s">
        <v>4187</v>
      </c>
      <c r="H371" s="274" t="s">
        <v>4187</v>
      </c>
      <c r="I371" s="187" t="str">
        <f>$I$365</f>
        <v>Steel Painting</v>
      </c>
      <c r="J371" s="276" t="s">
        <v>4680</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ollapsed="1">
      <c r="A372" s="294" t="s">
        <v>4738</v>
      </c>
      <c r="B372" s="294" t="s">
        <v>4738</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hidden="1" customHeight="1">
      <c r="A373" s="266" t="b">
        <v>0</v>
      </c>
      <c r="B373" s="266" t="b">
        <f>IF(A373=TRUE, TRUE, FALSE)</f>
        <v>0</v>
      </c>
      <c r="C373" s="171"/>
      <c r="D373" s="217" t="s">
        <v>4551</v>
      </c>
      <c r="E373" s="209"/>
      <c r="F373" s="207"/>
      <c r="G373" s="207"/>
      <c r="H373" s="207"/>
      <c r="I373" s="208"/>
      <c r="J373" s="209"/>
      <c r="K373" s="210"/>
      <c r="L373" s="211"/>
      <c r="M373" s="207"/>
      <c r="N373" s="207"/>
      <c r="O373" s="212"/>
      <c r="P373" s="207"/>
      <c r="Q373" s="213"/>
      <c r="R373" s="9"/>
    </row>
    <row r="374" spans="1:18" ht="30" hidden="1"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hidden="1"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hidden="1"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hidden="1"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hidden="1" customHeight="1" outlineLevel="1">
      <c r="A378" s="267"/>
      <c r="B378" s="261" t="b">
        <v>0</v>
      </c>
      <c r="C378" s="173"/>
      <c r="D378" s="216"/>
      <c r="E378" s="275" t="s">
        <v>4187</v>
      </c>
      <c r="F378" s="274" t="s">
        <v>4187</v>
      </c>
      <c r="G378" s="274" t="s">
        <v>4187</v>
      </c>
      <c r="H378" s="274" t="s">
        <v>4187</v>
      </c>
      <c r="I378" s="187" t="str">
        <f>$I$372</f>
        <v>Steel Painting</v>
      </c>
      <c r="J378" s="276" t="s">
        <v>4680</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ollapsed="1">
      <c r="A379" s="294" t="s">
        <v>4738</v>
      </c>
      <c r="B379" s="294" t="s">
        <v>4738</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hidden="1" customHeight="1">
      <c r="A380" s="266" t="b">
        <v>0</v>
      </c>
      <c r="B380" s="266" t="b">
        <f>IF(A380=TRUE, TRUE, FALSE)</f>
        <v>0</v>
      </c>
      <c r="C380" s="171"/>
      <c r="D380" s="217" t="s">
        <v>4552</v>
      </c>
      <c r="E380" s="209"/>
      <c r="F380" s="207"/>
      <c r="G380" s="207"/>
      <c r="H380" s="207"/>
      <c r="I380" s="208"/>
      <c r="J380" s="209"/>
      <c r="K380" s="210"/>
      <c r="L380" s="211"/>
      <c r="M380" s="207"/>
      <c r="N380" s="207"/>
      <c r="O380" s="212"/>
      <c r="P380" s="207"/>
      <c r="Q380" s="213"/>
      <c r="R380" s="9"/>
    </row>
    <row r="381" spans="1:18" ht="30" hidden="1"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hidden="1"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hidden="1"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hidden="1"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hidden="1" customHeight="1" outlineLevel="1">
      <c r="A385" s="267"/>
      <c r="B385" s="261" t="b">
        <v>0</v>
      </c>
      <c r="C385" s="173"/>
      <c r="D385" s="216"/>
      <c r="E385" s="275" t="s">
        <v>4187</v>
      </c>
      <c r="F385" s="274" t="s">
        <v>4187</v>
      </c>
      <c r="G385" s="274" t="s">
        <v>4187</v>
      </c>
      <c r="H385" s="274" t="s">
        <v>4187</v>
      </c>
      <c r="I385" s="187" t="str">
        <f>$I$379</f>
        <v>Steel Painting</v>
      </c>
      <c r="J385" s="276" t="s">
        <v>4681</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ollapsed="1">
      <c r="A386" s="294" t="s">
        <v>4738</v>
      </c>
      <c r="B386" s="294" t="s">
        <v>4738</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hidden="1" customHeight="1">
      <c r="A387" s="266" t="b">
        <v>0</v>
      </c>
      <c r="B387" s="266" t="b">
        <f>IF(A387=TRUE, TRUE, FALSE)</f>
        <v>0</v>
      </c>
      <c r="C387" s="171"/>
      <c r="D387" s="217" t="s">
        <v>4553</v>
      </c>
      <c r="E387" s="209"/>
      <c r="F387" s="207"/>
      <c r="G387" s="207"/>
      <c r="H387" s="207"/>
      <c r="I387" s="208"/>
      <c r="J387" s="209"/>
      <c r="K387" s="210"/>
      <c r="L387" s="211"/>
      <c r="M387" s="207"/>
      <c r="N387" s="207"/>
      <c r="O387" s="212"/>
      <c r="P387" s="207"/>
      <c r="Q387" s="213"/>
      <c r="R387" s="9"/>
    </row>
    <row r="388" spans="1:18" ht="30" hidden="1"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hidden="1"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hidden="1"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hidden="1"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hidden="1" customHeight="1" outlineLevel="1">
      <c r="A392" s="267"/>
      <c r="B392" s="261" t="b">
        <v>0</v>
      </c>
      <c r="C392" s="173"/>
      <c r="D392" s="216"/>
      <c r="E392" s="275" t="s">
        <v>4187</v>
      </c>
      <c r="F392" s="274" t="s">
        <v>4187</v>
      </c>
      <c r="G392" s="274" t="s">
        <v>4187</v>
      </c>
      <c r="H392" s="274" t="s">
        <v>4187</v>
      </c>
      <c r="I392" s="187" t="str">
        <f>$I$386</f>
        <v>Steel Painting</v>
      </c>
      <c r="J392" s="276" t="s">
        <v>4681</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ollapsed="1">
      <c r="A393" s="294" t="s">
        <v>4738</v>
      </c>
      <c r="B393" s="294" t="s">
        <v>4738</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hidden="1" customHeight="1">
      <c r="A394" s="266" t="b">
        <v>0</v>
      </c>
      <c r="B394" s="266" t="b">
        <f>IF(A394=TRUE, TRUE, FALSE)</f>
        <v>0</v>
      </c>
      <c r="C394" s="171"/>
      <c r="D394" s="217" t="s">
        <v>4554</v>
      </c>
      <c r="E394" s="209"/>
      <c r="F394" s="207"/>
      <c r="G394" s="207"/>
      <c r="H394" s="207"/>
      <c r="I394" s="208"/>
      <c r="J394" s="209"/>
      <c r="K394" s="210"/>
      <c r="L394" s="211"/>
      <c r="M394" s="207"/>
      <c r="N394" s="207"/>
      <c r="O394" s="212"/>
      <c r="P394" s="207"/>
      <c r="Q394" s="213"/>
      <c r="R394" s="9"/>
    </row>
    <row r="395" spans="1:18" ht="30" hidden="1"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hidden="1"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hidden="1"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hidden="1"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hidden="1" customHeight="1" outlineLevel="1">
      <c r="A399" s="267"/>
      <c r="B399" s="261" t="b">
        <v>0</v>
      </c>
      <c r="C399" s="173"/>
      <c r="D399" s="216"/>
      <c r="E399" s="275" t="s">
        <v>4187</v>
      </c>
      <c r="F399" s="274" t="s">
        <v>4187</v>
      </c>
      <c r="G399" s="274" t="s">
        <v>4187</v>
      </c>
      <c r="H399" s="274" t="s">
        <v>4187</v>
      </c>
      <c r="I399" s="187" t="str">
        <f>$I$393</f>
        <v>Steel Painting</v>
      </c>
      <c r="J399" s="276" t="s">
        <v>4681</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ollapsed="1">
      <c r="A400" s="294" t="s">
        <v>4738</v>
      </c>
      <c r="B400" s="294" t="s">
        <v>4738</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hidden="1" customHeight="1">
      <c r="A401" s="266" t="b">
        <v>0</v>
      </c>
      <c r="B401" s="266" t="b">
        <f>IF(A401=TRUE, TRUE, FALSE)</f>
        <v>0</v>
      </c>
      <c r="C401" s="171"/>
      <c r="D401" s="217" t="s">
        <v>4555</v>
      </c>
      <c r="E401" s="209"/>
      <c r="F401" s="207"/>
      <c r="G401" s="207"/>
      <c r="H401" s="207"/>
      <c r="I401" s="208"/>
      <c r="J401" s="209"/>
      <c r="K401" s="210"/>
      <c r="L401" s="211"/>
      <c r="M401" s="207"/>
      <c r="N401" s="207"/>
      <c r="O401" s="212"/>
      <c r="P401" s="207"/>
      <c r="Q401" s="213"/>
      <c r="R401" s="9"/>
    </row>
    <row r="402" spans="1:18" ht="30" hidden="1"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hidden="1"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hidden="1"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hidden="1"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hidden="1" customHeight="1" outlineLevel="1">
      <c r="A406" s="267"/>
      <c r="B406" s="261" t="b">
        <v>0</v>
      </c>
      <c r="C406" s="173"/>
      <c r="D406" s="216"/>
      <c r="E406" s="275" t="s">
        <v>4187</v>
      </c>
      <c r="F406" s="274" t="s">
        <v>4187</v>
      </c>
      <c r="G406" s="274" t="s">
        <v>4187</v>
      </c>
      <c r="H406" s="274" t="s">
        <v>4187</v>
      </c>
      <c r="I406" s="187" t="str">
        <f>$I$400</f>
        <v>Steel Painting</v>
      </c>
      <c r="J406" s="276" t="s">
        <v>4680</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ollapsed="1" thickBot="1">
      <c r="A407" s="294" t="s">
        <v>4738</v>
      </c>
      <c r="B407" s="294" t="s">
        <v>4738</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hidden="1" customHeight="1">
      <c r="A408" s="266" t="b">
        <v>0</v>
      </c>
      <c r="B408" s="266" t="b">
        <f>IF(A408=TRUE, TRUE, FALSE)</f>
        <v>0</v>
      </c>
      <c r="C408" s="171"/>
      <c r="D408" s="217" t="s">
        <v>4556</v>
      </c>
      <c r="E408" s="209"/>
      <c r="F408" s="207"/>
      <c r="G408" s="207"/>
      <c r="H408" s="207"/>
      <c r="I408" s="208"/>
      <c r="J408" s="209"/>
      <c r="K408" s="210"/>
      <c r="L408" s="211"/>
      <c r="M408" s="207"/>
      <c r="N408" s="207"/>
      <c r="O408" s="212"/>
      <c r="P408" s="207"/>
      <c r="Q408" s="213"/>
      <c r="R408" s="9"/>
    </row>
    <row r="409" spans="1:18" ht="30" hidden="1"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hidden="1"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hidden="1"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hidden="1"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hidden="1" customHeight="1" outlineLevel="1" thickBot="1">
      <c r="A413" s="267"/>
      <c r="B413" s="261" t="b">
        <v>0</v>
      </c>
      <c r="C413" s="173"/>
      <c r="D413" s="216"/>
      <c r="E413" s="275" t="s">
        <v>4187</v>
      </c>
      <c r="F413" s="274" t="s">
        <v>4187</v>
      </c>
      <c r="G413" s="274" t="s">
        <v>4187</v>
      </c>
      <c r="H413" s="274" t="s">
        <v>4187</v>
      </c>
      <c r="I413" s="187" t="str">
        <f>$I$407</f>
        <v>Steel Painting</v>
      </c>
      <c r="J413" s="276" t="s">
        <v>4680</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collapsed="1" thickBot="1">
      <c r="A414" s="294" t="s">
        <v>4738</v>
      </c>
      <c r="B414" s="294" t="s">
        <v>4738</v>
      </c>
      <c r="C414" s="7" t="s">
        <v>4482</v>
      </c>
      <c r="D414" s="8"/>
      <c r="E414" s="191"/>
      <c r="F414" s="191"/>
      <c r="G414" s="191"/>
      <c r="H414" s="191"/>
      <c r="I414" s="169"/>
      <c r="J414" s="8"/>
      <c r="K414" s="138"/>
      <c r="L414" s="8"/>
      <c r="M414" s="8"/>
      <c r="N414" s="8"/>
      <c r="O414" s="126"/>
      <c r="P414" s="130"/>
      <c r="Q414" s="134"/>
      <c r="R414" s="9"/>
    </row>
    <row r="415" spans="1:18" ht="30" customHeight="1">
      <c r="A415" s="294" t="s">
        <v>4738</v>
      </c>
      <c r="B415" s="294" t="s">
        <v>4738</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5013</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c r="P422" s="124" t="e" cm="1">
        <f t="array" ref="P422">INDEX('3.S Family'!$L$1:$AH$200,MIN(IF(('3.S Family'!$L$1:$L$200=$P$415),ROW('3.S Family'!$L$1:$L$200))),MATCH($J422,'3.S Family'!$55:$55,0)-11)</f>
        <v>#N/A</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c r="P424" s="124" t="str" cm="1">
        <f t="array" ref="P424">INDEX('3.S Family'!$L$1:$AH$200,MIN(IF(('3.S Family'!$L$1:$L$200=$P$415),ROW('3.S Family'!$L$1:$L$200))),MATCH($J424,'3.S Family'!$55:$55,0)-11)</f>
        <v>=Exca</v>
      </c>
      <c r="Q424" s="133"/>
      <c r="R424" s="9"/>
    </row>
    <row r="425" spans="1:18" ht="30" hidden="1"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hidden="1"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c r="P430" s="124" t="str" cm="1">
        <f t="array" ref="P430">INDEX('3.S Family'!$L$1:$AH$200,MIN(IF(('3.S Family'!$L$1:$L$200=$P$415),ROW('3.S Family'!$L$1:$L$200))),MATCH($J430,'3.S Family'!$55:$55,0)-11)</f>
        <v>=(W+2*D1)*L</v>
      </c>
      <c r="Q430" s="133"/>
      <c r="R430" s="9"/>
    </row>
    <row r="431" spans="1:18" ht="30" customHeight="1">
      <c r="A431" s="294" t="s">
        <v>4738</v>
      </c>
      <c r="B431" s="294" t="s">
        <v>4738</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5040</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c r="P435" s="124" t="str" cm="1">
        <f t="array" ref="P435">INDEX('3.S Family'!$L$1:$AH$200,MIN(IF(('3.S Family'!$L$1:$L$200=$P$431),ROW('3.S Family'!$L$1:$L$200))),MATCH($J435,'3.S Family'!$55:$55,0)-11)</f>
        <v>=V*RE</v>
      </c>
      <c r="Q435" s="133"/>
      <c r="R435" s="9"/>
    </row>
    <row r="436" spans="1:18" ht="30" customHeight="1">
      <c r="A436" s="294" t="s">
        <v>4738</v>
      </c>
      <c r="B436" s="294" t="s">
        <v>4738</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hidden="1" customHeight="1">
      <c r="A437" s="266" t="b">
        <v>0</v>
      </c>
      <c r="B437" s="266" t="b">
        <f>IF(A437=TRUE, TRUE, FALSE)</f>
        <v>0</v>
      </c>
      <c r="C437" s="171"/>
      <c r="D437" s="217" t="s">
        <v>4557</v>
      </c>
      <c r="E437" s="209"/>
      <c r="F437" s="207"/>
      <c r="G437" s="207"/>
      <c r="H437" s="207"/>
      <c r="I437" s="208"/>
      <c r="J437" s="209"/>
      <c r="K437" s="210"/>
      <c r="L437" s="211"/>
      <c r="M437" s="207"/>
      <c r="N437" s="207"/>
      <c r="O437" s="212"/>
      <c r="P437" s="207"/>
      <c r="Q437" s="213"/>
      <c r="R437" s="9"/>
    </row>
    <row r="438" spans="1:18" ht="30" hidden="1"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hidden="1"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hidden="1"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hidden="1"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hidden="1" customHeight="1" outlineLevel="1">
      <c r="A442" s="267"/>
      <c r="B442" s="261" t="b">
        <v>0</v>
      </c>
      <c r="C442" s="173"/>
      <c r="D442" s="216"/>
      <c r="E442" s="275" t="s">
        <v>4187</v>
      </c>
      <c r="F442" s="274" t="s">
        <v>4187</v>
      </c>
      <c r="G442" s="274" t="s">
        <v>4187</v>
      </c>
      <c r="H442" s="274" t="s">
        <v>4187</v>
      </c>
      <c r="I442" s="187" t="str">
        <f>$I$436</f>
        <v>Steel Painting</v>
      </c>
      <c r="J442" s="276" t="s">
        <v>4680</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ollapsed="1">
      <c r="A443" s="294" t="s">
        <v>4738</v>
      </c>
      <c r="B443" s="294" t="s">
        <v>4738</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hidden="1" customHeight="1">
      <c r="A444" s="266" t="b">
        <v>0</v>
      </c>
      <c r="B444" s="266" t="b">
        <f>IF(A444=TRUE, TRUE, FALSE)</f>
        <v>0</v>
      </c>
      <c r="C444" s="171"/>
      <c r="D444" s="217" t="s">
        <v>4558</v>
      </c>
      <c r="E444" s="209"/>
      <c r="F444" s="207"/>
      <c r="G444" s="207"/>
      <c r="H444" s="207"/>
      <c r="I444" s="208"/>
      <c r="J444" s="209"/>
      <c r="K444" s="210"/>
      <c r="L444" s="211"/>
      <c r="M444" s="207"/>
      <c r="N444" s="207"/>
      <c r="O444" s="212"/>
      <c r="P444" s="207"/>
      <c r="Q444" s="213"/>
      <c r="R444" s="9"/>
    </row>
    <row r="445" spans="1:18" ht="30" hidden="1"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hidden="1"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hidden="1"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hidden="1"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hidden="1" customHeight="1" outlineLevel="1">
      <c r="A449" s="267"/>
      <c r="B449" s="261" t="b">
        <v>0</v>
      </c>
      <c r="C449" s="173"/>
      <c r="D449" s="216"/>
      <c r="E449" s="275" t="s">
        <v>4187</v>
      </c>
      <c r="F449" s="274" t="s">
        <v>4187</v>
      </c>
      <c r="G449" s="274" t="s">
        <v>4187</v>
      </c>
      <c r="H449" s="274" t="s">
        <v>4187</v>
      </c>
      <c r="I449" s="187" t="str">
        <f>$I$443</f>
        <v>Steel Painting</v>
      </c>
      <c r="J449" s="276" t="s">
        <v>4680</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ollapsed="1">
      <c r="A450" s="294" t="s">
        <v>4738</v>
      </c>
      <c r="B450" s="294" t="s">
        <v>4738</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hidden="1" customHeight="1">
      <c r="A451" s="266" t="b">
        <v>0</v>
      </c>
      <c r="B451" s="266" t="b">
        <f>IF(A451=TRUE, TRUE, FALSE)</f>
        <v>0</v>
      </c>
      <c r="C451" s="171"/>
      <c r="D451" s="217" t="s">
        <v>4559</v>
      </c>
      <c r="E451" s="209"/>
      <c r="F451" s="207"/>
      <c r="G451" s="207"/>
      <c r="H451" s="207"/>
      <c r="I451" s="208"/>
      <c r="J451" s="209"/>
      <c r="K451" s="210"/>
      <c r="L451" s="211"/>
      <c r="M451" s="207"/>
      <c r="N451" s="207"/>
      <c r="O451" s="212"/>
      <c r="P451" s="207"/>
      <c r="Q451" s="213"/>
      <c r="R451" s="9"/>
    </row>
    <row r="452" spans="1:18" ht="30" hidden="1"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hidden="1"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hidden="1"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hidden="1"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hidden="1" customHeight="1" outlineLevel="1">
      <c r="A456" s="267"/>
      <c r="B456" s="261" t="b">
        <v>0</v>
      </c>
      <c r="C456" s="173"/>
      <c r="D456" s="216"/>
      <c r="E456" s="275" t="s">
        <v>4187</v>
      </c>
      <c r="F456" s="274" t="s">
        <v>4187</v>
      </c>
      <c r="G456" s="274" t="s">
        <v>4187</v>
      </c>
      <c r="H456" s="274" t="s">
        <v>4187</v>
      </c>
      <c r="I456" s="187" t="str">
        <f>$I$450</f>
        <v>Steel Painting</v>
      </c>
      <c r="J456" s="276" t="s">
        <v>4680</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ollapsed="1">
      <c r="A457" s="294" t="s">
        <v>4738</v>
      </c>
      <c r="B457" s="294" t="s">
        <v>4738</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hidden="1" customHeight="1">
      <c r="A458" s="266" t="b">
        <v>0</v>
      </c>
      <c r="B458" s="266" t="b">
        <f>IF(A458=TRUE, TRUE, FALSE)</f>
        <v>0</v>
      </c>
      <c r="C458" s="171"/>
      <c r="D458" s="217" t="s">
        <v>4560</v>
      </c>
      <c r="E458" s="209"/>
      <c r="F458" s="207"/>
      <c r="G458" s="207"/>
      <c r="H458" s="207"/>
      <c r="I458" s="208"/>
      <c r="J458" s="209"/>
      <c r="K458" s="210"/>
      <c r="L458" s="211"/>
      <c r="M458" s="207"/>
      <c r="N458" s="207"/>
      <c r="O458" s="212"/>
      <c r="P458" s="207"/>
      <c r="Q458" s="213"/>
      <c r="R458" s="9"/>
    </row>
    <row r="459" spans="1:18" ht="30" hidden="1"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hidden="1"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hidden="1"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hidden="1"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hidden="1" customHeight="1" outlineLevel="1">
      <c r="A463" s="267"/>
      <c r="B463" s="261" t="b">
        <v>0</v>
      </c>
      <c r="C463" s="173"/>
      <c r="D463" s="216"/>
      <c r="E463" s="275" t="s">
        <v>4187</v>
      </c>
      <c r="F463" s="274" t="s">
        <v>4187</v>
      </c>
      <c r="G463" s="274" t="s">
        <v>4187</v>
      </c>
      <c r="H463" s="274" t="s">
        <v>4187</v>
      </c>
      <c r="I463" s="187" t="str">
        <f>$I$457</f>
        <v>Steel Painting</v>
      </c>
      <c r="J463" s="276" t="s">
        <v>4680</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ollapsed="1">
      <c r="A464" s="294" t="s">
        <v>4738</v>
      </c>
      <c r="B464" s="294" t="s">
        <v>4738</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hidden="1" customHeight="1">
      <c r="A465" s="266" t="b">
        <v>0</v>
      </c>
      <c r="B465" s="266" t="b">
        <f>IF(A465=TRUE, TRUE, FALSE)</f>
        <v>0</v>
      </c>
      <c r="C465" s="171"/>
      <c r="D465" s="217" t="s">
        <v>4561</v>
      </c>
      <c r="E465" s="209"/>
      <c r="F465" s="207"/>
      <c r="G465" s="207"/>
      <c r="H465" s="207"/>
      <c r="I465" s="208"/>
      <c r="J465" s="209"/>
      <c r="K465" s="210"/>
      <c r="L465" s="211"/>
      <c r="M465" s="207"/>
      <c r="N465" s="207"/>
      <c r="O465" s="212"/>
      <c r="P465" s="207"/>
      <c r="Q465" s="213"/>
      <c r="R465" s="9"/>
    </row>
    <row r="466" spans="1:18" ht="30" hidden="1"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hidden="1"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hidden="1"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hidden="1"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hidden="1" customHeight="1" outlineLevel="1">
      <c r="A470" s="267"/>
      <c r="B470" s="261" t="b">
        <v>0</v>
      </c>
      <c r="C470" s="173"/>
      <c r="D470" s="216"/>
      <c r="E470" s="275" t="s">
        <v>4187</v>
      </c>
      <c r="F470" s="274" t="s">
        <v>4187</v>
      </c>
      <c r="G470" s="274" t="s">
        <v>4187</v>
      </c>
      <c r="H470" s="274" t="s">
        <v>4187</v>
      </c>
      <c r="I470" s="187" t="str">
        <f>$I$464</f>
        <v>Steel Painting</v>
      </c>
      <c r="J470" s="276" t="s">
        <v>4680</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ollapsed="1">
      <c r="A471" s="294" t="s">
        <v>4738</v>
      </c>
      <c r="B471" s="294" t="s">
        <v>4738</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hidden="1" customHeight="1">
      <c r="A472" s="266" t="b">
        <v>0</v>
      </c>
      <c r="B472" s="266" t="b">
        <f>IF(A472=TRUE, TRUE, FALSE)</f>
        <v>0</v>
      </c>
      <c r="C472" s="171"/>
      <c r="D472" s="217" t="s">
        <v>4562</v>
      </c>
      <c r="E472" s="209"/>
      <c r="F472" s="207"/>
      <c r="G472" s="207"/>
      <c r="H472" s="207"/>
      <c r="I472" s="208"/>
      <c r="J472" s="209"/>
      <c r="K472" s="210"/>
      <c r="L472" s="211"/>
      <c r="M472" s="207"/>
      <c r="N472" s="207"/>
      <c r="O472" s="212"/>
      <c r="P472" s="207"/>
      <c r="Q472" s="213"/>
      <c r="R472" s="9"/>
    </row>
    <row r="473" spans="1:18" ht="30" hidden="1"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hidden="1"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hidden="1"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hidden="1"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hidden="1" customHeight="1" outlineLevel="1">
      <c r="A477" s="267"/>
      <c r="B477" s="261" t="b">
        <v>0</v>
      </c>
      <c r="C477" s="173"/>
      <c r="D477" s="216"/>
      <c r="E477" s="275" t="s">
        <v>4187</v>
      </c>
      <c r="F477" s="274" t="s">
        <v>4187</v>
      </c>
      <c r="G477" s="274" t="s">
        <v>4187</v>
      </c>
      <c r="H477" s="274" t="s">
        <v>4187</v>
      </c>
      <c r="I477" s="187" t="str">
        <f>$I$471</f>
        <v>Steel Painting</v>
      </c>
      <c r="J477" s="276" t="s">
        <v>4680</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ollapsed="1">
      <c r="A478" s="294" t="s">
        <v>4738</v>
      </c>
      <c r="B478" s="294" t="s">
        <v>4738</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hidden="1" customHeight="1">
      <c r="A479" s="266" t="b">
        <v>0</v>
      </c>
      <c r="B479" s="266" t="b">
        <f>IF(A479=TRUE, TRUE, FALSE)</f>
        <v>0</v>
      </c>
      <c r="C479" s="171"/>
      <c r="D479" s="217" t="s">
        <v>4563</v>
      </c>
      <c r="E479" s="209"/>
      <c r="F479" s="207"/>
      <c r="G479" s="207"/>
      <c r="H479" s="207"/>
      <c r="I479" s="208"/>
      <c r="J479" s="209"/>
      <c r="K479" s="210"/>
      <c r="L479" s="211"/>
      <c r="M479" s="207"/>
      <c r="N479" s="207"/>
      <c r="O479" s="212"/>
      <c r="P479" s="207"/>
      <c r="Q479" s="213"/>
      <c r="R479" s="9"/>
    </row>
    <row r="480" spans="1:18" ht="30" hidden="1"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hidden="1"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hidden="1"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hidden="1"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hidden="1" customHeight="1" outlineLevel="1">
      <c r="A484" s="267"/>
      <c r="B484" s="261" t="b">
        <v>0</v>
      </c>
      <c r="C484" s="173"/>
      <c r="D484" s="216"/>
      <c r="E484" s="275" t="s">
        <v>4187</v>
      </c>
      <c r="F484" s="274" t="s">
        <v>4187</v>
      </c>
      <c r="G484" s="274" t="s">
        <v>4187</v>
      </c>
      <c r="H484" s="274" t="s">
        <v>4187</v>
      </c>
      <c r="I484" s="187" t="str">
        <f>$I$478</f>
        <v>Steel Painting</v>
      </c>
      <c r="J484" s="276" t="s">
        <v>4680</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ollapsed="1" thickBot="1">
      <c r="A485" s="294" t="s">
        <v>4738</v>
      </c>
      <c r="B485" s="294" t="s">
        <v>4738</v>
      </c>
      <c r="C485" s="263" t="s">
        <v>4483</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hidden="1" customHeight="1">
      <c r="A486" s="266" t="b">
        <v>0</v>
      </c>
      <c r="B486" s="266" t="b">
        <f>IF(A486=TRUE, TRUE, FALSE)</f>
        <v>0</v>
      </c>
      <c r="C486" s="171"/>
      <c r="D486" s="217" t="s">
        <v>4453</v>
      </c>
      <c r="E486" s="209"/>
      <c r="F486" s="207"/>
      <c r="G486" s="207"/>
      <c r="H486" s="207"/>
      <c r="I486" s="208"/>
      <c r="J486" s="209"/>
      <c r="K486" s="210"/>
      <c r="L486" s="211"/>
      <c r="M486" s="207"/>
      <c r="N486" s="207"/>
      <c r="O486" s="212"/>
      <c r="P486" s="207"/>
      <c r="Q486" s="213"/>
      <c r="R486" s="9"/>
    </row>
    <row r="487" spans="1:18" ht="30" hidden="1"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hidden="1"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hidden="1"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hidden="1"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hidden="1" customHeight="1" outlineLevel="1" thickBot="1">
      <c r="A491" s="267"/>
      <c r="B491" s="261" t="b">
        <v>0</v>
      </c>
      <c r="C491" s="173"/>
      <c r="D491" s="216"/>
      <c r="E491" s="275" t="s">
        <v>4187</v>
      </c>
      <c r="F491" s="274" t="s">
        <v>4187</v>
      </c>
      <c r="G491" s="274" t="s">
        <v>4187</v>
      </c>
      <c r="H491" s="274" t="s">
        <v>4187</v>
      </c>
      <c r="I491" s="187" t="str">
        <f>$I$485</f>
        <v>Steel Painting</v>
      </c>
      <c r="J491" s="276" t="s">
        <v>4680</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collapsed="1" thickBot="1">
      <c r="A492" s="294" t="s">
        <v>4738</v>
      </c>
      <c r="B492" s="294" t="s">
        <v>4738</v>
      </c>
      <c r="C492" s="7" t="s">
        <v>4484</v>
      </c>
      <c r="D492" s="8"/>
      <c r="E492" s="191"/>
      <c r="F492" s="191"/>
      <c r="G492" s="191"/>
      <c r="H492" s="191"/>
      <c r="I492" s="169"/>
      <c r="J492" s="8"/>
      <c r="K492" s="138"/>
      <c r="L492" s="8"/>
      <c r="M492" s="8"/>
      <c r="N492" s="8"/>
      <c r="O492" s="126"/>
      <c r="P492" s="130"/>
      <c r="Q492" s="134"/>
      <c r="R492" s="9"/>
    </row>
    <row r="493" spans="1:18" ht="30" customHeight="1" thickBot="1">
      <c r="A493" s="294" t="s">
        <v>4738</v>
      </c>
      <c r="B493" s="294" t="s">
        <v>4738</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4738</v>
      </c>
      <c r="B494" s="294" t="s">
        <v>4738</v>
      </c>
      <c r="C494" s="7" t="s">
        <v>4485</v>
      </c>
      <c r="D494" s="8"/>
      <c r="E494" s="191"/>
      <c r="F494" s="191"/>
      <c r="G494" s="191"/>
      <c r="H494" s="191"/>
      <c r="I494" s="169"/>
      <c r="J494" s="8"/>
      <c r="K494" s="138"/>
      <c r="L494" s="8"/>
      <c r="M494" s="8"/>
      <c r="N494" s="8"/>
      <c r="O494" s="126"/>
      <c r="P494" s="130"/>
      <c r="Q494" s="134"/>
      <c r="R494" s="9"/>
    </row>
    <row r="495" spans="1:18" ht="30" customHeight="1">
      <c r="A495" s="294" t="s">
        <v>4738</v>
      </c>
      <c r="B495" s="294" t="s">
        <v>4738</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hidden="1" customHeight="1">
      <c r="A496" s="266" t="b">
        <v>0</v>
      </c>
      <c r="B496" s="266" t="b">
        <f>IF(A496=TRUE, TRUE, FALSE)</f>
        <v>0</v>
      </c>
      <c r="C496" s="171"/>
      <c r="D496" s="186" t="s">
        <v>4868</v>
      </c>
      <c r="E496" s="209"/>
      <c r="F496" s="207"/>
      <c r="G496" s="207"/>
      <c r="H496" s="207"/>
      <c r="I496" s="208"/>
      <c r="J496" s="209"/>
      <c r="K496" s="210"/>
      <c r="L496" s="211"/>
      <c r="M496" s="207"/>
      <c r="N496" s="207"/>
      <c r="O496" s="212"/>
      <c r="P496" s="207"/>
      <c r="Q496" s="213"/>
      <c r="R496" s="9"/>
    </row>
    <row r="497" spans="1:18" ht="30" hidden="1" customHeight="1" outlineLevel="1">
      <c r="A497" s="267"/>
      <c r="B497" s="261" t="b">
        <v>0</v>
      </c>
      <c r="C497" s="173"/>
      <c r="D497" s="186"/>
      <c r="E497" s="275" t="s">
        <v>4187</v>
      </c>
      <c r="F497" s="274" t="s">
        <v>4187</v>
      </c>
      <c r="G497" s="274" t="s">
        <v>4187</v>
      </c>
      <c r="H497" s="274" t="s">
        <v>4187</v>
      </c>
      <c r="I497" s="187" t="str">
        <f>$I$495</f>
        <v>Door</v>
      </c>
      <c r="J497" s="276" t="s">
        <v>4856</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ollapsed="1">
      <c r="A498" s="266" t="b">
        <v>1</v>
      </c>
      <c r="B498" s="266" t="b">
        <f>IF(A498=TRUE, TRUE, FALSE)</f>
        <v>1</v>
      </c>
      <c r="C498" s="171"/>
      <c r="D498" s="186" t="s">
        <v>4869</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4860</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4870</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4858</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4871</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4862</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c r="P503" s="124" t="str" cm="1">
        <f t="array" ref="P503">INDEX('3.S Family'!$L$1:$AH$200,MIN(IF(('3.S Family'!$L$1:$L$200=$P$495),ROW('3.S Family'!$L$1:$L$200))),MATCH($I503,'3.S Family'!$68:$68,0)-11)</f>
        <v>=Q</v>
      </c>
      <c r="Q503" s="133"/>
      <c r="R503" s="9"/>
    </row>
    <row r="504" spans="1:18" ht="30" customHeight="1">
      <c r="A504" s="294" t="s">
        <v>4738</v>
      </c>
      <c r="B504" s="294" t="s">
        <v>4738</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4564</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4565</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4738</v>
      </c>
      <c r="B507" s="294" t="s">
        <v>4738</v>
      </c>
      <c r="C507" s="7" t="s">
        <v>4486</v>
      </c>
      <c r="D507" s="8"/>
      <c r="E507" s="191"/>
      <c r="F507" s="191"/>
      <c r="G507" s="191"/>
      <c r="H507" s="191"/>
      <c r="I507" s="169"/>
      <c r="J507" s="8"/>
      <c r="K507" s="138"/>
      <c r="L507" s="8"/>
      <c r="M507" s="8"/>
      <c r="N507" s="8"/>
      <c r="O507" s="126"/>
      <c r="P507" s="130"/>
      <c r="Q507" s="134"/>
      <c r="R507" s="9"/>
    </row>
    <row r="508" spans="1:18" ht="30" customHeight="1">
      <c r="A508" s="294" t="s">
        <v>4738</v>
      </c>
      <c r="B508" s="294" t="s">
        <v>4738</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4566</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4864</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4738</v>
      </c>
      <c r="B511" s="294" t="s">
        <v>4738</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4567</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4866</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4738</v>
      </c>
      <c r="B514" s="294" t="s">
        <v>4738</v>
      </c>
      <c r="C514" s="7" t="s">
        <v>4487</v>
      </c>
      <c r="D514" s="8"/>
      <c r="E514" s="191"/>
      <c r="F514" s="191"/>
      <c r="G514" s="191"/>
      <c r="H514" s="191"/>
      <c r="I514" s="169"/>
      <c r="J514" s="8"/>
      <c r="K514" s="138"/>
      <c r="L514" s="8"/>
      <c r="M514" s="8"/>
      <c r="N514" s="8"/>
      <c r="O514" s="126"/>
      <c r="P514" s="130"/>
      <c r="Q514" s="134"/>
      <c r="R514" s="9"/>
    </row>
    <row r="515" spans="1:18" ht="30" customHeight="1">
      <c r="A515" s="294" t="s">
        <v>4738</v>
      </c>
      <c r="B515" s="294" t="s">
        <v>4738</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hidden="1" customHeight="1">
      <c r="A516" s="266" t="b">
        <v>0</v>
      </c>
      <c r="B516" s="266" t="b">
        <f>IF(A516=TRUE, TRUE, FALSE)</f>
        <v>0</v>
      </c>
      <c r="C516" s="171"/>
      <c r="D516" s="186" t="s">
        <v>4700</v>
      </c>
      <c r="E516" s="209"/>
      <c r="F516" s="207"/>
      <c r="G516" s="207"/>
      <c r="H516" s="207"/>
      <c r="I516" s="208"/>
      <c r="J516" s="209"/>
      <c r="K516" s="210"/>
      <c r="L516" s="211"/>
      <c r="M516" s="207"/>
      <c r="N516" s="207"/>
      <c r="O516" s="212"/>
      <c r="P516" s="207"/>
      <c r="Q516" s="213"/>
      <c r="R516" s="9"/>
    </row>
    <row r="517" spans="1:18" ht="30" hidden="1" customHeight="1" outlineLevel="1">
      <c r="A517" s="267"/>
      <c r="B517" s="261" t="b">
        <v>0</v>
      </c>
      <c r="C517" s="172"/>
      <c r="D517" s="186"/>
      <c r="E517" s="275" t="s">
        <v>4187</v>
      </c>
      <c r="F517" s="274" t="s">
        <v>4187</v>
      </c>
      <c r="G517" s="274" t="s">
        <v>4187</v>
      </c>
      <c r="H517" s="274" t="s">
        <v>4187</v>
      </c>
      <c r="I517" s="187" t="str">
        <f>$I$515</f>
        <v>Steel Stair</v>
      </c>
      <c r="J517" s="279" t="s">
        <v>4696</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hidden="1" customHeight="1" outlineLevel="1">
      <c r="A518" s="267"/>
      <c r="B518" s="261" t="b">
        <v>0</v>
      </c>
      <c r="C518" s="173"/>
      <c r="D518" s="185"/>
      <c r="E518" s="275" t="s">
        <v>4187</v>
      </c>
      <c r="F518" s="274" t="s">
        <v>4187</v>
      </c>
      <c r="G518" s="274" t="s">
        <v>4187</v>
      </c>
      <c r="H518" s="274" t="s">
        <v>4187</v>
      </c>
      <c r="I518" s="187" t="str">
        <f>$I$515</f>
        <v>Steel Stair</v>
      </c>
      <c r="J518" s="279" t="s">
        <v>4698</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collapsed="1" thickBot="1">
      <c r="A519" s="294" t="s">
        <v>4738</v>
      </c>
      <c r="B519" s="294" t="s">
        <v>4738</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4738</v>
      </c>
      <c r="B520" s="294" t="s">
        <v>4738</v>
      </c>
      <c r="C520" s="7" t="s">
        <v>4488</v>
      </c>
      <c r="D520" s="8"/>
      <c r="E520" s="191"/>
      <c r="F520" s="191"/>
      <c r="G520" s="191"/>
      <c r="H520" s="191"/>
      <c r="I520" s="169"/>
      <c r="J520" s="8"/>
      <c r="K520" s="138"/>
      <c r="L520" s="8"/>
      <c r="M520" s="8"/>
      <c r="N520" s="8"/>
      <c r="O520" s="126"/>
      <c r="P520" s="130"/>
      <c r="Q520" s="134"/>
      <c r="R520" s="9"/>
    </row>
    <row r="521" spans="1:18" ht="30" customHeight="1" thickBot="1">
      <c r="A521" s="294" t="s">
        <v>4738</v>
      </c>
      <c r="B521" s="294" t="s">
        <v>4738</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hidden="1" customHeight="1">
      <c r="A522" s="266" t="b">
        <v>0</v>
      </c>
      <c r="B522" s="266" t="b">
        <f>IF(A522=TRUE, TRUE, FALSE)</f>
        <v>0</v>
      </c>
      <c r="C522" s="171"/>
      <c r="D522" s="186" t="s">
        <v>4570</v>
      </c>
      <c r="E522" s="209"/>
      <c r="F522" s="207"/>
      <c r="G522" s="207"/>
      <c r="H522" s="207"/>
      <c r="I522" s="208"/>
      <c r="J522" s="209"/>
      <c r="K522" s="210"/>
      <c r="L522" s="211"/>
      <c r="M522" s="207"/>
      <c r="N522" s="207"/>
      <c r="O522" s="212"/>
      <c r="P522" s="207"/>
      <c r="Q522" s="213"/>
      <c r="R522" s="9"/>
    </row>
    <row r="523" spans="1:18" ht="30" hidden="1" customHeight="1" outlineLevel="1">
      <c r="A523" s="267"/>
      <c r="B523" s="261" t="b">
        <v>0</v>
      </c>
      <c r="C523" s="172"/>
      <c r="D523" s="186"/>
      <c r="E523" s="275" t="s">
        <v>4187</v>
      </c>
      <c r="F523" s="274" t="s">
        <v>4187</v>
      </c>
      <c r="G523" s="274" t="s">
        <v>4187</v>
      </c>
      <c r="H523" s="274" t="s">
        <v>4187</v>
      </c>
      <c r="I523" s="187" t="str">
        <f>$I$521</f>
        <v>Handrail</v>
      </c>
      <c r="J523" s="279" t="s">
        <v>4704</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hidden="1" customHeight="1" outlineLevel="1" thickBot="1">
      <c r="A524" s="267"/>
      <c r="B524" s="261" t="b">
        <v>0</v>
      </c>
      <c r="C524" s="173"/>
      <c r="D524" s="185"/>
      <c r="E524" s="275" t="s">
        <v>4187</v>
      </c>
      <c r="F524" s="274" t="s">
        <v>4187</v>
      </c>
      <c r="G524" s="274" t="s">
        <v>4187</v>
      </c>
      <c r="H524" s="274" t="s">
        <v>4187</v>
      </c>
      <c r="I524" s="187" t="str">
        <f>$I$521</f>
        <v>Handrail</v>
      </c>
      <c r="J524" s="279" t="s">
        <v>4705</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collapsed="1" thickBot="1">
      <c r="A525" s="294" t="s">
        <v>4738</v>
      </c>
      <c r="B525" s="294" t="s">
        <v>4738</v>
      </c>
      <c r="C525" s="7" t="s">
        <v>4489</v>
      </c>
      <c r="D525" s="8"/>
      <c r="E525" s="191"/>
      <c r="F525" s="191"/>
      <c r="G525" s="191"/>
      <c r="H525" s="191"/>
      <c r="I525" s="169"/>
      <c r="J525" s="8"/>
      <c r="K525" s="138"/>
      <c r="L525" s="8"/>
      <c r="M525" s="8"/>
      <c r="N525" s="8"/>
      <c r="O525" s="126"/>
      <c r="P525" s="130"/>
      <c r="Q525" s="134"/>
      <c r="R525" s="9"/>
    </row>
    <row r="526" spans="1:18" ht="30" customHeight="1">
      <c r="A526" s="294" t="s">
        <v>4738</v>
      </c>
      <c r="B526" s="294" t="s">
        <v>4738</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4738</v>
      </c>
      <c r="B527" s="294" t="s">
        <v>4738</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4738</v>
      </c>
      <c r="B528" s="294" t="s">
        <v>4738</v>
      </c>
      <c r="C528" s="7" t="s">
        <v>4490</v>
      </c>
      <c r="D528" s="8" t="s">
        <v>8</v>
      </c>
      <c r="E528" s="191"/>
      <c r="F528" s="191"/>
      <c r="G528" s="191"/>
      <c r="H528" s="191"/>
      <c r="I528" s="169"/>
      <c r="J528" s="8"/>
      <c r="K528" s="138"/>
      <c r="L528" s="8"/>
      <c r="M528" s="8"/>
      <c r="N528" s="8"/>
      <c r="O528" s="126"/>
      <c r="P528" s="130"/>
      <c r="Q528" s="134"/>
      <c r="R528" s="9"/>
    </row>
    <row r="529" spans="1:18" ht="30" customHeight="1">
      <c r="A529" s="294" t="s">
        <v>4738</v>
      </c>
      <c r="B529" s="294" t="s">
        <v>4738</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4571</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4710</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4711</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4738</v>
      </c>
      <c r="B533" s="294" t="s">
        <v>4738</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4588</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4573</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4738</v>
      </c>
      <c r="B536" s="294" t="s">
        <v>4738</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4589</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4575</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4738</v>
      </c>
      <c r="B539" s="294" t="s">
        <v>4738</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4578</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4738</v>
      </c>
      <c r="B542" s="294" t="s">
        <v>4738</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hidden="1" customHeight="1">
      <c r="A543" s="266" t="b">
        <v>0</v>
      </c>
      <c r="B543" s="266" t="b">
        <f>IF(A543=TRUE, TRUE, FALSE)</f>
        <v>0</v>
      </c>
      <c r="C543" s="171"/>
      <c r="D543" s="186" t="s">
        <v>4580</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4738</v>
      </c>
      <c r="B545" s="294" t="s">
        <v>4738</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4590</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4738</v>
      </c>
      <c r="B548" s="294" t="s">
        <v>4738</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hidden="1" customHeight="1">
      <c r="A549" s="266" t="b">
        <v>0</v>
      </c>
      <c r="B549" s="266" t="b">
        <f>IF(A549=TRUE, TRUE, FALSE)</f>
        <v>0</v>
      </c>
      <c r="C549" s="171"/>
      <c r="D549" s="186" t="s">
        <v>4591</v>
      </c>
      <c r="E549" s="209"/>
      <c r="F549" s="207"/>
      <c r="G549" s="207"/>
      <c r="H549" s="207"/>
      <c r="I549" s="208"/>
      <c r="J549" s="209"/>
      <c r="K549" s="210"/>
      <c r="L549" s="211"/>
      <c r="M549" s="207"/>
      <c r="N549" s="207"/>
      <c r="O549" s="212"/>
      <c r="P549" s="207"/>
      <c r="Q549" s="213"/>
      <c r="R549" s="9"/>
    </row>
    <row r="550" spans="1:18" ht="30" customHeight="1" outlineLevel="1">
      <c r="A550" s="267"/>
      <c r="B550" s="261" t="b">
        <v>1</v>
      </c>
      <c r="C550" s="173"/>
      <c r="D550" s="186"/>
      <c r="E550" s="275" t="s">
        <v>4187</v>
      </c>
      <c r="F550" s="274" t="s">
        <v>4187</v>
      </c>
      <c r="G550" s="274" t="s">
        <v>4187</v>
      </c>
      <c r="H550" s="274" t="s">
        <v>4187</v>
      </c>
      <c r="I550" s="187" t="str">
        <f>$I$548</f>
        <v>Grout</v>
      </c>
      <c r="J550" s="279" t="s">
        <v>4582</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4738</v>
      </c>
      <c r="B551" s="294" t="s">
        <v>4738</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4592</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4882</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4888</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4738</v>
      </c>
      <c r="B555" s="294" t="s">
        <v>4738</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hidden="1" customHeight="1">
      <c r="A556" s="266" t="b">
        <v>0</v>
      </c>
      <c r="B556" s="266" t="b">
        <f>IF(A556=TRUE, TRUE, FALSE)</f>
        <v>0</v>
      </c>
      <c r="C556" s="171"/>
      <c r="D556" s="186" t="s">
        <v>4593</v>
      </c>
      <c r="E556" s="209"/>
      <c r="F556" s="207"/>
      <c r="G556" s="207"/>
      <c r="H556" s="207"/>
      <c r="I556" s="208"/>
      <c r="J556" s="209"/>
      <c r="K556" s="210"/>
      <c r="L556" s="211"/>
      <c r="M556" s="207"/>
      <c r="N556" s="207"/>
      <c r="O556" s="212"/>
      <c r="P556" s="207"/>
      <c r="Q556" s="213"/>
      <c r="R556" s="9"/>
    </row>
    <row r="557" spans="1:18" ht="30" hidden="1" customHeight="1" outlineLevel="1">
      <c r="A557" s="267"/>
      <c r="B557" s="261" t="b">
        <v>0</v>
      </c>
      <c r="C557" s="173"/>
      <c r="D557" s="186"/>
      <c r="E557" s="275" t="s">
        <v>4187</v>
      </c>
      <c r="F557" s="274" t="s">
        <v>4187</v>
      </c>
      <c r="G557" s="274" t="s">
        <v>4187</v>
      </c>
      <c r="H557" s="274" t="s">
        <v>4187</v>
      </c>
      <c r="I557" s="187" t="str">
        <f>$I$555</f>
        <v>Embedded Steel</v>
      </c>
      <c r="J557" s="279" t="s">
        <v>4727</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ollapsed="1">
      <c r="A558" s="294" t="s">
        <v>4738</v>
      </c>
      <c r="B558" s="294" t="s">
        <v>4738</v>
      </c>
      <c r="C558" s="263" t="s">
        <v>4491</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hidden="1" customHeight="1">
      <c r="A559" s="266" t="b">
        <v>0</v>
      </c>
      <c r="B559" s="266" t="b">
        <f>IF(A559=TRUE, TRUE, FALSE)</f>
        <v>0</v>
      </c>
      <c r="C559" s="171"/>
      <c r="D559" s="186" t="s">
        <v>4594</v>
      </c>
      <c r="E559" s="209"/>
      <c r="F559" s="207"/>
      <c r="G559" s="207"/>
      <c r="H559" s="207"/>
      <c r="I559" s="208"/>
      <c r="J559" s="209"/>
      <c r="K559" s="210"/>
      <c r="L559" s="211"/>
      <c r="M559" s="207"/>
      <c r="N559" s="207"/>
      <c r="O559" s="212"/>
      <c r="P559" s="207"/>
      <c r="Q559" s="213"/>
      <c r="R559" s="9"/>
    </row>
    <row r="560" spans="1:18" ht="30" hidden="1" customHeight="1" outlineLevel="1">
      <c r="A560" s="267"/>
      <c r="B560" s="261" t="b">
        <v>0</v>
      </c>
      <c r="C560" s="173"/>
      <c r="D560" s="186"/>
      <c r="E560" s="275" t="s">
        <v>4187</v>
      </c>
      <c r="F560" s="274" t="s">
        <v>4187</v>
      </c>
      <c r="G560" s="274" t="s">
        <v>4187</v>
      </c>
      <c r="H560" s="274" t="s">
        <v>4187</v>
      </c>
      <c r="I560" s="187" t="str">
        <f>$I$558</f>
        <v>Signage</v>
      </c>
      <c r="J560" s="279" t="s">
        <v>4730</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ollapsed="1">
      <c r="A561" s="294" t="s">
        <v>4738</v>
      </c>
      <c r="B561" s="294" t="s">
        <v>4738</v>
      </c>
      <c r="C561" s="263" t="s">
        <v>4492</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hidden="1" customHeight="1">
      <c r="A562" s="266" t="b">
        <v>0</v>
      </c>
      <c r="B562" s="266" t="b">
        <f>IF(A562=TRUE, TRUE, FALSE)</f>
        <v>0</v>
      </c>
      <c r="C562" s="171"/>
      <c r="D562" s="186" t="s">
        <v>4595</v>
      </c>
      <c r="E562" s="209"/>
      <c r="F562" s="207"/>
      <c r="G562" s="207"/>
      <c r="H562" s="207"/>
      <c r="I562" s="208"/>
      <c r="J562" s="209"/>
      <c r="K562" s="210"/>
      <c r="L562" s="211"/>
      <c r="M562" s="207"/>
      <c r="N562" s="207"/>
      <c r="O562" s="212"/>
      <c r="P562" s="207"/>
      <c r="Q562" s="213"/>
      <c r="R562" s="9"/>
    </row>
    <row r="563" spans="1:18" ht="30" hidden="1" customHeight="1" outlineLevel="1">
      <c r="A563" s="267"/>
      <c r="B563" s="261" t="b">
        <v>0</v>
      </c>
      <c r="C563" s="173"/>
      <c r="D563" s="186"/>
      <c r="E563" s="275" t="s">
        <v>4187</v>
      </c>
      <c r="F563" s="274" t="s">
        <v>4187</v>
      </c>
      <c r="G563" s="274" t="s">
        <v>4187</v>
      </c>
      <c r="H563" s="274" t="s">
        <v>4187</v>
      </c>
      <c r="I563" s="187" t="str">
        <f>$I$561</f>
        <v>Toilet Acce</v>
      </c>
      <c r="J563" s="279" t="s">
        <v>4825</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ollapsed="1">
      <c r="A564" s="294" t="s">
        <v>4738</v>
      </c>
      <c r="B564" s="294" t="s">
        <v>4738</v>
      </c>
      <c r="C564" s="263" t="s">
        <v>4493</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4596</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4738</v>
      </c>
      <c r="B567" s="294" t="s">
        <v>4738</v>
      </c>
      <c r="C567" s="263" t="s">
        <v>4494</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hidden="1" customHeight="1">
      <c r="A568" s="266" t="b">
        <v>0</v>
      </c>
      <c r="B568" s="266" t="b">
        <f>IF(A568=TRUE, TRUE, FALSE)</f>
        <v>0</v>
      </c>
      <c r="C568" s="171"/>
      <c r="D568" s="186" t="s">
        <v>4597</v>
      </c>
      <c r="E568" s="209"/>
      <c r="F568" s="207"/>
      <c r="G568" s="207"/>
      <c r="H568" s="207"/>
      <c r="I568" s="208"/>
      <c r="J568" s="209"/>
      <c r="K568" s="210"/>
      <c r="L568" s="211"/>
      <c r="M568" s="207"/>
      <c r="N568" s="207"/>
      <c r="O568" s="212"/>
      <c r="P568" s="207"/>
      <c r="Q568" s="213"/>
      <c r="R568" s="9"/>
    </row>
    <row r="569" spans="1:18" ht="30" hidden="1" customHeight="1" outlineLevel="1">
      <c r="A569" s="267"/>
      <c r="B569" s="261" t="b">
        <v>0</v>
      </c>
      <c r="C569" s="173"/>
      <c r="D569" s="186"/>
      <c r="E569" s="275" t="s">
        <v>4187</v>
      </c>
      <c r="F569" s="274" t="s">
        <v>4187</v>
      </c>
      <c r="G569" s="274" t="s">
        <v>4187</v>
      </c>
      <c r="H569" s="274" t="s">
        <v>4187</v>
      </c>
      <c r="I569" s="187" t="str">
        <f>$I$567</f>
        <v>Furniture</v>
      </c>
      <c r="J569" s="279" t="s">
        <v>4586</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hidden="1" customHeight="1" collapsed="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filterColumn colId="1">
      <filters>
        <filter val="▣"/>
        <filter val="TRUE"/>
      </filters>
    </filterColumn>
  </autoFilter>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A15" workbookViewId="0">
      <selection activeCell="A12" sqref="A12"/>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0" t="s">
        <v>56</v>
      </c>
      <c r="K2" s="390"/>
      <c r="L2" s="390"/>
      <c r="M2" s="390"/>
      <c r="N2" s="390"/>
      <c r="O2" s="390"/>
      <c r="P2" s="390"/>
      <c r="Q2" s="390"/>
      <c r="R2" s="390"/>
      <c r="S2" s="390"/>
      <c r="T2" s="390"/>
      <c r="U2" s="390"/>
      <c r="V2" s="390"/>
      <c r="W2" s="390"/>
      <c r="X2" s="390"/>
      <c r="Y2" s="390"/>
      <c r="Z2" s="390"/>
      <c r="AA2" s="390"/>
      <c r="AB2" s="390"/>
      <c r="AC2" s="390"/>
      <c r="AD2" s="390"/>
      <c r="AE2" s="390"/>
      <c r="AF2" s="390"/>
      <c r="AG2" s="390"/>
      <c r="AH2" s="390"/>
      <c r="AI2" s="390"/>
      <c r="AJ2" s="390"/>
      <c r="AK2" s="390"/>
      <c r="AL2" s="390"/>
      <c r="AM2" s="390"/>
      <c r="AN2" s="390"/>
      <c r="AO2" s="390"/>
      <c r="AP2" s="390"/>
      <c r="AQ2" s="390"/>
      <c r="AR2" s="390"/>
      <c r="AS2" s="390"/>
    </row>
    <row r="3" spans="1:48" ht="13.5" customHeight="1">
      <c r="J3" s="391" t="s">
        <v>57</v>
      </c>
      <c r="K3" s="391"/>
      <c r="L3" s="391"/>
      <c r="M3" s="391"/>
      <c r="N3" s="391"/>
      <c r="O3" s="391"/>
      <c r="P3" s="391"/>
      <c r="Q3" s="391"/>
      <c r="R3" s="391"/>
      <c r="S3" s="391"/>
      <c r="T3" s="391"/>
      <c r="U3" s="391"/>
      <c r="V3" s="391"/>
      <c r="W3" s="391"/>
      <c r="X3" s="391"/>
      <c r="Y3" s="391"/>
      <c r="Z3" s="391"/>
      <c r="AA3" s="391"/>
      <c r="AB3" s="391"/>
      <c r="AC3" s="391"/>
      <c r="AD3" s="391"/>
      <c r="AE3" s="391"/>
      <c r="AF3" s="391"/>
      <c r="AG3" s="391"/>
      <c r="AH3" s="391"/>
      <c r="AI3" s="391"/>
      <c r="AJ3" s="391"/>
      <c r="AK3" s="391"/>
      <c r="AL3" s="391"/>
      <c r="AM3" s="391"/>
      <c r="AN3" s="391"/>
      <c r="AO3" s="391"/>
      <c r="AP3" s="391"/>
      <c r="AQ3" s="391"/>
      <c r="AR3" s="391"/>
      <c r="AS3" s="391"/>
    </row>
    <row r="4" spans="1:48" ht="23.25" customHeight="1">
      <c r="I4" s="389" t="s">
        <v>58</v>
      </c>
      <c r="J4" s="389" t="s">
        <v>59</v>
      </c>
      <c r="K4" s="389" t="s">
        <v>60</v>
      </c>
      <c r="L4" s="389"/>
      <c r="M4" s="389" t="s">
        <v>61</v>
      </c>
      <c r="N4" s="389"/>
      <c r="O4" s="389" t="s">
        <v>62</v>
      </c>
      <c r="P4" s="389"/>
      <c r="Q4" s="389" t="s">
        <v>63</v>
      </c>
      <c r="R4" s="389"/>
      <c r="S4" s="389"/>
      <c r="T4" s="389"/>
      <c r="U4" s="389"/>
      <c r="V4" s="389"/>
      <c r="W4" s="389"/>
      <c r="X4" s="389"/>
      <c r="Y4" s="389"/>
      <c r="Z4" s="389"/>
      <c r="AA4" s="389"/>
      <c r="AB4" s="389"/>
      <c r="AC4" s="389"/>
      <c r="AD4" s="389"/>
      <c r="AE4" s="389"/>
      <c r="AF4" s="389"/>
      <c r="AG4" s="389" t="s">
        <v>64</v>
      </c>
      <c r="AH4" s="389"/>
      <c r="AI4" s="389"/>
      <c r="AJ4" s="389"/>
      <c r="AK4" s="389"/>
      <c r="AL4" s="389"/>
      <c r="AM4" s="389"/>
      <c r="AN4" s="389"/>
      <c r="AO4" s="389"/>
      <c r="AP4" s="389" t="s">
        <v>65</v>
      </c>
      <c r="AQ4" s="389"/>
      <c r="AR4" s="389" t="s">
        <v>66</v>
      </c>
      <c r="AS4" s="389" t="s">
        <v>67</v>
      </c>
    </row>
    <row r="5" spans="1:48" ht="23.25" customHeight="1">
      <c r="B5" s="301" t="s">
        <v>4539</v>
      </c>
      <c r="C5" s="301" t="s">
        <v>4541</v>
      </c>
      <c r="D5" s="301" t="s">
        <v>68</v>
      </c>
      <c r="E5" s="301" t="s">
        <v>4538</v>
      </c>
      <c r="F5" s="301" t="s">
        <v>69</v>
      </c>
      <c r="G5" s="23"/>
      <c r="H5" s="23"/>
      <c r="I5" s="389"/>
      <c r="J5" s="389"/>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89"/>
      <c r="AS5" s="389"/>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G7&amp;" "&amp;L7&amp;" "&amp;N7&amp;" "&amp;P7</f>
        <v>A01ZZ001 Earth Work - Excavation</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G8&amp;" "&amp;L8&amp;" "&amp;N8&amp;" "&amp;P8</f>
        <v>A01ZZ001 Earth Work - Excavation</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 xml:space="preserve">A01ZZ001 Earth Work - </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A01ZZ001 Earth Work - Excavation</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A01ZZ317 Earth Work - Rock Excavation</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A01ZZ317 Earth Work - Rock Excavation</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A01ZZ317 Earth Work - Rock Excavation</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A01ZZ317 Earth Work - Rock Excavation</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A01ZZ317 Earth Work - Rock Excavation</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A01ZZ317 Earth Work - Rock Excavation</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A01ZZ003 Earth Work - Backfill</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A01ZZ003 Earth Work - Backfill</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A01ZZ003 Earth Work - Backfill</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A01ZZ004 Earth Work - Disposal</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A01ZZ004 Earth Work - Disposal</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A01ZZ004 Earth Work - Disposal</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A01ZZ004 Earth Work - Disposal</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A01ZZ004 Earth Work - Disposal</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A01ZZ005 Earth Work - Base Course</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A01ZZ005 Earth Work - Base Course</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A01ZZ005 Earth Work - Base Course</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A01ZZ005 Earth Work - Base Course</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A01ZZ006 Earth Work - Subbase Course</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A01ZZ006 Earth Work - Subbase Course</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A01ZZ006 Earth Work - Subbase Course</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A01ZZ006 Earth Work - Subbase Course</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4540</v>
      </c>
      <c r="D33" s="297" t="str">
        <f t="shared" si="0"/>
        <v>A01ZZ007 Earth Work - Fill Material (only for Module Base Frame)</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4540</v>
      </c>
      <c r="D34" s="297" t="str">
        <f t="shared" si="0"/>
        <v>A01ZZ008 Earth Work - Gravel</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4540</v>
      </c>
      <c r="D35" s="297" t="str">
        <f t="shared" si="0"/>
        <v>A01ZZ008 Earth Work - Gravel</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4540</v>
      </c>
      <c r="D36" s="297" t="str">
        <f t="shared" si="0"/>
        <v>A01ZZ009 Earth Work - Crushed Stone</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4540</v>
      </c>
      <c r="D37" s="297" t="str">
        <f t="shared" si="0"/>
        <v>A01ZZ009 Earth Work - Crushed Stone</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4540</v>
      </c>
      <c r="D38" s="297" t="str">
        <f t="shared" si="0"/>
        <v>A01ZZ010 Earth Work - Clean Sand for Cable Trench or UG Pipe</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4540</v>
      </c>
      <c r="D39" s="295" t="str">
        <f t="shared" si="0"/>
        <v>A01ZZ011 Earth Work - Anti Termite Treatment</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4540</v>
      </c>
      <c r="D40" s="297" t="str">
        <f t="shared" si="0"/>
        <v>A01ZZ012 Earth Work - PE Sheet (Vapor Barrier)</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4540</v>
      </c>
      <c r="D41" s="297" t="str">
        <f t="shared" si="0"/>
        <v>A01ZZ012 Earth Work - PE Sheet (Vapor Barrier)</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4540</v>
      </c>
      <c r="D42" s="295" t="str">
        <f t="shared" si="0"/>
        <v>A01ZZ013 Earth Work - Sheet Pile</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4540</v>
      </c>
      <c r="D43" s="295" t="str">
        <f t="shared" si="0"/>
        <v>A01ZZ095 Earth Work - Geotextile</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A02AA014 Pile Work Piling Work Reinforced Concrete Pile (Round Type)</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A02AA014 Pile Work Piling Work Reinforced Concrete Pile (Round Type)</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A02AA014 Pile Work Piling Work Reinforced Concrete Pile (Round Type)</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A02AA014 Pile Work Piling Work Reinforced Concrete Pile (Round Type)</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A02AA014 Pile Work Piling Work Reinforced Concrete Pile (Round Type)</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A02AA014 Pile Work Piling Work Reinforced Concrete Pile (Round Type)</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A02AA014 Pile Work Piling Work Reinforced Concrete Pile (Round Type)</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A02AA014 Pile Work Piling Work Reinforced Concrete Pile (Round Type)</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A02AA014 Pile Work Piling Work Reinforced Concrete Pile (Round Type)</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A02AA014 Pile Work Piling Work Reinforced Concrete Pile (Round Type)</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A02AA014 Pile Work Piling Work Reinforced Concrete Pile (Round Type)</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A02AA014 Pile Work Piling Work Reinforced Concrete Pile (Round Type)</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A02AA014 Pile Work Piling Work Reinforced Concrete Pile (Round Type)</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A02AA014 Pile Work Piling Work Reinforced Concrete Pile (Round Type)</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A02AA014 Pile Work Piling Work Reinforced Concrete Pile (Round Type)</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A02AA014 Pile Work Piling Work Reinforced Concrete Pile (Round Type)</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A02AA014 Pile Work Piling Work Reinforced Concrete Pile (Round Type)</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A02AA014 Pile Work Piling Work Reinforced Concrete Pile (Round Type)</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A02AA014 Pile Work Piling Work Reinforced Concrete Pile (Round Type)</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A02AA014 Pile Work Piling Work Reinforced Concrete Pile (Round Type)</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A02AA015 Pile Work Piling Work Reinforced Concrete Pile (Square Type)</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A02AA015 Pile Work Piling Work Reinforced Concrete Pile (Square Type)</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A02AA015 Pile Work Piling Work Reinforced Concrete Pile (Square Type)</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A02AA015 Pile Work Piling Work Reinforced Concrete Pile (Square Type)</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A02AA015 Pile Work Piling Work Reinforced Concrete Pile (Square Type)</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A02AA015 Pile Work Piling Work Reinforced Concrete Pile (Square Type)</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A02AA015 Pile Work Piling Work Reinforced Concrete Pile (Square Type)</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A02AA015 Pile Work Piling Work Reinforced Concrete Pile (Square Type)</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G72&amp;" "&amp;L72&amp;" "&amp;N72&amp;" "&amp;P72</f>
        <v>A02AA015 Pile Work Piling Work Reinforced Concrete Pile (Square Type)</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A02AA015 Pile Work Piling Work Reinforced Concrete Pile (Square Type)</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A02AA015 Pile Work Piling Work Reinforced Concrete Pile (Square Type)</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A02AA015 Pile Work Piling Work Reinforced Concrete Pile (Square Type)</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A02AA015 Pile Work Piling Work Reinforced Concrete Pile (Square Type)</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A02AA015 Pile Work Piling Work Reinforced Concrete Pile (Square Type)</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A02AA015 Pile Work Piling Work Reinforced Concrete Pile (Square Type)</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A02AA015 Pile Work Piling Work Reinforced Concrete Pile (Square Type)</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A02AA015 Pile Work Piling Work Reinforced Concrete Pile (Square Type)</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A02AA015 Pile Work Piling Work Reinforced Concrete Pile (Square Type)</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A02AA015 Pile Work Piling Work Reinforced Concrete Pile (Square Type)</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A02AA015 Pile Work Piling Work Reinforced Concrete Pile (Square Type)</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A02AA015 Pile Work Piling Work Reinforced Concrete Pile (Square Type)</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A02AA015 Pile Work Piling Work Reinforced Concrete Pile (Square Type)</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A02AA015 Pile Work Piling Work Reinforced Concrete Pile (Square Type)</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A02AA015 Pile Work Piling Work Reinforced Concrete Pile (Square Type)</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A02AA015 Pile Work Piling Work Reinforced Concrete Pile (Square Type)</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A02AA015 Pile Work Piling Work Reinforced Concrete Pile (Square Type)</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A02AA015 Pile Work Piling Work Reinforced Concrete Pile (Square Type)</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A02AA015 Pile Work Piling Work Reinforced Concrete Pile (Square Type)</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A02AA015 Pile Work Piling Work Reinforced Concrete Pile (Square Type)</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A02AA015 Pile Work Piling Work Reinforced Concrete Pile (Square Type)</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A02AA016 Pile Work Piling Work Pretensioned Concrete Pile (Type-A)</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A02AA016 Pile Work Piling Work Pretensioned Concrete Pile (Type-A)</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A02AA016 Pile Work Piling Work Pretensioned Concrete Pile (Type-A)</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A02AA016 Pile Work Piling Work Pretensioned Concrete Pile (Type-A)</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A02AA016 Pile Work Piling Work Pretensioned Concrete Pile (Type-A)</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A02AA016 Pile Work Piling Work Pretensioned Concrete Pile (Type-A)</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A02AA016 Pile Work Piling Work Pretensioned Concrete Pile (Type-A)</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A02AA016 Pile Work Piling Work Pretensioned Concrete Pile (Type-A)</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A02AA016 Pile Work Piling Work Pretensioned Concrete Pile (Type-A)</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A02AA016 Pile Work Piling Work Pretensioned Concrete Pile (Type-A)</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A02AA016 Pile Work Piling Work Pretensioned Concrete Pile (Type-A)</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A02AA016 Pile Work Piling Work Pretensioned Concrete Pile (Type-A)</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A02AA016 Pile Work Piling Work Pretensioned Concrete Pile (Type-A)</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A02AA016 Pile Work Piling Work Pretensioned Concrete Pile (Type-A)</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A02AA016 Pile Work Piling Work Pretensioned Concrete Pile (Type-A)</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A02AA016 Pile Work Piling Work Pretensioned Concrete Pile (Type-A)</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A02AA016 Pile Work Piling Work Pretensioned Concrete Pile (Type-A)</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A02AA016 Pile Work Piling Work Pretensioned Concrete Pile (Type-A)</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A02AA016 Pile Work Piling Work Pretensioned Concrete Pile (Type-A)</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A02AA016 Pile Work Piling Work Pretensioned Concrete Pile (Type-A)</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A02AA016 Pile Work Piling Work Pretensioned Concrete Pile (Type-A)</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A02AA016 Pile Work Piling Work Pretensioned Concrete Pile (Type-A)</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A02AA016 Pile Work Piling Work Pretensioned Concrete Pile (Type-A)</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A02AA016 Pile Work Piling Work Pretensioned Concrete Pile (Type-A)</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A02AA016 Pile Work Piling Work Pretensioned Concrete Pile (Type-A)</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A02AA016 Pile Work Piling Work Pretensioned Concrete Pile (Type-A)</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A02AA016 Pile Work Piling Work Pretensioned Concrete Pile (Type-A)</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A02AA016 Pile Work Piling Work Pretensioned Concrete Pile (Type-A)</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A02AA016 Pile Work Piling Work Pretensioned Concrete Pile (Type-A)</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A02AA016 Pile Work Piling Work Pretensioned Concrete Pile (Type-A)</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A02AA016 Pile Work Piling Work Pretensioned Concrete Pile (Type-A)</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A02AA016 Pile Work Piling Work Pretensioned Concrete Pile (Type-A)</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A02AA016 Pile Work Piling Work Pretensioned Concrete Pile (Type-A)</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A02AA016 Pile Work Piling Work Pretensioned Concrete Pile (Type-A)</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A02AA016 Pile Work Piling Work Pretensioned Concrete Pile (Type-A)</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A02AA016 Pile Work Piling Work Pretensioned Concrete Pile (Type-A)</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A02AA016 Pile Work Piling Work Pretensioned Concrete Pile (Type-A)</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A02AA016 Pile Work Piling Work Pretensioned Concrete Pile (Type-A)</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A02AA016 Pile Work Piling Work Pretensioned Concrete Pile (Type-A)</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A02AA016 Pile Work Piling Work Pretensioned Concrete Pile (Type-A)</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A02AA017 Pile Work Piling Work Pretensioned Concrete Pile (Type-B)</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A02AA017 Pile Work Piling Work Pretensioned Concrete Pile (Type-B)</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G136&amp;" "&amp;L136&amp;" "&amp;N136&amp;" "&amp;P136</f>
        <v>A02AA017 Pile Work Piling Work Pretensioned Concrete Pile (Type-B)</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A02AA017 Pile Work Piling Work Pretensioned Concrete Pile (Type-B)</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A02AA017 Pile Work Piling Work Pretensioned Concrete Pile (Type-B)</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A02AA017 Pile Work Piling Work Pretensioned Concrete Pile (Type-B)</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A02AA017 Pile Work Piling Work Pretensioned Concrete Pile (Type-B)</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A02AA017 Pile Work Piling Work Pretensioned Concrete Pile (Type-B)</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A02AA017 Pile Work Piling Work Pretensioned Concrete Pile (Type-B)</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A02AA017 Pile Work Piling Work Pretensioned Concrete Pile (Type-B)</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A02AA017 Pile Work Piling Work Pretensioned Concrete Pile (Type-B)</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A02AA017 Pile Work Piling Work Pretensioned Concrete Pile (Type-B)</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A02AA017 Pile Work Piling Work Pretensioned Concrete Pile (Type-B)</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A02AA017 Pile Work Piling Work Pretensioned Concrete Pile (Type-B)</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A02AA017 Pile Work Piling Work Pretensioned Concrete Pile (Type-B)</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A02AA017 Pile Work Piling Work Pretensioned Concrete Pile (Type-B)</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A02AA017 Pile Work Piling Work Pretensioned Concrete Pile (Type-B)</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A02AA017 Pile Work Piling Work Pretensioned Concrete Pile (Type-B)</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A02AA017 Pile Work Piling Work Pretensioned Concrete Pile (Type-B)</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A02AA017 Pile Work Piling Work Pretensioned Concrete Pile (Type-B)</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A02AA017 Pile Work Piling Work Pretensioned Concrete Pile (Type-B)</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A02AA017 Pile Work Piling Work Pretensioned Concrete Pile (Type-B)</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A02AA017 Pile Work Piling Work Pretensioned Concrete Pile (Type-B)</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A02AA017 Pile Work Piling Work Pretensioned Concrete Pile (Type-B)</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A02AA017 Pile Work Piling Work Pretensioned Concrete Pile (Type-B)</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A02AA017 Pile Work Piling Work Pretensioned Concrete Pile (Type-B)</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A02AA017 Pile Work Piling Work Pretensioned Concrete Pile (Type-B)</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A02AA017 Pile Work Piling Work Pretensioned Concrete Pile (Type-B)</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A02AA017 Pile Work Piling Work Pretensioned Concrete Pile (Type-B)</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A02AA017 Pile Work Piling Work Pretensioned Concrete Pile (Type-B)</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A02AA017 Pile Work Piling Work Pretensioned Concrete Pile (Type-B)</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A02AA017 Pile Work Piling Work Pretensioned Concrete Pile (Type-B)</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A02AA017 Pile Work Piling Work Pretensioned Concrete Pile (Type-B)</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A02AA017 Pile Work Piling Work Pretensioned Concrete Pile (Type-B)</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A02AA017 Pile Work Piling Work Pretensioned Concrete Pile (Type-B)</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A02AA017 Pile Work Piling Work Pretensioned Concrete Pile (Type-B)</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A02AA017 Pile Work Piling Work Pretensioned Concrete Pile (Type-B)</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A02AA017 Pile Work Piling Work Pretensioned Concrete Pile (Type-B)</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A02AA017 Pile Work Piling Work Pretensioned Concrete Pile (Type-B)</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A02AA017 Pile Work Piling Work Pretensioned Concrete Pile (Type-B)</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A02AA018 Pile Work Piling Work Pretensioned High-strength Concrete Pile (Type-A)</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A02AA018 Pile Work Piling Work Pretensioned High-strength Concrete Pile (Type-A)</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A02AA018 Pile Work Piling Work Pretensioned High-strength Concrete Pile (Type-A)</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A02AA018 Pile Work Piling Work Pretensioned High-strength Concrete Pile (Type-A)</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A02AA018 Pile Work Piling Work Pretensioned High-strength Concrete Pile (Type-A)</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A02AA018 Pile Work Piling Work Pretensioned High-strength Concrete Pile (Type-A)</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A02AA018 Pile Work Piling Work Pretensioned High-strength Concrete Pile (Type-A)</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A02AA018 Pile Work Piling Work Pretensioned High-strength Concrete Pile (Type-A)</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A02AA018 Pile Work Piling Work Pretensioned High-strength Concrete Pile (Type-A)</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A02AA018 Pile Work Piling Work Pretensioned High-strength Concrete Pile (Type-A)</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A02AA018 Pile Work Piling Work Pretensioned High-strength Concrete Pile (Type-A)</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A02AA018 Pile Work Piling Work Pretensioned High-strength Concrete Pile (Type-A)</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A02AA018 Pile Work Piling Work Pretensioned High-strength Concrete Pile (Type-A)</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A02AA018 Pile Work Piling Work Pretensioned High-strength Concrete Pile (Type-A)</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A02AA018 Pile Work Piling Work Pretensioned High-strength Concrete Pile (Type-A)</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A02AA018 Pile Work Piling Work Pretensioned High-strength Concrete Pile (Type-A)</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A02AA018 Pile Work Piling Work Pretensioned High-strength Concrete Pile (Type-A)</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A02AA018 Pile Work Piling Work Pretensioned High-strength Concrete Pile (Type-A)</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A02AA018 Pile Work Piling Work Pretensioned High-strength Concrete Pile (Type-A)</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A02AA018 Pile Work Piling Work Pretensioned High-strength Concrete Pile (Type-A)</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A02AA018 Pile Work Piling Work Pretensioned High-strength Concrete Pile (Type-A)</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A02AA018 Pile Work Piling Work Pretensioned High-strength Concrete Pile (Type-A)</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A02AA018 Pile Work Piling Work Pretensioned High-strength Concrete Pile (Type-A)</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A02AA018 Pile Work Piling Work Pretensioned High-strength Concrete Pile (Type-A)</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A02AA018 Pile Work Piling Work Pretensioned High-strength Concrete Pile (Type-A)</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A02AA018 Pile Work Piling Work Pretensioned High-strength Concrete Pile (Type-A)</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G200&amp;" "&amp;L200&amp;" "&amp;N200&amp;" "&amp;P200</f>
        <v>A02AA018 Pile Work Piling Work Pretensioned High-strength Concrete Pile (Type-A)</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A02AA018 Pile Work Piling Work Pretensioned High-strength Concrete Pile (Type-A)</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A02AA018 Pile Work Piling Work Pretensioned High-strength Concrete Pile (Type-A)</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A02AA018 Pile Work Piling Work Pretensioned High-strength Concrete Pile (Type-A)</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A02AA018 Pile Work Piling Work Pretensioned High-strength Concrete Pile (Type-A)</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A02AA018 Pile Work Piling Work Pretensioned High-strength Concrete Pile (Type-A)</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A02AA018 Pile Work Piling Work Pretensioned High-strength Concrete Pile (Type-A)</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A02AA018 Pile Work Piling Work Pretensioned High-strength Concrete Pile (Type-A)</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A02AA018 Pile Work Piling Work Pretensioned High-strength Concrete Pile (Type-A)</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A02AA018 Pile Work Piling Work Pretensioned High-strength Concrete Pile (Type-A)</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A02AA018 Pile Work Piling Work Pretensioned High-strength Concrete Pile (Type-A)</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A02AA018 Pile Work Piling Work Pretensioned High-strength Concrete Pile (Type-A)</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A02AA018 Pile Work Piling Work Pretensioned High-strength Concrete Pile (Type-A)</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A02AA018 Pile Work Piling Work Pretensioned High-strength Concrete Pile (Type-A)</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A02AA019 Pile Work Piling Work Pretensioned High-strength Concrete Pile (Type-B)</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A02AA019 Pile Work Piling Work Pretensioned High-strength Concrete Pile (Type-B)</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A02AA019 Pile Work Piling Work Pretensioned High-strength Concrete Pile (Type-B)</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A02AA019 Pile Work Piling Work Pretensioned High-strength Concrete Pile (Type-B)</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A02AA019 Pile Work Piling Work Pretensioned High-strength Concrete Pile (Type-B)</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A02AA019 Pile Work Piling Work Pretensioned High-strength Concrete Pile (Type-B)</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A02AA019 Pile Work Piling Work Pretensioned High-strength Concrete Pile (Type-B)</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A02AA019 Pile Work Piling Work Pretensioned High-strength Concrete Pile (Type-B)</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A02AA019 Pile Work Piling Work Pretensioned High-strength Concrete Pile (Type-B)</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A02AA019 Pile Work Piling Work Pretensioned High-strength Concrete Pile (Type-B)</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A02AA019 Pile Work Piling Work Pretensioned High-strength Concrete Pile (Type-B)</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A02AA019 Pile Work Piling Work Pretensioned High-strength Concrete Pile (Type-B)</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A02AA019 Pile Work Piling Work Pretensioned High-strength Concrete Pile (Type-B)</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A02AA019 Pile Work Piling Work Pretensioned High-strength Concrete Pile (Type-B)</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A02AA019 Pile Work Piling Work Pretensioned High-strength Concrete Pile (Type-B)</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A02AA019 Pile Work Piling Work Pretensioned High-strength Concrete Pile (Type-B)</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A02AA019 Pile Work Piling Work Pretensioned High-strength Concrete Pile (Type-B)</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A02AA019 Pile Work Piling Work Pretensioned High-strength Concrete Pile (Type-B)</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A02AA019 Pile Work Piling Work Pretensioned High-strength Concrete Pile (Type-B)</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A02AA019 Pile Work Piling Work Pretensioned High-strength Concrete Pile (Type-B)</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A02AA019 Pile Work Piling Work Pretensioned High-strength Concrete Pile (Type-B)</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A02AA019 Pile Work Piling Work Pretensioned High-strength Concrete Pile (Type-B)</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A02AA019 Pile Work Piling Work Pretensioned High-strength Concrete Pile (Type-B)</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A02AA019 Pile Work Piling Work Pretensioned High-strength Concrete Pile (Type-B)</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A02AA019 Pile Work Piling Work Pretensioned High-strength Concrete Pile (Type-B)</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A02AA019 Pile Work Piling Work Pretensioned High-strength Concrete Pile (Type-B)</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A02AA019 Pile Work Piling Work Pretensioned High-strength Concrete Pile (Type-B)</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A02AA019 Pile Work Piling Work Pretensioned High-strength Concrete Pile (Type-B)</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A02AA019 Pile Work Piling Work Pretensioned High-strength Concrete Pile (Type-B)</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A02AA019 Pile Work Piling Work Pretensioned High-strength Concrete Pile (Type-B)</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A02AA019 Pile Work Piling Work Pretensioned High-strength Concrete Pile (Type-B)</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A02AA019 Pile Work Piling Work Pretensioned High-strength Concrete Pile (Type-B)</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A02AA019 Pile Work Piling Work Pretensioned High-strength Concrete Pile (Type-B)</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A02AA019 Pile Work Piling Work Pretensioned High-strength Concrete Pile (Type-B)</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A02AA019 Pile Work Piling Work Pretensioned High-strength Concrete Pile (Type-B)</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A02AA019 Pile Work Piling Work Pretensioned High-strength Concrete Pile (Type-B)</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A02AA019 Pile Work Piling Work Pretensioned High-strength Concrete Pile (Type-B)</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A02AA019 Pile Work Piling Work Pretensioned High-strength Concrete Pile (Type-B)</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A02AA019 Pile Work Piling Work Pretensioned High-strength Concrete Pile (Type-B)</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A02AA019 Pile Work Piling Work Pretensioned High-strength Concrete Pile (Type-B)</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A02AA020 Pile Work Piling Work Steel Pipe Pile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A02AA020 Pile Work Piling Work Steel Pipe Pile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A02AA020 Pile Work Piling Work Steel Pipe Pile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A02AA020 Pile Work Piling Work Steel Pipe Pile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A02AA020 Pile Work Piling Work Steel Pipe Pile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A02AA020 Pile Work Piling Work Steel Pipe Pile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A02AA020 Pile Work Piling Work Steel Pipe Pile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A02AA020 Pile Work Piling Work Steel Pipe Pile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A02AA020 Pile Work Piling Work Steel Pipe Pile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A02AA020 Pile Work Piling Work Steel Pipe Pile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G264&amp;" "&amp;L264&amp;" "&amp;N264&amp;" "&amp;P264</f>
        <v>A02AA020 Pile Work Piling Work Steel Pipe Pile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A02AA020 Pile Work Piling Work Steel Pipe Pile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A02AA020 Pile Work Piling Work Steel Pipe Pile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A02AA020 Pile Work Piling Work Steel Pipe Pile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A02AA020 Pile Work Piling Work Steel Pipe Pile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A02AA020 Pile Work Piling Work Steel Pipe Pile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A02AA021 Pile Work Piling Work H-Pile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A02AA021 Pile Work Piling Work H-Pile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A02AA021 Pile Work Piling Work H-Pile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A02AA021 Pile Work Piling Work H-Pile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A02AA022 Pile Work Piling Work Micro Pile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A02AA022 Pile Work Piling Work Micro Pile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A02AA022 Pile Work Piling Work Micro Pile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A02AA022 Pile Work Piling Work Micro Pile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A02AA022 Pile Work Piling Work Micro Pile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A02AA023 Pile Work Piling Work Cast-In-Place Pile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A02AA023 Pile Work Piling Work Cast-In-Place Pile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A02AA023 Pile Work Piling Work Cast-In-Place Pile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A02AA023 Pile Work Piling Work Cast-In-Place Pile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A02AA023 Pile Work Piling Work Cast-In-Place Pile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A02AA023 Pile Work Piling Work Cast-In-Place Pile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A02AA023 Pile Work Piling Work Cast-In-Place Pile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A02AA023 Pile Work Piling Work Cast-In-Place Pile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A02AA023 Pile Work Piling Work Cast-In-Place Pile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A02AA023 Pile Work Piling Work Cast-In-Place Pile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A02AA023 Pile Work Piling Work Cast-In-Place Pile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A02AA023 Pile Work Piling Work Cast-In-Place Pile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A02AA023 Pile Work Piling Work Cast-In-Place Pile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A02AA023 Pile Work Piling Work Cast-In-Place Pile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A02AA023 Pile Work Piling Work Cast-In-Place Pile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A02AA023 Pile Work Piling Work Cast-In-Place Pile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A02AA023 Pile Work Piling Work Cast-In-Place Pile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A02AA023 Pile Work Piling Work Cast-In-Place Pile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A02AA023 Pile Work Piling Work Cast-In-Place Pile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A02AA023 Pile Work Piling Work Cast-In-Place Pile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A02AA023 Pile Work Piling Work Cast-In-Place Pile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A02AA023 Pile Work Piling Work Cast-In-Place Pile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A02AA023 Pile Work Piling Work Cast-In-Place Pile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A02AA023 Pile Work Piling Work Cast-In-Place Pile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A02AA023 Pile Work Piling Work Cast-In-Place Pile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A02AA023 Pile Work Piling Work Cast-In-Place Pile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A02AA023 Pile Work Piling Work Cast-In-Place Pile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A02AA023 Pile Work Piling Work Cast-In-Place Pile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A02AA023 Pile Work Piling Work Cast-In-Place Pile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A02AA023 Pile Work Piling Work Cast-In-Place Pile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A02AA023 Pile Work Piling Work Cast-In-Place Pile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A02AA023 Pile Work Piling Work Cast-In-Place Pile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A02AA023 Pile Work Piling Work Cast-In-Place Pile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A02AA023 Pile Work Piling Work Cast-In-Place Pile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A02AA023 Pile Work Piling Work Cast-In-Place Pile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A02AA023 Pile Work Piling Work Cast-In-Place Pile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A02AA023 Pile Work Piling Work Cast-In-Place Pile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A02AA023 Pile Work Piling Work Cast-In-Place Pile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A02AA023 Pile Work Piling Work Cast-In-Place Pile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A02AA023 Pile Work Piling Work Cast-In-Place Pile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A02AA023 Pile Work Piling Work Cast-In-Place Pile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A02AA023 Pile Work Piling Work Cast-In-Place Pile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A02AA023 Pile Work Piling Work Cast-In-Place Pile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A02AA023 Pile Work Piling Work Cast-In-Place Pile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A02AB014 Pile Work Pile Head Treatment Reinforced Concrete Pile (Round Type)</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A02AB014 Pile Work Pile Head Treatment Reinforced Concrete Pile (Round Type)</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A02AB014 Pile Work Pile Head Treatment Reinforced Concrete Pile (Round Type)</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A02AB014 Pile Work Pile Head Treatment Reinforced Concrete Pile (Round Type)</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A02AB015 Pile Work Pile Head Treatment Reinforced Concrete Pile (Square Type)</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G328&amp;" "&amp;L328&amp;" "&amp;N328&amp;" "&amp;P328</f>
        <v>A02AB015 Pile Work Pile Head Treatment Reinforced Concrete Pile (Square Type)</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A02AB015 Pile Work Pile Head Treatment Reinforced Concrete Pile (Square Type)</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A02AB015 Pile Work Pile Head Treatment Reinforced Concrete Pile (Square Type)</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A02AB015 Pile Work Pile Head Treatment Reinforced Concrete Pile (Square Type)</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A02AB015 Pile Work Pile Head Treatment Reinforced Concrete Pile (Square Type)</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A02AB016 Pile Work Pile Head Treatment Pretensioned Concrete Pile (Type-A)</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A02AB016 Pile Work Pile Head Treatment Pretensioned Concrete Pile (Type-A)</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A02AB016 Pile Work Pile Head Treatment Pretensioned Concrete Pile (Type-A)</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A02AB016 Pile Work Pile Head Treatment Pretensioned Concrete Pile (Type-A)</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A02AB016 Pile Work Pile Head Treatment Pretensioned Concrete Pile (Type-A)</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A02AB016 Pile Work Pile Head Treatment Pretensioned Concrete Pile (Type-A)</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A02AB016 Pile Work Pile Head Treatment Pretensioned Concrete Pile (Type-A)</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A02AB016 Pile Work Pile Head Treatment Pretensioned Concrete Pile (Type-A)</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A02AB017 Pile Work Pile Head Treatment Pretensioned Concrete Pile (Type-B)</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A02AB017 Pile Work Pile Head Treatment Pretensioned Concrete Pile (Type-B)</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A02AB017 Pile Work Pile Head Treatment Pretensioned Concrete Pile (Type-B)</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A02AB017 Pile Work Pile Head Treatment Pretensioned Concrete Pile (Type-B)</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A02AB017 Pile Work Pile Head Treatment Pretensioned Concrete Pile (Type-B)</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A02AB017 Pile Work Pile Head Treatment Pretensioned Concrete Pile (Type-B)</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A02AB017 Pile Work Pile Head Treatment Pretensioned Concrete Pile (Type-B)</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A02AB017 Pile Work Pile Head Treatment Pretensioned Concrete Pile (Type-B)</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A02AB018 Pile Work Pile Head Treatment Pretensioned High-strength Concrete Pile (Type-A)</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A02AB018 Pile Work Pile Head Treatment Pretensioned High-strength Concrete Pile (Type-A)</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A02AB018 Pile Work Pile Head Treatment Pretensioned High-strength Concrete Pile (Type-A)</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A02AB018 Pile Work Pile Head Treatment Pretensioned High-strength Concrete Pile (Type-A)</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A02AB018 Pile Work Pile Head Treatment Pretensioned High-strength Concrete Pile (Type-A)</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A02AB018 Pile Work Pile Head Treatment Pretensioned High-strength Concrete Pile (Type-A)</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A02AB018 Pile Work Pile Head Treatment Pretensioned High-strength Concrete Pile (Type-A)</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A02AB018 Pile Work Pile Head Treatment Pretensioned High-strength Concrete Pile (Type-A)</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A02AB019 Pile Work Pile Head Treatment Pretensioned High-strength Concrete Pile (Type-B)</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A02AB019 Pile Work Pile Head Treatment Pretensioned High-strength Concrete Pile (Type-B)</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A02AB019 Pile Work Pile Head Treatment Pretensioned High-strength Concrete Pile (Type-B)</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A02AB019 Pile Work Pile Head Treatment Pretensioned High-strength Concrete Pile (Type-B)</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A02AB019 Pile Work Pile Head Treatment Pretensioned High-strength Concrete Pile (Type-B)</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A02AB019 Pile Work Pile Head Treatment Pretensioned High-strength Concrete Pile (Type-B)</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A02AB019 Pile Work Pile Head Treatment Pretensioned High-strength Concrete Pile (Type-B)</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A02AB019 Pile Work Pile Head Treatment Pretensioned High-strength Concrete Pile (Type-B)</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A02AB020 Pile Work Pile Head Treatment Steel Pipe Pile Work</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A02AB020 Pile Work Pile Head Treatment Steel Pipe Pile Work</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A02AB020 Pile Work Pile Head Treatment Steel Pipe Pile Work</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A02AB020 Pile Work Pile Head Treatment Steel Pipe Pile Work</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A02AB020 Pile Work Pile Head Treatment Steel Pipe Pile Work</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A02AB020 Pile Work Pile Head Treatment Steel Pipe Pile Work</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A02AB020 Pile Work Pile Head Treatment Steel Pipe Pile Work</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A02AB020 Pile Work Pile Head Treatment Steel Pipe Pile Work</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A02AB021 Pile Work Pile Head Treatment H-Pile Work</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A02AB021 Pile Work Pile Head Treatment H-Pile Work</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A02AB021 Pile Work Pile Head Treatment H-Pile Work</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A02AB021 Pile Work Pile Head Treatment H-Pile Work</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A02AB022 Pile Work Pile Head Treatment Micro Pile Work</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A02AB022 Pile Work Pile Head Treatment Micro Pile Work</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A02AB022 Pile Work Pile Head Treatment Micro Pile Work</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A02AB022 Pile Work Pile Head Treatment Micro Pile Work</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A02AB022 Pile Work Pile Head Treatment Micro Pile Work</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A02AB023 Pile Work Pile Head Treatment Cast-In-Place Pile Work</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A02AB023 Pile Work Pile Head Treatment Cast-In-Place Pile Work</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A02AB023 Pile Work Pile Head Treatment Cast-In-Place Pile Work</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A02AB023 Pile Work Pile Head Treatment Cast-In-Place Pile Work</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A02AB023 Pile Work Pile Head Treatment Cast-In-Place Pile Work</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A02AB023 Pile Work Pile Head Treatment Cast-In-Place Pile Work</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A02AB023 Pile Work Pile Head Treatment Cast-In-Place Pile Work</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A02AB023 Pile Work Pile Head Treatment Cast-In-Place Pile Work</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A02AB023 Pile Work Pile Head Treatment Cast-In-Place Pile Work</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A02AB023 Pile Work Pile Head Treatment Cast-In-Place Pile Work</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G392&amp;" "&amp;L392&amp;" "&amp;N392&amp;" "&amp;P392</f>
        <v>A02AB023 Pile Work Pile Head Treatment Cast-In-Place Pile Work</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A02AB023 Pile Work Pile Head Treatment Cast-In-Place Pile Work</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4540</v>
      </c>
      <c r="D394" s="297" t="str">
        <f t="shared" si="18"/>
        <v>A02AC024 Pile Work Pile Test Static Axial Compressive Load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4540</v>
      </c>
      <c r="D395" s="297" t="str">
        <f t="shared" si="18"/>
        <v>A02AC025 Pile Work Pile Test Static Axial Tensile Load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4540</v>
      </c>
      <c r="D396" s="297" t="str">
        <f t="shared" si="18"/>
        <v>A02AC026 Pile Work Pile Test Lateral Load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4540</v>
      </c>
      <c r="D397" s="297" t="str">
        <f t="shared" si="18"/>
        <v>A02AC027 Pile Work Pile Test Dynamic Load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4540</v>
      </c>
      <c r="D398" s="297" t="str">
        <f t="shared" si="18"/>
        <v>A02AC028 Pile Work Pile Test Integrity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4540</v>
      </c>
      <c r="D399" s="295" t="str">
        <f t="shared" si="18"/>
        <v>A03AD029 Concrete Work Substructure Work Anchor Bolt (Installation only)</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4540</v>
      </c>
      <c r="D400" s="295" t="str">
        <f t="shared" si="18"/>
        <v>A03AD029 Concrete Work Substructure Work Anchor Bolt (Installation only)</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4540</v>
      </c>
      <c r="D401" s="295" t="str">
        <f t="shared" si="18"/>
        <v>A03AD029 Concrete Work Substructure Work Anchor Bolt (Installation only)</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4540</v>
      </c>
      <c r="D402" s="295" t="str">
        <f t="shared" si="18"/>
        <v>A03AD029 Concrete Work Substructure Work Anchor Bolt (Installation only)</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4540</v>
      </c>
      <c r="D403" s="295" t="str">
        <f t="shared" si="18"/>
        <v>A03AD029 Concrete Work Substructure Work Anchor Bolt (Installation only)</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4540</v>
      </c>
      <c r="D404" s="295" t="str">
        <f t="shared" si="18"/>
        <v>A03AD029 Concrete Work Substructure Work Anchor Bolt (Installation only)</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4540</v>
      </c>
      <c r="D405" s="295" t="str">
        <f t="shared" si="18"/>
        <v>A03AD029 Concrete Work Substructure Work Anchor Bolt (Installation only)</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4540</v>
      </c>
      <c r="D406" s="295" t="str">
        <f t="shared" si="18"/>
        <v>A03AD029 Concrete Work Substructure Work Anchor Bolt (Installation only)</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4540</v>
      </c>
      <c r="D407" s="295" t="str">
        <f t="shared" si="18"/>
        <v>A03AD029 Concrete Work Substructure Work Anchor Bolt (Installation only)</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4540</v>
      </c>
      <c r="D408" s="295" t="str">
        <f t="shared" si="18"/>
        <v>A03AD029 Concrete Work Substructure Work Anchor Bolt (Installation only)</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4540</v>
      </c>
      <c r="D409" s="295" t="str">
        <f t="shared" si="18"/>
        <v>A03AD029 Concrete Work Substructure Work Anchor Bolt (Installation only)</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4540</v>
      </c>
      <c r="D410" s="295" t="str">
        <f t="shared" si="18"/>
        <v>A03AD029 Concrete Work Substructure Work Anchor Bolt (Installation only)</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4540</v>
      </c>
      <c r="D411" s="295" t="str">
        <f t="shared" si="18"/>
        <v>A03AD029 Concrete Work Substructure Work Anchor Bolt (Installation only)</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4540</v>
      </c>
      <c r="D412" s="295" t="str">
        <f t="shared" si="18"/>
        <v>A03AD029 Concrete Work Substructure Work Anchor Bolt (Installation only)</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4540</v>
      </c>
      <c r="D413" s="295" t="str">
        <f t="shared" si="18"/>
        <v>A03AD029 Concrete Work Substructure Work Anchor Bolt (Installation only)</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4540</v>
      </c>
      <c r="D414" s="295" t="str">
        <f t="shared" si="18"/>
        <v>A03AD029 Concrete Work Substructure Work Anchor Bolt (Installation only)</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4540</v>
      </c>
      <c r="D415" s="295" t="str">
        <f t="shared" si="18"/>
        <v>A03AD029 Concrete Work Substructure Work Anchor Bolt (Installation only)</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4540</v>
      </c>
      <c r="D416" s="295" t="str">
        <f t="shared" si="18"/>
        <v>A03AD329 Concrete Work Substructure Work Anchor Bolt (Purchase &amp; Installation)</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4540</v>
      </c>
      <c r="D417" s="295" t="str">
        <f t="shared" si="18"/>
        <v>A03AD329 Concrete Work Substructure Work Anchor Bolt (Purchase &amp; Installation)</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4540</v>
      </c>
      <c r="D418" s="295" t="str">
        <f t="shared" si="18"/>
        <v>A03AD329 Concrete Work Substructure Work Anchor Bolt (Purchase &amp; Installation)</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4540</v>
      </c>
      <c r="D419" s="295" t="str">
        <f t="shared" si="18"/>
        <v>A03AD329 Concrete Work Substructure Work Anchor Bolt (Purchase &amp; Installation)</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4540</v>
      </c>
      <c r="D420" s="295" t="str">
        <f t="shared" si="18"/>
        <v>A03AD329 Concrete Work Substructure Work Anchor Bolt (Purchase &amp; Installation)</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4540</v>
      </c>
      <c r="D421" s="295" t="str">
        <f t="shared" si="18"/>
        <v>A03AD329 Concrete Work Substructure Work Anchor Bolt (Purchase &amp; Installation)</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4540</v>
      </c>
      <c r="D422" s="295" t="str">
        <f t="shared" si="18"/>
        <v>A03AD329 Concrete Work Substructure Work Anchor Bolt (Purchase &amp; Installation)</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4540</v>
      </c>
      <c r="D423" s="295" t="str">
        <f t="shared" si="18"/>
        <v>A03AD329 Concrete Work Substructure Work Anchor Bolt (Purchase &amp; Installation)</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4540</v>
      </c>
      <c r="D424" s="295" t="str">
        <f t="shared" si="18"/>
        <v>A03AD329 Concrete Work Substructure Work Anchor Bolt (Purchase &amp; Installation)</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4540</v>
      </c>
      <c r="D425" s="295" t="str">
        <f t="shared" si="18"/>
        <v>A03AD329 Concrete Work Substructure Work Anchor Bolt (Purchase &amp; Installation)</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4540</v>
      </c>
      <c r="D426" s="295" t="str">
        <f t="shared" si="18"/>
        <v>A03AD329 Concrete Work Substructure Work Anchor Bolt (Purchase &amp; Installation)</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4540</v>
      </c>
      <c r="D427" s="295" t="str">
        <f t="shared" si="18"/>
        <v>A03AD329 Concrete Work Substructure Work Anchor Bolt (Purchase &amp; Installation)</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4540</v>
      </c>
      <c r="D428" s="295" t="str">
        <f t="shared" si="18"/>
        <v>A03AD329 Concrete Work Substructure Work Anchor Bolt (Purchase &amp; Installation)</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4540</v>
      </c>
      <c r="D429" s="295" t="str">
        <f t="shared" si="18"/>
        <v>A03AD329 Concrete Work Substructure Work Anchor Bolt (Purchase &amp; Installation)</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4540</v>
      </c>
      <c r="D430" s="295" t="str">
        <f t="shared" si="18"/>
        <v>A03AD329 Concrete Work Substructure Work Anchor Bolt (Purchase &amp; Installation)</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4540</v>
      </c>
      <c r="D431" s="295" t="str">
        <f t="shared" si="18"/>
        <v>A03AD329 Concrete Work Substructure Work Anchor Bolt (Purchase &amp; Installation)</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4540</v>
      </c>
      <c r="D432" s="295" t="str">
        <f t="shared" si="18"/>
        <v>A03AD329 Concrete Work Substructure Work Anchor Bolt (Purchase &amp; Installation)</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4540</v>
      </c>
      <c r="D433" s="295" t="str">
        <f t="shared" si="18"/>
        <v>A03AD030 Concrete Work Substructure Work Chemical Anchor Bolt</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4540</v>
      </c>
      <c r="D434" s="295" t="str">
        <f t="shared" si="18"/>
        <v>A03AD030 Concrete Work Substructure Work Chemical Anchor Bolt</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4540</v>
      </c>
      <c r="D435" s="295" t="str">
        <f t="shared" si="18"/>
        <v>A03AD030 Concrete Work Substructure Work Chemical Anchor Bolt</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4540</v>
      </c>
      <c r="D436" s="295" t="str">
        <f t="shared" si="18"/>
        <v>A03AD030 Concrete Work Substructure Work Chemical Anchor Bolt</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4540</v>
      </c>
      <c r="D437" s="295" t="str">
        <f t="shared" si="18"/>
        <v>A03AD030 Concrete Work Substructure Work Chemical Anchor Bolt</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4540</v>
      </c>
      <c r="D438" s="295" t="str">
        <f t="shared" si="18"/>
        <v>A03AD030 Concrete Work Substructure Work Chemical Anchor Bolt</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4540</v>
      </c>
      <c r="D439" s="295" t="str">
        <f t="shared" si="18"/>
        <v>A03AD031 Concrete Work Substructure Work Expansion Anchor Bolt</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4540</v>
      </c>
      <c r="D440" s="295" t="str">
        <f t="shared" si="18"/>
        <v>A03AD031 Concrete Work Substructure Work Expansion Anchor Bolt</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4540</v>
      </c>
      <c r="D441" s="295" t="str">
        <f t="shared" si="18"/>
        <v>A03AD031 Concrete Work Substructure Work Expansion Anchor Bolt</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4540</v>
      </c>
      <c r="D442" s="295" t="str">
        <f t="shared" si="18"/>
        <v>A03AD031 Concrete Work Substructure Work Expansion Anchor Bolt</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4540</v>
      </c>
      <c r="D443" s="295" t="str">
        <f t="shared" si="18"/>
        <v>A03AD031 Concrete Work Substructure Work Expansion Anchor Bolt</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4540</v>
      </c>
      <c r="D444" s="295" t="str">
        <f t="shared" si="18"/>
        <v>A03AD031 Concrete Work Substructure Work Expansion Anchor Bolt</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A03AD032 Concrete Work Substructure Work Structural Concrete</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A03AD032 Concrete Work Substructure Work Structural Concrete</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A03AD032 Concrete Work Substructure Work Structural Concrete</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A03AD032 Concrete Work Substructure Work Structural Concrete</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A03AD032 Concrete Work Substructure Work Structural Concrete</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A03AD032 Concrete Work Substructure Work Structural Concrete</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A03AD032 Concrete Work Substructure Work Structural Concrete</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A03AD032 Concrete Work Substructure Work Structural Concrete</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A03AD032 Concrete Work Substructure Work Structural Concrete</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A03AD032 Concrete Work Substructure Work Structural Concrete</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A03AD032 Concrete Work Substructure Work Structural Concrete</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G456&amp;" "&amp;L456&amp;" "&amp;N456&amp;" "&amp;P456</f>
        <v>A03AD032 Concrete Work Substructure Work Structural Concrete</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A03AD032 Concrete Work Substructure Work Structural Concrete</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A03AD032 Concrete Work Substructure Work Structural Concrete</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A03AD032 Concrete Work Substructure Work Structural Concrete</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A03AD033 Concrete Work Substructure Work Colored Concrete</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A03AD033 Concrete Work Substructure Work Colored Concrete</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A03AD033 Concrete Work Substructure Work Colored Concrete</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A03AD033 Concrete Work Substructure Work Colored Concrete</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A03AD033 Concrete Work Substructure Work Colored Concrete</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A03AD033 Concrete Work Substructure Work Colored Concrete</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A03AD033 Concrete Work Substructure Work Colored Concrete</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A03AD033 Concrete Work Substructure Work Colored Concrete</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A03AD033 Concrete Work Substructure Work Colored Concrete</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A03AD033 Concrete Work Substructure Work Colored Concrete</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A03AD033 Concrete Work Substructure Work Colored Concrete</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A03AD033 Concrete Work Substructure Work Colored Concrete</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A03AD033 Concrete Work Substructure Work Colored Concrete</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A03AD033 Concrete Work Substructure Work Colored Concrete</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A03AD033 Concrete Work Substructure Work Colored Concrete</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A03AD034 Concrete Work Substructure Work Lean Concrete (including Form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A03AD034 Concrete Work Substructure Work Lean Concrete (including Form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A03AD034 Concrete Work Substructure Work Lean Concrete (including Form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A03AD034 Concrete Work Substructure Work Lean Concrete (including Form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A03AD034 Concrete Work Substructure Work Lean Concrete (including Form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A03AD034 Concrete Work Substructure Work Lean Concrete (including Form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A03AD034 Concrete Work Substructure Work Lean Concrete (including Form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A03AD034 Concrete Work Substructure Work Lean Concrete (including Form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A03AD034 Concrete Work Substructure Work Lean Concrete (including Form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A03AD035 Concrete Work Substructure Work Form Work (3 times in use)</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A03AD035 Concrete Work Substructure Work Form Work (3 times in use)</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A03AD036 Concrete Work Substructure Work Form Work (1 time in use)</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A03AD036 Concrete Work Substructure Work Form Work (1 time in use)</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A03AD037 Concrete Work Substructure Work Rebar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A03AD037 Concrete Work Substructure Work Rebar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A03AD037 Concrete Work Substructure Work Rebar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A03AD037 Concrete Work Substructure Work Rebar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A03AD037 Concrete Work Substructure Work Rebar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A03AD037 Concrete Work Substructure Work Rebar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A03AD037 Concrete Work Substructure Work Rebar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A03AD037 Concrete Work Substructure Work Rebar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4540</v>
      </c>
      <c r="D496" s="297" t="str">
        <f t="shared" si="21"/>
        <v>A03AD038 Concrete Work Substructure Work Welded Wire Fabric</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4540</v>
      </c>
      <c r="D497" s="297" t="str">
        <f t="shared" si="21"/>
        <v>A03AD038 Concrete Work Substructure Work Welded Wire Fabric</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4540</v>
      </c>
      <c r="D498" s="295" t="str">
        <f t="shared" si="21"/>
        <v>A03AD039 Concrete Work Substructure Work Expansion Joint (Exposed Type)</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4540</v>
      </c>
      <c r="D499" s="295" t="str">
        <f t="shared" si="21"/>
        <v>A03AD040 Concrete Work Substructure Work Expansion Joint (w/ Aluminum Cover)</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4540</v>
      </c>
      <c r="D500" s="295" t="str">
        <f t="shared" si="21"/>
        <v>A03AD041 Concrete Work Substructure Work Expansion Joint (w/ Galvanized Steel Cover)</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4540</v>
      </c>
      <c r="D501" s="295" t="str">
        <f t="shared" si="21"/>
        <v>A03AD042 Concrete Work Substructure Work Expansion Joint (w/ Stainless Steel Cover)</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4540</v>
      </c>
      <c r="D502" s="295" t="str">
        <f t="shared" si="21"/>
        <v>A03AD043 Concrete Work Substructure Work Expansion Joint (w/ Ready-Made Cover)</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4540</v>
      </c>
      <c r="D503" s="295" t="str">
        <f t="shared" si="21"/>
        <v>A03AD044 Concrete Work Substructure Work Isolation Joint (Separation Joint)</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4540</v>
      </c>
      <c r="D504" s="295" t="str">
        <f t="shared" si="21"/>
        <v>A03AD045 Concrete Work Substructure Work Control Joint</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4540</v>
      </c>
      <c r="D505" s="295" t="str">
        <f t="shared" si="21"/>
        <v>A03AD045 Concrete Work Substructure Work Control Joint</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4540</v>
      </c>
      <c r="D506" s="295" t="str">
        <f t="shared" si="21"/>
        <v>A03AD046 Concrete Work Substructure Work Water Stop</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4540</v>
      </c>
      <c r="D507" s="295" t="str">
        <f t="shared" si="21"/>
        <v>A03AD046 Concrete Work Substructure Work Water Stop</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4540</v>
      </c>
      <c r="D508" s="295" t="str">
        <f t="shared" si="21"/>
        <v>A03AD046 Concrete Work Substructure Work Water Stop</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4540</v>
      </c>
      <c r="D509" s="295" t="str">
        <f t="shared" si="21"/>
        <v>A03AD046 Concrete Work Substructure Work Water Stop</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4540</v>
      </c>
      <c r="D510" s="297" t="str">
        <f t="shared" si="21"/>
        <v>A03AD047 Concrete Work Substructure Work Insulation under Ground Floor</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4540</v>
      </c>
      <c r="D511" s="297" t="str">
        <f t="shared" si="21"/>
        <v>A03AD047 Concrete Work Substructure Work Insulation under Ground Floor</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4540</v>
      </c>
      <c r="D512" s="297" t="str">
        <f t="shared" si="21"/>
        <v>A03AD047 Concrete Work Substructure Work Insulation under Ground Floor</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4540</v>
      </c>
      <c r="D513" s="297" t="str">
        <f t="shared" si="21"/>
        <v>A03AD047 Concrete Work Substructure Work Insulation under Ground Floor</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4540</v>
      </c>
      <c r="D514" s="295" t="str">
        <f t="shared" si="21"/>
        <v>A03AD048 Concrete Work Substructure Work Ladder Rung</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4540</v>
      </c>
      <c r="D515" s="295" t="str">
        <f t="shared" si="21"/>
        <v>A03AD048 Concrete Work Substructure Work Ladder Rung</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4540</v>
      </c>
      <c r="D516" s="295" t="str">
        <f t="shared" si="21"/>
        <v>A03AD048 Concrete Work Substructure Work Ladder Rung</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4540</v>
      </c>
      <c r="D517" s="295" t="str">
        <f t="shared" si="21"/>
        <v>A03AD048 Concrete Work Substructure Work Ladder Rung</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4540</v>
      </c>
      <c r="D518" s="295" t="str">
        <f t="shared" si="21"/>
        <v>A03AD048 Concrete Work Substructure Work Ladder Rung</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4540</v>
      </c>
      <c r="D519" s="297" t="str">
        <f t="shared" si="21"/>
        <v>A03AD049 Concrete Work Substructure Work Embedded Steel(Steel Plate, Corner Angle and etc.) w/ Anchor Bar (Purchase &amp; Installation)</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4540</v>
      </c>
      <c r="D520" s="297" t="str">
        <f t="shared" ref="D520:D583" si="24">G520&amp;" "&amp;L520&amp;" "&amp;N520&amp;" "&amp;P520</f>
        <v>A03AD049 Concrete Work Substructure Work Embedded Steel(Steel Plate, Corner Angle and etc.) w/ Anchor Bar (Purchase &amp; Installation)</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4540</v>
      </c>
      <c r="D521" s="297" t="str">
        <f t="shared" si="24"/>
        <v>A03AD049 Concrete Work Substructure Work Embedded Steel(Steel Plate, Corner Angle and etc.) w/ Anchor Bar (Purchase &amp; Installation)</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4540</v>
      </c>
      <c r="D522" s="297" t="str">
        <f t="shared" si="24"/>
        <v>A03AD049 Concrete Work Substructure Work Embedded Steel(Steel Plate, Corner Angle and etc.) w/ Anchor Bar (Purchase &amp; Installation)</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4540</v>
      </c>
      <c r="D523" s="297" t="str">
        <f t="shared" si="24"/>
        <v>A03AD050 Concrete Work Substructure Work Embedded Steel(Steel Plate, Corner Angle and etc.) w/ Anchor Bar (Installation Only)</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4540</v>
      </c>
      <c r="D524" s="297" t="str">
        <f t="shared" si="24"/>
        <v>A03AD050 Concrete Work Substructure Work Embedded Steel(Steel Plate, Corner Angle and etc.) w/ Anchor Bar (Installation Only)</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4540</v>
      </c>
      <c r="D525" s="297" t="str">
        <f t="shared" si="24"/>
        <v>A03AD050 Concrete Work Substructure Work Embedded Steel(Steel Plate, Corner Angle and etc.) w/ Anchor Bar (Installation Only)</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4540</v>
      </c>
      <c r="D526" s="297" t="str">
        <f t="shared" si="24"/>
        <v>A03AD050 Concrete Work Substructure Work Embedded Steel(Steel Plate, Corner Angle and etc.) w/ Anchor Bar (Installation Only)</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4540</v>
      </c>
      <c r="D527" s="295" t="str">
        <f t="shared" si="24"/>
        <v>A03AE029 Concrete Work Mass Concrete Work Anchor Bolt (Installation only)</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4540</v>
      </c>
      <c r="D528" s="295" t="str">
        <f t="shared" si="24"/>
        <v>A03AE029 Concrete Work Mass Concrete Work Anchor Bolt (Installation only)</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4540</v>
      </c>
      <c r="D529" s="295" t="str">
        <f t="shared" si="24"/>
        <v>A03AE029 Concrete Work Mass Concrete Work Anchor Bolt (Installation only)</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4540</v>
      </c>
      <c r="D530" s="295" t="str">
        <f t="shared" si="24"/>
        <v>A03AE029 Concrete Work Mass Concrete Work Anchor Bolt (Installation only)</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4540</v>
      </c>
      <c r="D531" s="295" t="str">
        <f t="shared" si="24"/>
        <v>A03AE029 Concrete Work Mass Concrete Work Anchor Bolt (Installation only)</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4540</v>
      </c>
      <c r="D532" s="295" t="str">
        <f t="shared" si="24"/>
        <v>A03AE029 Concrete Work Mass Concrete Work Anchor Bolt (Installation only)</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4540</v>
      </c>
      <c r="D533" s="295" t="str">
        <f t="shared" si="24"/>
        <v>A03AE029 Concrete Work Mass Concrete Work Anchor Bolt (Installation only)</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4540</v>
      </c>
      <c r="D534" s="295" t="str">
        <f t="shared" si="24"/>
        <v>A03AE029 Concrete Work Mass Concrete Work Anchor Bolt (Installation only)</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4540</v>
      </c>
      <c r="D535" s="295" t="str">
        <f t="shared" si="24"/>
        <v>A03AE029 Concrete Work Mass Concrete Work Anchor Bolt (Installation only)</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4540</v>
      </c>
      <c r="D536" s="295" t="str">
        <f t="shared" si="24"/>
        <v>A03AE029 Concrete Work Mass Concrete Work Anchor Bolt (Installation only)</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4540</v>
      </c>
      <c r="D537" s="295" t="str">
        <f t="shared" si="24"/>
        <v>A03AE029 Concrete Work Mass Concrete Work Anchor Bolt (Installation only)</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4540</v>
      </c>
      <c r="D538" s="295" t="str">
        <f t="shared" si="24"/>
        <v>A03AE029 Concrete Work Mass Concrete Work Anchor Bolt (Installation only)</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4540</v>
      </c>
      <c r="D539" s="295" t="str">
        <f t="shared" si="24"/>
        <v>A03AE029 Concrete Work Mass Concrete Work Anchor Bolt (Installation only)</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4540</v>
      </c>
      <c r="D540" s="295" t="str">
        <f t="shared" si="24"/>
        <v>A03AE029 Concrete Work Mass Concrete Work Anchor Bolt (Installation only)</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4540</v>
      </c>
      <c r="D541" s="295" t="str">
        <f t="shared" si="24"/>
        <v>A03AE029 Concrete Work Mass Concrete Work Anchor Bolt (Installation only)</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4540</v>
      </c>
      <c r="D542" s="295" t="str">
        <f t="shared" si="24"/>
        <v>A03AE029 Concrete Work Mass Concrete Work Anchor Bolt (Installation only)</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4540</v>
      </c>
      <c r="D543" s="295" t="str">
        <f t="shared" si="24"/>
        <v>A03AE029 Concrete Work Mass Concrete Work Anchor Bolt (Installation only)</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4540</v>
      </c>
      <c r="D544" s="295" t="str">
        <f t="shared" si="24"/>
        <v>A03AE329 Concrete Work Mass Concrete Work Anchor Bolt (Purchase &amp; Installation)</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4540</v>
      </c>
      <c r="D545" s="295" t="str">
        <f t="shared" si="24"/>
        <v>A03AE329 Concrete Work Mass Concrete Work Anchor Bolt (Purchase &amp; Installation)</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4540</v>
      </c>
      <c r="D546" s="295" t="str">
        <f t="shared" si="24"/>
        <v>A03AE329 Concrete Work Mass Concrete Work Anchor Bolt (Purchase &amp; Installation)</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4540</v>
      </c>
      <c r="D547" s="295" t="str">
        <f t="shared" si="24"/>
        <v>A03AE329 Concrete Work Mass Concrete Work Anchor Bolt (Purchase &amp; Installation)</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4540</v>
      </c>
      <c r="D548" s="295" t="str">
        <f t="shared" si="24"/>
        <v>A03AE329 Concrete Work Mass Concrete Work Anchor Bolt (Purchase &amp; Installation)</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4540</v>
      </c>
      <c r="D549" s="295" t="str">
        <f t="shared" si="24"/>
        <v>A03AE329 Concrete Work Mass Concrete Work Anchor Bolt (Purchase &amp; Installation)</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4540</v>
      </c>
      <c r="D550" s="295" t="str">
        <f t="shared" si="24"/>
        <v>A03AE329 Concrete Work Mass Concrete Work Anchor Bolt (Purchase &amp; Installation)</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4540</v>
      </c>
      <c r="D551" s="295" t="str">
        <f t="shared" si="24"/>
        <v>A03AE329 Concrete Work Mass Concrete Work Anchor Bolt (Purchase &amp; Installation)</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4540</v>
      </c>
      <c r="D552" s="295" t="str">
        <f t="shared" si="24"/>
        <v>A03AE329 Concrete Work Mass Concrete Work Anchor Bolt (Purchase &amp; Installation)</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4540</v>
      </c>
      <c r="D553" s="295" t="str">
        <f t="shared" si="24"/>
        <v>A03AE329 Concrete Work Mass Concrete Work Anchor Bolt (Purchase &amp; Installation)</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4540</v>
      </c>
      <c r="D554" s="295" t="str">
        <f t="shared" si="24"/>
        <v>A03AE329 Concrete Work Mass Concrete Work Anchor Bolt (Purchase &amp; Installation)</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4540</v>
      </c>
      <c r="D555" s="295" t="str">
        <f t="shared" si="24"/>
        <v>A03AE329 Concrete Work Mass Concrete Work Anchor Bolt (Purchase &amp; Installation)</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4540</v>
      </c>
      <c r="D556" s="295" t="str">
        <f t="shared" si="24"/>
        <v>A03AE329 Concrete Work Mass Concrete Work Anchor Bolt (Purchase &amp; Installation)</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4540</v>
      </c>
      <c r="D557" s="295" t="str">
        <f t="shared" si="24"/>
        <v>A03AE329 Concrete Work Mass Concrete Work Anchor Bolt (Purchase &amp; Installation)</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4540</v>
      </c>
      <c r="D558" s="295" t="str">
        <f t="shared" si="24"/>
        <v>A03AE329 Concrete Work Mass Concrete Work Anchor Bolt (Purchase &amp; Installation)</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4540</v>
      </c>
      <c r="D559" s="295" t="str">
        <f t="shared" si="24"/>
        <v>A03AE329 Concrete Work Mass Concrete Work Anchor Bolt (Purchase &amp; Installation)</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4540</v>
      </c>
      <c r="D560" s="295" t="str">
        <f t="shared" si="24"/>
        <v>A03AE329 Concrete Work Mass Concrete Work Anchor Bolt (Purchase &amp; Installation)</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4540</v>
      </c>
      <c r="D561" s="295" t="str">
        <f t="shared" si="24"/>
        <v>A03AE030 Concrete Work Mass Concrete Work Chemical Anchor Bolt</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4540</v>
      </c>
      <c r="D562" s="295" t="str">
        <f t="shared" si="24"/>
        <v>A03AE030 Concrete Work Mass Concrete Work Chemical Anchor Bolt</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4540</v>
      </c>
      <c r="D563" s="295" t="str">
        <f t="shared" si="24"/>
        <v>A03AE030 Concrete Work Mass Concrete Work Chemical Anchor Bolt</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4540</v>
      </c>
      <c r="D564" s="295" t="str">
        <f t="shared" si="24"/>
        <v>A03AE030 Concrete Work Mass Concrete Work Chemical Anchor Bolt</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4540</v>
      </c>
      <c r="D565" s="295" t="str">
        <f t="shared" si="24"/>
        <v>A03AE030 Concrete Work Mass Concrete Work Chemical Anchor Bolt</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4540</v>
      </c>
      <c r="D566" s="295" t="str">
        <f t="shared" si="24"/>
        <v>A03AE030 Concrete Work Mass Concrete Work Chemical Anchor Bolt</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4540</v>
      </c>
      <c r="D567" s="295" t="str">
        <f t="shared" si="24"/>
        <v>A03AE031 Concrete Work Mass Concrete Work Expansion Anchor Bolt</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4540</v>
      </c>
      <c r="D568" s="295" t="str">
        <f t="shared" si="24"/>
        <v>A03AE031 Concrete Work Mass Concrete Work Expansion Anchor Bolt</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4540</v>
      </c>
      <c r="D569" s="295" t="str">
        <f t="shared" si="24"/>
        <v>A03AE031 Concrete Work Mass Concrete Work Expansion Anchor Bolt</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4540</v>
      </c>
      <c r="D570" s="295" t="str">
        <f t="shared" si="24"/>
        <v>A03AE031 Concrete Work Mass Concrete Work Expansion Anchor Bolt</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4540</v>
      </c>
      <c r="D571" s="295" t="str">
        <f t="shared" si="24"/>
        <v>A03AE031 Concrete Work Mass Concrete Work Expansion Anchor Bolt</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4540</v>
      </c>
      <c r="D572" s="295" t="str">
        <f t="shared" si="24"/>
        <v>A03AE031 Concrete Work Mass Concrete Work Expansion Anchor Bolt</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A03AE032 Concrete Work Mass Concrete Work Structural Concrete</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A03AE032 Concrete Work Mass Concrete Work Structural Concrete</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A03AE032 Concrete Work Mass Concrete Work Structural Concrete</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A03AE032 Concrete Work Mass Concrete Work Structural Concrete</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A03AE032 Concrete Work Mass Concrete Work Structural Concrete</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A03AE032 Concrete Work Mass Concrete Work Structural Concrete</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A03AE032 Concrete Work Mass Concrete Work Structural Concrete</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A03AE032 Concrete Work Mass Concrete Work Structural Concrete</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A03AE032 Concrete Work Mass Concrete Work Structural Concrete</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A03AE032 Concrete Work Mass Concrete Work Structural Concrete</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A03AE032 Concrete Work Mass Concrete Work Structural Concrete</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G584&amp;" "&amp;L584&amp;" "&amp;N584&amp;" "&amp;P584</f>
        <v>A03AE032 Concrete Work Mass Concrete Work Structural Concrete</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A03AE032 Concrete Work Mass Concrete Work Structural Concrete</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A03AE032 Concrete Work Mass Concrete Work Structural Concrete</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A03AE032 Concrete Work Mass Concrete Work Structural Concrete</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A03AE034 Concrete Work Mass Concrete Work Lean Concrete (including Form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A03AE034 Concrete Work Mass Concrete Work Lean Concrete (including Form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A03AE034 Concrete Work Mass Concrete Work Lean Concrete (including Form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A03AE034 Concrete Work Mass Concrete Work Lean Concrete (including Form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A03AE034 Concrete Work Mass Concrete Work Lean Concrete (including Form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A03AE034 Concrete Work Mass Concrete Work Lean Concrete (including Form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A03AE034 Concrete Work Mass Concrete Work Lean Concrete (including Form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A03AE034 Concrete Work Mass Concrete Work Lean Concrete (including Form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A03AE034 Concrete Work Mass Concrete Work Lean Concrete (including Form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A03AE035 Concrete Work Mass Concrete Work Form Work (3 times in use)</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A03AE035 Concrete Work Mass Concrete Work Form Work (3 times in use)</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A03AE036 Concrete Work Mass Concrete Work Form Work (1 time in use)</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A03AE036 Concrete Work Mass Concrete Work Form Work (1 time in use)</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A03AE037 Concrete Work Mass Concrete Work Rebar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A03AE037 Concrete Work Mass Concrete Work Rebar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A03AE037 Concrete Work Mass Concrete Work Rebar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A03AE037 Concrete Work Mass Concrete Work Rebar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A03AE037 Concrete Work Mass Concrete Work Rebar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A03AE037 Concrete Work Mass Concrete Work Rebar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A03AE037 Concrete Work Mass Concrete Work Rebar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A03AE037 Concrete Work Mass Concrete Work Rebar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4540</v>
      </c>
      <c r="D609" s="297" t="str">
        <f t="shared" si="27"/>
        <v>A03AE046 Concrete Work Mass Concrete Work Water Stop</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4540</v>
      </c>
      <c r="D610" s="297" t="str">
        <f t="shared" si="27"/>
        <v>A03AE046 Concrete Work Mass Concrete Work Water Stop</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4540</v>
      </c>
      <c r="D611" s="297" t="str">
        <f t="shared" si="27"/>
        <v>A03AE046 Concrete Work Mass Concrete Work Water Stop</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4540</v>
      </c>
      <c r="D612" s="297" t="str">
        <f t="shared" si="27"/>
        <v>A03AE046 Concrete Work Mass Concrete Work Water Stop</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A03AE049 Concrete Work Mass Concrete Work Embedded Steel(Steel Plate, Corner Angle and etc.) w/ Anchor Bar (Purchase &amp; Installation)</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A03AE049 Concrete Work Mass Concrete Work Embedded Steel(Steel Plate, Corner Angle and etc.) w/ Anchor Bar (Purchase &amp; Installation)</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A03AE049 Concrete Work Mass Concrete Work Embedded Steel(Steel Plate, Corner Angle and etc.) w/ Anchor Bar (Purchase &amp; Installation)</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A03AE049 Concrete Work Mass Concrete Work Embedded Steel(Steel Plate, Corner Angle and etc.) w/ Anchor Bar (Purchase &amp; Installation)</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A03AE050 Concrete Work Mass Concrete Work Embedded Steel(Steel Plate, Corner Angle and etc.) w/ Anchor Bar (Installation Only)</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A03AE050 Concrete Work Mass Concrete Work Embedded Steel(Steel Plate, Corner Angle and etc.) w/ Anchor Bar (Installation Only)</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A03AE050 Concrete Work Mass Concrete Work Embedded Steel(Steel Plate, Corner Angle and etc.) w/ Anchor Bar (Installation Only)</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A03AE050 Concrete Work Mass Concrete Work Embedded Steel(Steel Plate, Corner Angle and etc.) w/ Anchor Bar (Installation Only)</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A03AE052 Concrete Work Mass Concrete Work Concrete Temperature Monitoring</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A03AE053 Concrete Work Mass Concrete Work Steel Casing for CEP</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A03AE054 Concrete Work Mass Concrete Work System Form</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A03AE055 Concrete Work Mass Concrete Work System Support</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A03AF029 Concrete Work Superstructure Work Anchor Bolt (Installation only)</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A03AF029 Concrete Work Superstructure Work Anchor Bolt (Installation only)</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4540</v>
      </c>
      <c r="D627" s="297" t="str">
        <f t="shared" si="27"/>
        <v>A03AF029 Concrete Work Superstructure Work Anchor Bolt (Installation only)</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A03AF029 Concrete Work Superstructure Work Anchor Bolt (Installation only)</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A03AF029 Concrete Work Superstructure Work Anchor Bolt (Installation only)</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4540</v>
      </c>
      <c r="D630" s="297" t="str">
        <f t="shared" si="27"/>
        <v>A03AF029 Concrete Work Superstructure Work Anchor Bolt (Installation only)</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A03AF029 Concrete Work Superstructure Work Anchor Bolt (Installation only)</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A03AF029 Concrete Work Superstructure Work Anchor Bolt (Installation only)</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A03AF029 Concrete Work Superstructure Work Anchor Bolt (Installation only)</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A03AF029 Concrete Work Superstructure Work Anchor Bolt (Installation only)</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A03AF029 Concrete Work Superstructure Work Anchor Bolt (Installation only)</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A03AF029 Concrete Work Superstructure Work Anchor Bolt (Installation only)</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A03AF029 Concrete Work Superstructure Work Anchor Bolt (Installation only)</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A03AF029 Concrete Work Superstructure Work Anchor Bolt (Installation only)</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A03AF029 Concrete Work Superstructure Work Anchor Bolt (Installation only)</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A03AF029 Concrete Work Superstructure Work Anchor Bolt (Installation only)</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4540</v>
      </c>
      <c r="D641" s="297" t="str">
        <f t="shared" si="27"/>
        <v>A03AF029 Concrete Work Superstructure Work Anchor Bolt (Installation only)</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A03AF329 Concrete Work Superstructure Work Anchor Bolt (Purchase &amp; Installation)</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A03AF329 Concrete Work Superstructure Work Anchor Bolt (Purchase &amp; Installation)</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A03AF329 Concrete Work Superstructure Work Anchor Bolt (Purchase &amp; Installation)</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A03AF329 Concrete Work Superstructure Work Anchor Bolt (Purchase &amp; Installation)</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A03AF329 Concrete Work Superstructure Work Anchor Bolt (Purchase &amp; Installation)</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A03AF329 Concrete Work Superstructure Work Anchor Bolt (Purchase &amp; Installation)</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G648&amp;" "&amp;L648&amp;" "&amp;N648&amp;" "&amp;P648</f>
        <v>A03AF329 Concrete Work Superstructure Work Anchor Bolt (Purchase &amp; Installation)</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A03AF329 Concrete Work Superstructure Work Anchor Bolt (Purchase &amp; Installation)</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A03AF329 Concrete Work Superstructure Work Anchor Bolt (Purchase &amp; Installation)</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A03AF329 Concrete Work Superstructure Work Anchor Bolt (Purchase &amp; Installation)</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A03AF329 Concrete Work Superstructure Work Anchor Bolt (Purchase &amp; Installation)</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A03AF329 Concrete Work Superstructure Work Anchor Bolt (Purchase &amp; Installation)</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A03AF329 Concrete Work Superstructure Work Anchor Bolt (Purchase &amp; Installation)</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A03AF329 Concrete Work Superstructure Work Anchor Bolt (Purchase &amp; Installation)</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A03AF329 Concrete Work Superstructure Work Anchor Bolt (Purchase &amp; Installation)</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A03AF329 Concrete Work Superstructure Work Anchor Bolt (Purchase &amp; Installation)</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A03AF329 Concrete Work Superstructure Work Anchor Bolt (Purchase &amp; Installation)</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A03AF030 Concrete Work Superstructure Work Chemical Anchor Bolt</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A03AF030 Concrete Work Superstructure Work Chemical Anchor Bolt</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4540</v>
      </c>
      <c r="D661" s="297" t="str">
        <f t="shared" si="30"/>
        <v>A03AF030 Concrete Work Superstructure Work Chemical Anchor Bolt</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A03AF030 Concrete Work Superstructure Work Chemical Anchor Bolt</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A03AF030 Concrete Work Superstructure Work Chemical Anchor Bolt</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A03AF030 Concrete Work Superstructure Work Chemical Anchor Bolt</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A03AF031 Concrete Work Superstructure Work Expansion Anchor Bolt</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A03AF031 Concrete Work Superstructure Work Expansion Anchor Bolt</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A03AF031 Concrete Work Superstructure Work Expansion Anchor Bolt</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A03AF031 Concrete Work Superstructure Work Expansion Anchor Bolt</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A03AF031 Concrete Work Superstructure Work Expansion Anchor Bolt</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A03AF031 Concrete Work Superstructure Work Expansion Anchor Bolt</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A03AF032 Concrete Work Superstructure Work Structural Concrete</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A03AF032 Concrete Work Superstructure Work Structural Concrete</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A03AF032 Concrete Work Superstructure Work Structural Concrete</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A03AF032 Concrete Work Superstructure Work Structural Concrete</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A03AF032 Concrete Work Superstructure Work Structural Concrete</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A03AF032 Concrete Work Superstructure Work Structural Concrete</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A03AF032 Concrete Work Superstructure Work Structural Concrete</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A03AF032 Concrete Work Superstructure Work Structural Concrete</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A03AF032 Concrete Work Superstructure Work Structural Concrete</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A03AF032 Concrete Work Superstructure Work Structural Concrete</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A03AF032 Concrete Work Superstructure Work Structural Concrete</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A03AF032 Concrete Work Superstructure Work Structural Concrete</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A03AF032 Concrete Work Superstructure Work Structural Concrete</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A03AF032 Concrete Work Superstructure Work Structural Concrete</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A03AF032 Concrete Work Superstructure Work Structural Concrete</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A03AF035 Concrete Work Superstructure Work Form Work (3 times in use)</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A03AF035 Concrete Work Superstructure Work Form Work (3 times in use)</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A03AF036 Concrete Work Superstructure Work Form Work (1 time in use)</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A03AF036 Concrete Work Superstructure Work Form Work (1 time in use)</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A03AF037 Concrete Work Superstructure Work Rebar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A03AF037 Concrete Work Superstructure Work Rebar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A03AF037 Concrete Work Superstructure Work Rebar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A03AF037 Concrete Work Superstructure Work Rebar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A03AF037 Concrete Work Superstructure Work Rebar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A03AF037 Concrete Work Superstructure Work Rebar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A03AF037 Concrete Work Superstructure Work Rebar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A03AF037 Concrete Work Superstructure Work Rebar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A03AF038 Concrete Work Superstructure Work Welded Wire Fabric</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A03AF038 Concrete Work Superstructure Work Welded Wire Fabric</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A03AF039 Concrete Work Superstructure Work Expansion Joint (Exposed Type)</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A03AF040 Concrete Work Superstructure Work Expansion Joint (w/ Aluminum Cover)</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A03AF041 Concrete Work Superstructure Work Expansion Joint (w/ Galvanized Steel Cover)</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A03AF042 Concrete Work Superstructure Work Expansion Joint (w/ Stainless Steel Cover)</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A03AF043 Concrete Work Superstructure Work Expansion Joint (w/ Ready-Made Cover)</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A03AF044 Concrete Work Superstructure Work Isolation Joint (Separation Joint)</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A03AF045 Concrete Work Superstructure Work Control Joint</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A03AF045 Concrete Work Superstructure Work Control Joint</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A03AF046 Concrete Work Superstructure Work Water Stop</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A03AF046 Concrete Work Superstructure Work Water Stop</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A03AF046 Concrete Work Superstructure Work Water Stop</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A03AF046 Concrete Work Superstructure Work Water Stop</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G712&amp;" "&amp;L712&amp;" "&amp;N712&amp;" "&amp;P712</f>
        <v>A03AF049 Concrete Work Superstructure Work Embedded Steel(Steel Plate, Corner Angle and etc.) w/ Anchor Bar (Purchase &amp; Installation)</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A03AF049 Concrete Work Superstructure Work Embedded Steel(Steel Plate, Corner Angle and etc.) w/ Anchor Bar (Purchase &amp; Installation)</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A03AF049 Concrete Work Superstructure Work Embedded Steel(Steel Plate, Corner Angle and etc.) w/ Anchor Bar (Purchase &amp; Installation)</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A03AF049 Concrete Work Superstructure Work Embedded Steel(Steel Plate, Corner Angle and etc.) w/ Anchor Bar (Purchase &amp; Installation)</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A03AF050 Concrete Work Superstructure Work Embedded Steel(Steel Plate, Corner Angle and etc.) w/ Anchor Bar (Installation Only)</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A03AF050 Concrete Work Superstructure Work Embedded Steel(Steel Plate, Corner Angle and etc.) w/ Anchor Bar (Installation Only)</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A03AF050 Concrete Work Superstructure Work Embedded Steel(Steel Plate, Corner Angle and etc.) w/ Anchor Bar (Installation Only)</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A03AF050 Concrete Work Superstructure Work Embedded Steel(Steel Plate, Corner Angle and etc.) w/ Anchor Bar (Installation Only)</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A03AF051 Concrete Work Superstructure Work Groove Joint</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A03AF054 Concrete Work Superstructure Work System Form</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A03AF055 Concrete Work Superstructure Work System Support</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A03AG029 Concrete Work Equipment Foundation Work Anchor Bolt (Installation only)</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A03AG029 Concrete Work Equipment Foundation Work Anchor Bolt (Installation only)</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A03AG029 Concrete Work Equipment Foundation Work Anchor Bolt (Installation only)</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A03AG029 Concrete Work Equipment Foundation Work Anchor Bolt (Installation only)</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A03AG029 Concrete Work Equipment Foundation Work Anchor Bolt (Installation only)</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A03AG029 Concrete Work Equipment Foundation Work Anchor Bolt (Installation only)</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A03AG029 Concrete Work Equipment Foundation Work Anchor Bolt (Installation only)</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A03AG029 Concrete Work Equipment Foundation Work Anchor Bolt (Installation only)</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A03AG029 Concrete Work Equipment Foundation Work Anchor Bolt (Installation only)</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A03AG029 Concrete Work Equipment Foundation Work Anchor Bolt (Installation only)</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A03AG029 Concrete Work Equipment Foundation Work Anchor Bolt (Installation only)</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A03AG029 Concrete Work Equipment Foundation Work Anchor Bolt (Installation only)</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A03AG029 Concrete Work Equipment Foundation Work Anchor Bolt (Installation only)</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A03AG029 Concrete Work Equipment Foundation Work Anchor Bolt (Installation only)</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A03AG029 Concrete Work Equipment Foundation Work Anchor Bolt (Installation only)</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A03AG029 Concrete Work Equipment Foundation Work Anchor Bolt (Installation only)</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A03AG029 Concrete Work Equipment Foundation Work Anchor Bolt (Installation only)</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A03AG329 Concrete Work Equipment Foundation Work Anchor Bolt (Purchase &amp; Installation)</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A03AG329 Concrete Work Equipment Foundation Work Anchor Bolt (Purchase &amp; Installation)</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A03AG329 Concrete Work Equipment Foundation Work Anchor Bolt (Purchase &amp; Installation)</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A03AG329 Concrete Work Equipment Foundation Work Anchor Bolt (Purchase &amp; Installation)</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A03AG329 Concrete Work Equipment Foundation Work Anchor Bolt (Purchase &amp; Installation)</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A03AG329 Concrete Work Equipment Foundation Work Anchor Bolt (Purchase &amp; Installation)</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A03AG329 Concrete Work Equipment Foundation Work Anchor Bolt (Purchase &amp; Installation)</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A03AG329 Concrete Work Equipment Foundation Work Anchor Bolt (Purchase &amp; Installation)</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A03AG329 Concrete Work Equipment Foundation Work Anchor Bolt (Purchase &amp; Installation)</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A03AG329 Concrete Work Equipment Foundation Work Anchor Bolt (Purchase &amp; Installation)</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A03AG329 Concrete Work Equipment Foundation Work Anchor Bolt (Purchase &amp; Installation)</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A03AG329 Concrete Work Equipment Foundation Work Anchor Bolt (Purchase &amp; Installation)</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A03AG329 Concrete Work Equipment Foundation Work Anchor Bolt (Purchase &amp; Installation)</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A03AG329 Concrete Work Equipment Foundation Work Anchor Bolt (Purchase &amp; Installation)</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A03AG329 Concrete Work Equipment Foundation Work Anchor Bolt (Purchase &amp; Installation)</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A03AG329 Concrete Work Equipment Foundation Work Anchor Bolt (Purchase &amp; Installation)</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A03AG329 Concrete Work Equipment Foundation Work Anchor Bolt (Purchase &amp; Installation)</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A03AG030 Concrete Work Equipment Foundation Work Chemical Anchor Bolt</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A03AG030 Concrete Work Equipment Foundation Work Chemical Anchor Bolt</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A03AG030 Concrete Work Equipment Foundation Work Chemical Anchor Bolt</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A03AG030 Concrete Work Equipment Foundation Work Chemical Anchor Bolt</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A03AG030 Concrete Work Equipment Foundation Work Chemical Anchor Bolt</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A03AG030 Concrete Work Equipment Foundation Work Chemical Anchor Bolt</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A03AG031 Concrete Work Equipment Foundation Work Expansion Anchor Bolt</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A03AG031 Concrete Work Equipment Foundation Work Expansion Anchor Bolt</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A03AG031 Concrete Work Equipment Foundation Work Expansion Anchor Bolt</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A03AG031 Concrete Work Equipment Foundation Work Expansion Anchor Bolt</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A03AG031 Concrete Work Equipment Foundation Work Expansion Anchor Bolt</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A03AG031 Concrete Work Equipment Foundation Work Expansion Anchor Bolt</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A03AG032 Concrete Work Equipment Foundation Work Structural Concrete</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A03AG032 Concrete Work Equipment Foundation Work Structural Concrete</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A03AG032 Concrete Work Equipment Foundation Work Structural Concrete</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A03AG032 Concrete Work Equipment Foundation Work Structural Concrete</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A03AG032 Concrete Work Equipment Foundation Work Structural Concrete</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A03AG032 Concrete Work Equipment Foundation Work Structural Concrete</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A03AG032 Concrete Work Equipment Foundation Work Structural Concrete</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G776&amp;" "&amp;L776&amp;" "&amp;N776&amp;" "&amp;P776</f>
        <v>A03AG032 Concrete Work Equipment Foundation Work Structural Concrete</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A03AG032 Concrete Work Equipment Foundation Work Structural Concrete</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A03AG032 Concrete Work Equipment Foundation Work Structural Concrete</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A03AG032 Concrete Work Equipment Foundation Work Structural Concrete</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A03AG032 Concrete Work Equipment Foundation Work Structural Concrete</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A03AG032 Concrete Work Equipment Foundation Work Structural Concrete</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A03AG032 Concrete Work Equipment Foundation Work Structural Concrete</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A03AG032 Concrete Work Equipment Foundation Work Structural Concrete</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A03AG034 Concrete Work Equipment Foundation Work Lean Concrete (including Form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A03AG034 Concrete Work Equipment Foundation Work Lean Concrete (including Form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A03AG034 Concrete Work Equipment Foundation Work Lean Concrete (including Form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A03AG034 Concrete Work Equipment Foundation Work Lean Concrete (including Form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A03AG034 Concrete Work Equipment Foundation Work Lean Concrete (including Form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A03AG034 Concrete Work Equipment Foundation Work Lean Concrete (including Form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A03AG034 Concrete Work Equipment Foundation Work Lean Concrete (including Form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A03AG034 Concrete Work Equipment Foundation Work Lean Concrete (including Form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A03AG034 Concrete Work Equipment Foundation Work Lean Concrete (including Form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A03AG035 Concrete Work Equipment Foundation Work Form Work (3 times in use)</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A03AG035 Concrete Work Equipment Foundation Work Form Work (3 times in use)</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A03AG036 Concrete Work Equipment Foundation Work Form Work (1 time in use)</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A03AG036 Concrete Work Equipment Foundation Work Form Work (1 time in use)</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A03AG037 Concrete Work Equipment Foundation Work Rebar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A03AG037 Concrete Work Equipment Foundation Work Rebar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A03AG037 Concrete Work Equipment Foundation Work Rebar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A03AG037 Concrete Work Equipment Foundation Work Rebar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A03AG037 Concrete Work Equipment Foundation Work Rebar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A03AG037 Concrete Work Equipment Foundation Work Rebar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A03AG037 Concrete Work Equipment Foundation Work Rebar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A03AG037 Concrete Work Equipment Foundation Work Rebar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A03AG046 Concrete Work Equipment Foundation Work Water Stop</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A03AG046 Concrete Work Equipment Foundation Work Water Stop</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A03AG046 Concrete Work Equipment Foundation Work Water Stop</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A03AG046 Concrete Work Equipment Foundation Work Water Stop</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A03AG049 Concrete Work Equipment Foundation Work Embedded Steel(Steel Plate, Corner Angle and etc.) w/ Anchor Bar (Purchase &amp; Installation)</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A03AG049 Concrete Work Equipment Foundation Work Embedded Steel(Steel Plate, Corner Angle and etc.) w/ Anchor Bar (Purchase &amp; Installation)</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A03AG049 Concrete Work Equipment Foundation Work Embedded Steel(Steel Plate, Corner Angle and etc.) w/ Anchor Bar (Purchase &amp; Installation)</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A03AG049 Concrete Work Equipment Foundation Work Embedded Steel(Steel Plate, Corner Angle and etc.) w/ Anchor Bar (Purchase &amp; Installation)</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A03AG050 Concrete Work Equipment Foundation Work Embedded Steel(Steel Plate, Corner Angle and etc.) w/ Anchor Bar (Installation Only)</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A03AG050 Concrete Work Equipment Foundation Work Embedded Steel(Steel Plate, Corner Angle and etc.) w/ Anchor Bar (Installation Only)</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A03AG050 Concrete Work Equipment Foundation Work Embedded Steel(Steel Plate, Corner Angle and etc.) w/ Anchor Bar (Installation Only)</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A03AG050 Concrete Work Equipment Foundation Work Embedded Steel(Steel Plate, Corner Angle and etc.) w/ Anchor Bar (Installation Only)</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A03AG054 Concrete Work Equipment Foundation Work System Form</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A03AG055 Concrete Work Equipment Foundation Work System Support</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A03AH056 Concrete Work Concrete Protective Coating (U/G) Bitumen/Bituminous/Asphalt Coating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A03AH057 Concrete Work Concrete Protective Coating (U/G) Coal Tar Epoxy</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A03AH058 Concrete Work Concrete Protective Coating (U/G) Epoxy Coating (Epoxy Resin Based Coating)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A03AH059 Concrete Work Concrete Protective Coating (U/G) Sheet Membrane</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A03AH060 Concrete Work Concrete Protective Coating (U/G) Memebrane Protection Board</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A03AH060 Concrete Work Concrete Protective Coating (U/G) Memebrane Protection Board</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A03AH061 Concrete Work Concrete Protective Coating (U/G) Protective Screed</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A03AJ058 Concrete Work Concrete Protective Coating (A/G) Epoxy Coating (Epoxy Resin Based Coating)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A03AJ062 Concrete Work Concrete Protective Coating (A/G) Acrylic Polymer Coating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A03AJ063 Concrete Work Concrete Protective Coating (A/G) Bituminous Damp Proofing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A03AK064 Concrete Work Precast Concrete Work PC Slab/Roof Panel</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A03AK064 Concrete Work Precast Concrete Work PC Slab/Roof Panel</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A03AK064 Concrete Work Precast Concrete Work PC Slab/Roof Panel</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A03AK064 Concrete Work Precast Concrete Work PC Slab/Roof Panel</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A03AK064 Concrete Work Precast Concrete Work PC Slab/Roof Panel</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A03AK064 Concrete Work Precast Concrete Work PC Slab/Roof Panel</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A03AK064 Concrete Work Precast Concrete Work PC Slab/Roof Panel</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A03AK064 Concrete Work Precast Concrete Work PC Slab/Roof Panel</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A03AK064 Concrete Work Precast Concrete Work PC Slab/Roof Panel</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A03AK064 Concrete Work Precast Concrete Work PC Slab/Roof Panel</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A03AK064 Concrete Work Precast Concrete Work PC Slab/Roof Panel</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G840&amp;" "&amp;L840&amp;" "&amp;N840&amp;" "&amp;P840</f>
        <v>A03AK064 Concrete Work Precast Concrete Work PC Slab/Roof Panel</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A03AK065 Concrete Work Precast Concrete Work PC Wall Panel</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A03AK065 Concrete Work Precast Concrete Work PC Wall Panel</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A03AK065 Concrete Work Precast Concrete Work PC Wall Panel</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A03AK065 Concrete Work Precast Concrete Work PC Wall Panel</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A03AK065 Concrete Work Precast Concrete Work PC Wall Panel</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A03AK065 Concrete Work Precast Concrete Work PC Wall Panel</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A03AK066 Concrete Work Precast Concrete Work PC Column</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A03AK067 Concrete Work Precast Concrete Work PC Girder &amp; Beam</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4599</v>
      </c>
      <c r="D849" s="297" t="str">
        <f t="shared" si="39"/>
        <v>A03AK068 Concrete Work Precast Concrete Work PC Cover</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4599</v>
      </c>
      <c r="D850" s="295" t="str">
        <f t="shared" si="39"/>
        <v>A04AL012 Finishing Work Masonry Work PE Sheet (Vapor Barrier)</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4661</v>
      </c>
      <c r="D851" s="297" t="str">
        <f t="shared" si="39"/>
        <v>A04AL069 Finishing Work Masonry Work Reinforced Concrete Block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4661</v>
      </c>
      <c r="D852" s="297" t="str">
        <f t="shared" si="39"/>
        <v>A04AL069 Finishing Work Masonry Work Reinforced Concrete Block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4661</v>
      </c>
      <c r="D853" s="297" t="str">
        <f t="shared" si="39"/>
        <v>A04AL069 Finishing Work Masonry Work Reinforced Concrete Block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4661</v>
      </c>
      <c r="D854" s="297" t="str">
        <f t="shared" si="39"/>
        <v>A04AL070 Finishing Work Masonry Work AAC (Autoclaved Aerated Concrete) Block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4661</v>
      </c>
      <c r="D855" s="297" t="str">
        <f t="shared" si="39"/>
        <v>A04AL070 Finishing Work Masonry Work AAC (Autoclaved Aerated Concrete) Block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4661</v>
      </c>
      <c r="D856" s="297" t="str">
        <f t="shared" si="39"/>
        <v>A04AL070 Finishing Work Masonry Work AAC (Autoclaved Aerated Concrete) Block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4661</v>
      </c>
      <c r="D857" s="297" t="str">
        <f t="shared" si="39"/>
        <v>A04AL071 Finishing Work Masonry Work Glass Block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4661</v>
      </c>
      <c r="D858" s="297" t="str">
        <f t="shared" si="39"/>
        <v>A04AL071 Finishing Work Masonry Work Glass Block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4661</v>
      </c>
      <c r="D859" s="297" t="str">
        <f t="shared" si="39"/>
        <v>A04AL071 Finishing Work Masonry Work Glass Block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4661</v>
      </c>
      <c r="D860" s="297" t="str">
        <f t="shared" si="39"/>
        <v>A04AL072 Finishing Work Masonry Work Clay Block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4661</v>
      </c>
      <c r="D861" s="297" t="str">
        <f t="shared" si="39"/>
        <v>A04AL072 Finishing Work Masonry Work Clay Block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4661</v>
      </c>
      <c r="D862" s="297" t="str">
        <f t="shared" si="39"/>
        <v>A04AL072 Finishing Work Masonry Work Clay Block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4661</v>
      </c>
      <c r="D863" s="297" t="str">
        <f t="shared" si="39"/>
        <v>A04AL073 Finishing Work Masonry Work Concrete Brick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4661</v>
      </c>
      <c r="D864" s="297" t="str">
        <f t="shared" si="39"/>
        <v>A04AL073 Finishing Work Masonry Work Concrete Brick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4661</v>
      </c>
      <c r="D865" s="297" t="str">
        <f t="shared" si="39"/>
        <v>A04AL073 Finishing Work Masonry Work Concrete Brick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4661</v>
      </c>
      <c r="D866" s="297" t="str">
        <f t="shared" si="39"/>
        <v>A04AL073 Finishing Work Masonry Work Concrete Brick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4661</v>
      </c>
      <c r="D867" s="297" t="str">
        <f t="shared" si="39"/>
        <v>A04AL074 Finishing Work Masonry Work Burnt Clay Brick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4661</v>
      </c>
      <c r="D868" s="297" t="str">
        <f t="shared" si="39"/>
        <v>A04AL074 Finishing Work Masonry Work Burnt Clay Brick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4661</v>
      </c>
      <c r="D869" s="297" t="str">
        <f t="shared" si="39"/>
        <v>A04AL074 Finishing Work Masonry Work Burnt Clay Brick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4661</v>
      </c>
      <c r="D870" s="297" t="str">
        <f t="shared" si="39"/>
        <v>A04AL074 Finishing Work Masonry Work Burnt Clay Brick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4661</v>
      </c>
      <c r="D871" s="297" t="str">
        <f t="shared" si="39"/>
        <v>A04AL075 Finishing Work Masonry Work Insulated Brick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A04AL076 Finishing Work Masonry Work Insulation</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A04AL076 Finishing Work Masonry Work Insulation</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A04AL076 Finishing Work Masonry Work Insulation</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A04AL076 Finishing Work Masonry Work Insulation</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A04AL076 Finishing Work Masonry Work Insulation</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A04AL076 Finishing Work Masonry Work Insulation</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A04AL076 Finishing Work Masonry Work Insulation</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A04AL076 Finishing Work Masonry Work Insulation</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A04AL076 Finishing Work Masonry Work Insulation</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A04AL076 Finishing Work Masonry Work Insulation</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A04AL076 Finishing Work Masonry Work Insulation</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A04AL076 Finishing Work Masonry Work Insulation</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A04AM077 Finishing Work Painting Work External Wall Painting</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A04AM077 Finishing Work Painting Work External Wall Painting</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A04AM077 Finishing Work Painting Work External Wall Painting</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A04AM077 Finishing Work Painting Work External Wall Painting</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A04AM077 Finishing Work Painting Work External Wall Painting</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A04AM077 Finishing Work Painting Work External Wall Painting</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A04AM077 Finishing Work Painting Work External Wall Painting</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A04AM077 Finishing Work Painting Work External Wall Painting</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A04AM078 Finishing Work Painting Work Internal Wall Painting</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A04AM078 Finishing Work Painting Work Internal Wall Painting</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A04AM078 Finishing Work Painting Work Internal Wall Painting</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A04AM078 Finishing Work Painting Work Internal Wall Painting</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A04AM078 Finishing Work Painting Work Internal Wall Painting</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A04AM078 Finishing Work Painting Work Internal Wall Painting</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A04AM078 Finishing Work Painting Work Internal Wall Painting</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A04AM078 Finishing Work Painting Work Internal Wall Painting</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A04AM078 Finishing Work Painting Work Internal Wall Painting</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A04AM079 Finishing Work Painting Work Ceiling Painting</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A04AM079 Finishing Work Painting Work Ceiling Painting</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A04AM079 Finishing Work Painting Work Ceiling Painting</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G904&amp;" "&amp;L904&amp;" "&amp;N904&amp;" "&amp;P904</f>
        <v>A04AM079 Finishing Work Painting Work Ceiling Painting</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A04AM079 Finishing Work Painting Work Ceiling Painting</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A04AM079 Finishing Work Painting Work Ceiling Painting</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A04AM080 Finishing Work Painting Work Floor Painting</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A04AM080 Finishing Work Painting Work Floor Painting</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A04AM080 Finishing Work Painting Work Floor Painting</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A04AM080 Finishing Work Painting Work Floor Painting</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4599</v>
      </c>
      <c r="D911" s="297" t="str">
        <f t="shared" si="42"/>
        <v>A04AM080 Finishing Work Painting Work Floor Painting</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A04AM080 Finishing Work Painting Work Floor Painting</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A04AM080 Finishing Work Painting Work Floor Painting</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A04AM080 Finishing Work Painting Work Floor Painting</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A04AM080 Finishing Work Painting Work Floor Painting</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A04AM080 Finishing Work Painting Work Floor Painting</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A04AM080 Finishing Work Painting Work Floor Painting</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A04AM080 Finishing Work Painting Work Floor Painting</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A04AM081 Finishing Work Painting Work Skirt Painting</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A04AM081 Finishing Work Painting Work Skirt Painting</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A04AM081 Finishing Work Painting Work Skirt Painting</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A04AM081 Finishing Work Painting Work Skirt Painting</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A04AM081 Finishing Work Painting Work Skirt Painting</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A04AM081 Finishing Work Painting Work Skirt Painting</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A04AM081 Finishing Work Painting Work Skirt Painting</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A04AM081 Finishing Work Painting Work Skirt Painting</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A04AM081 Finishing Work Painting Work Skirt Painting</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A04AM081 Finishing Work Painting Work Skirt Painting</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A04AM081 Finishing Work Painting Work Skirt Painting</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A04AM081 Finishing Work Painting Work Skirt Painting</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A04AM081 Finishing Work Painting Work Skirt Painting</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A04AM081 Finishing Work Painting Work Skirt Painting</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A04AM081 Finishing Work Painting Work Skirt Painting</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A04AN082 Finishing Work Tile Work Wall Tile</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A04AN082 Finishing Work Tile Work Wall Tile</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A04AN082 Finishing Work Tile Work Wall Tile</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A04AN082 Finishing Work Tile Work Wall Tile</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A04AN082 Finishing Work Tile Work Wall Tile</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A04AN082 Finishing Work Tile Work Wall Tile</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A04AN082 Finishing Work Tile Work Wall Tile</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A04AN082 Finishing Work Tile Work Wall Tile</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A04AN082 Finishing Work Tile Work Wall Tile</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A04AN083 Finishing Work Tile Work Floor Tile</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A04AN083 Finishing Work Tile Work Floor Tile</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A04AN083 Finishing Work Tile Work Floor Tile</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A04AN083 Finishing Work Tile Work Floor Tile</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A04AN083 Finishing Work Tile Work Floor Tile</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A04AN083 Finishing Work Tile Work Floor Tile</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A04AN083 Finishing Work Tile Work Floor Tile</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A04AN083 Finishing Work Tile Work Floor Tile</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A04AN083 Finishing Work Tile Work Floor Tile</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A04AN083 Finishing Work Tile Work Floor Tile</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A04AN083 Finishing Work Tile Work Floor Tile</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A04AN083 Finishing Work Tile Work Floor Tile</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A04AN084 Finishing Work Tile Work Skirt Tile</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A04AN084 Finishing Work Tile Work Skirt Tile</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A04AN084 Finishing Work Tile Work Skirt Tile</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A04AN084 Finishing Work Tile Work Skirt Tile</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A04AN084 Finishing Work Tile Work Skirt Tile</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A04AN084 Finishing Work Tile Work Skirt Tile</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A04AN084 Finishing Work Tile Work Skirt Tile</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A04AN084 Finishing Work Tile Work Skirt Tile</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A04AN084 Finishing Work Tile Work Skirt Tile</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A04AN084 Finishing Work Tile Work Skirt Tile</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A04AN084 Finishing Work Tile Work Skirt Tile</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A04AN084 Finishing Work Tile Work Skirt Tile</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A04AN084 Finishing Work Tile Work Skirt Tile</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G968&amp;" "&amp;L968&amp;" "&amp;N968&amp;" "&amp;P968</f>
        <v>A04AN084 Finishing Work Tile Work Skirt Tile</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A04AN084 Finishing Work Tile Work Skirt Tile</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A04AN084 Finishing Work Tile Work Skirt Tile</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A04AN084 Finishing Work Tile Work Skirt Tile</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A04AN084 Finishing Work Tile Work Skirt Tile</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A04AN084 Finishing Work Tile Work Skirt Tile</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A04AN084 Finishing Work Tile Work Skirt Tile</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A04AN084 Finishing Work Tile Work Skirt Tile</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A04AN084 Finishing Work Tile Work Skirt Tile</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A04AN084 Finishing Work Tile Work Skirt Tile</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A04AN084 Finishing Work Tile Work Skirt Tile</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A04AN084 Finishing Work Tile Work Skirt Tile</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A04AN084 Finishing Work Tile Work Skirt Tile</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A04AN084 Finishing Work Tile Work Skirt Tile</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A04AN084 Finishing Work Tile Work Skirt Tile</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A04AN084 Finishing Work Tile Work Skirt Tile</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A04AN084 Finishing Work Tile Work Skirt Tile</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A04AN084 Finishing Work Tile Work Skirt Tile</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A04AN084 Finishing Work Tile Work Skirt Tile</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A04AN084 Finishing Work Tile Work Skirt Tile</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A04AP085 Finishing Work Waterproofing Work Liquid Waterproofing</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A04AP085 Finishing Work Waterproofing Work Liquid Waterproofing</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A04AP310 Finishing Work Waterproofing Work Waterproofing Membrane</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A04AQ012 Finishing Work Roof Work PE Sheet (Vapor Barrier)</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A04AQ038 Finishing Work Roof Work Welded Wire Fabric</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A04AQ038 Finishing Work Roof Work Welded Wire Fabric</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A04AQ086 Finishing Work Roof Work Roof Screed</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A04AQ086 Finishing Work Roof Work Roof Screed</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A04AQ086 Finishing Work Roof Work Roof Screed</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A04AQ086 Finishing Work Roof Work Roof Screed</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A04AQ086 Finishing Work Roof Work Roof Screed</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A04AQ086 Finishing Work Roof Work Roof Screed</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A04AQ087 Finishing Work Roof Work Waterproofing Coating</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A04AQ087 Finishing Work Roof Work Waterproofing Coating</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G1002&amp;" "&amp;L1002&amp;" "&amp;N1002&amp;" "&amp;P1002</f>
        <v>A04AQ310 Finishing Work Roof Work Waterproofing Membrane</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G1003&amp;" "&amp;L1003&amp;" "&amp;N1003&amp;" "&amp;P1003</f>
        <v>A04AQ310 Finishing Work Roof Work Waterproofing Membrane</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A04AQ088 Finishing Work Roof Work Roof Insulation</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A04AQ088 Finishing Work Roof Work Roof Insulation</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A04AQ088 Finishing Work Roof Work Roof Insulation</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A04AQ088 Finishing Work Roof Work Roof Insulation</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A04AQ089 Finishing Work Roof Work Protective Concrete w/ Steel Trowel Finish</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A04AQ090 Finishing Work Roof Work Concrete Tile</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A04AQ090 Finishing Work Roof Work Concrete Tile</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A04AQ090 Finishing Work Roof Work Concrete Tile</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A04AQ091 Finishing Work Roof Work Gravel for Roof</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A04AQ092 Finishing Work Roof Work Crushed Stone for Roof</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A04AQ093 Finishing Work Roof Work Clean Sand</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A04AQ094 Finishing Work Roof Work Substrate Board</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A04AQ095 Finishing Work Roof Work Geotextile</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A04AQ096 Finishing Work Roof Work Metal Coping for Parapet</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A04AQ096 Finishing Work Roof Work Metal Coping for Parapet</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A04AQ096 Finishing Work Roof Work Metal Coping for Parapet</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A04AQ097 Finishing Work Roof Work Flashing along Roof Corner</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A04AQ097 Finishing Work Roof Work Flashing along Roof Corner</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A04AQ097 Finishing Work Roof Work Flashing along Roof Corner</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4540</v>
      </c>
      <c r="D1023" s="297" t="str">
        <f t="shared" si="45"/>
        <v>A04AR098 Finishing Work Door &amp; Window Work Steel Door w/ Steel Frame (UoM: M2)</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4540</v>
      </c>
      <c r="D1024" s="297" t="str">
        <f t="shared" si="45"/>
        <v>A04AR098 Finishing Work Door &amp; Window Work Steel Door w/ Steel Frame (UoM: M2)</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4540</v>
      </c>
      <c r="D1025" s="297" t="str">
        <f t="shared" si="45"/>
        <v>A04AR098 Finishing Work Door &amp; Window Work Steel Door w/ Steel Frame (UoM: M2)</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4540</v>
      </c>
      <c r="D1026" s="297" t="str">
        <f t="shared" si="45"/>
        <v>A04AR098 Finishing Work Door &amp; Window Work Steel Door w/ Steel Frame (UoM: M2)</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4540</v>
      </c>
      <c r="D1027" s="297" t="str">
        <f t="shared" si="45"/>
        <v>A04AR098 Finishing Work Door &amp; Window Work Steel Door w/ Steel Frame (UoM: M2)</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4540</v>
      </c>
      <c r="D1028" s="297" t="str">
        <f t="shared" si="45"/>
        <v>A04AR098 Finishing Work Door &amp; Window Work Steel Door w/ Steel Frame (UoM: M2)</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4540</v>
      </c>
      <c r="D1029" s="295" t="str">
        <f t="shared" si="45"/>
        <v>A04AR099 Finishing Work Door &amp; Window Work Steel Door w/ Steel Frame (UoM: EA)</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4540</v>
      </c>
      <c r="D1030" s="295" t="str">
        <f t="shared" si="45"/>
        <v>A04AR099 Finishing Work Door &amp; Window Work Steel Door w/ Steel Frame (UoM: EA)</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4540</v>
      </c>
      <c r="D1031" s="295" t="str">
        <f t="shared" si="45"/>
        <v>A04AR099 Finishing Work Door &amp; Window Work Steel Door w/ Steel Frame (UoM: EA)</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4540</v>
      </c>
      <c r="D1032" s="295" t="str">
        <f t="shared" ref="D1032:D1095" si="49">G1032&amp;" "&amp;L1032&amp;" "&amp;N1032&amp;" "&amp;P1032</f>
        <v>A04AR099 Finishing Work Door &amp; Window Work Steel Door w/ Steel Frame (UoM: EA)</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4540</v>
      </c>
      <c r="D1033" s="295" t="str">
        <f t="shared" si="49"/>
        <v>A04AR099 Finishing Work Door &amp; Window Work Steel Door w/ Steel Frame (UoM: EA)</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4540</v>
      </c>
      <c r="D1034" s="295" t="str">
        <f t="shared" si="49"/>
        <v>A04AR099 Finishing Work Door &amp; Window Work Steel Door w/ Steel Frame (UoM: EA)</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4540</v>
      </c>
      <c r="D1035" s="295" t="str">
        <f t="shared" si="49"/>
        <v>A04AR099 Finishing Work Door &amp; Window Work Steel Door w/ Steel Frame (UoM: EA)</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4540</v>
      </c>
      <c r="D1036" s="295" t="str">
        <f t="shared" si="49"/>
        <v>A04AR099 Finishing Work Door &amp; Window Work Steel Door w/ Steel Frame (UoM: EA)</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4540</v>
      </c>
      <c r="D1037" s="295" t="str">
        <f t="shared" si="49"/>
        <v>A04AR099 Finishing Work Door &amp; Window Work Steel Door w/ Steel Frame (UoM: EA)</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4540</v>
      </c>
      <c r="D1038" s="295" t="str">
        <f t="shared" si="49"/>
        <v>A04AR099 Finishing Work Door &amp; Window Work Steel Door w/ Steel Frame (UoM: EA)</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4540</v>
      </c>
      <c r="D1039" s="295" t="str">
        <f t="shared" si="49"/>
        <v>A04AR099 Finishing Work Door &amp; Window Work Steel Door w/ Steel Frame (UoM: EA)</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4540</v>
      </c>
      <c r="D1040" s="295" t="str">
        <f t="shared" si="49"/>
        <v>A04AR099 Finishing Work Door &amp; Window Work Steel Door w/ Steel Frame (UoM: EA)</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4540</v>
      </c>
      <c r="D1041" s="297" t="str">
        <f t="shared" si="49"/>
        <v>A04AR100 Finishing Work Door &amp; Window Work Steel Door w/ Steel Frame &amp; Vision Panel for Each Leaf (UoM: M2)</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4540</v>
      </c>
      <c r="D1042" s="297" t="str">
        <f t="shared" si="49"/>
        <v>A04AR100 Finishing Work Door &amp; Window Work Steel Door w/ Steel Frame &amp; Vision Panel for Each Leaf (UoM: M2)</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4540</v>
      </c>
      <c r="D1043" s="297" t="str">
        <f t="shared" si="49"/>
        <v>A04AR100 Finishing Work Door &amp; Window Work Steel Door w/ Steel Frame &amp; Vision Panel for Each Leaf (UoM: M2)</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4540</v>
      </c>
      <c r="D1044" s="297" t="str">
        <f t="shared" si="49"/>
        <v>A04AR100 Finishing Work Door &amp; Window Work Steel Door w/ Steel Frame &amp; Vision Panel for Each Leaf (UoM: M2)</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4540</v>
      </c>
      <c r="D1045" s="297" t="str">
        <f t="shared" si="49"/>
        <v>A04AR100 Finishing Work Door &amp; Window Work Steel Door w/ Steel Frame &amp; Vision Panel for Each Leaf (UoM: M2)</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4540</v>
      </c>
      <c r="D1046" s="297" t="str">
        <f t="shared" si="49"/>
        <v>A04AR100 Finishing Work Door &amp; Window Work Steel Door w/ Steel Frame &amp; Vision Panel for Each Leaf (UoM: M2)</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4540</v>
      </c>
      <c r="D1047" s="295" t="str">
        <f t="shared" si="49"/>
        <v>A04AR101 Finishing Work Door &amp; Window Work Steel Door w/ Steel Frame &amp; Vision Panel for Each Leaf (UoM: EA)</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4540</v>
      </c>
      <c r="D1048" s="295" t="str">
        <f t="shared" si="49"/>
        <v>A04AR101 Finishing Work Door &amp; Window Work Steel Door w/ Steel Frame &amp; Vision Panel for Each Leaf (UoM: EA)</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4540</v>
      </c>
      <c r="D1049" s="295" t="str">
        <f t="shared" si="49"/>
        <v>A04AR101 Finishing Work Door &amp; Window Work Steel Door w/ Steel Frame &amp; Vision Panel for Each Leaf (UoM: EA)</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4540</v>
      </c>
      <c r="D1050" s="295" t="str">
        <f t="shared" si="49"/>
        <v>A04AR101 Finishing Work Door &amp; Window Work Steel Door w/ Steel Frame &amp; Vision Panel for Each Leaf (UoM: EA)</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4540</v>
      </c>
      <c r="D1051" s="295" t="str">
        <f t="shared" si="49"/>
        <v>A04AR101 Finishing Work Door &amp; Window Work Steel Door w/ Steel Frame &amp; Vision Panel for Each Leaf (UoM: EA)</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4540</v>
      </c>
      <c r="D1052" s="295" t="str">
        <f t="shared" si="49"/>
        <v>A04AR101 Finishing Work Door &amp; Window Work Steel Door w/ Steel Frame &amp; Vision Panel for Each Leaf (UoM: EA)</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4540</v>
      </c>
      <c r="D1053" s="295" t="str">
        <f t="shared" si="49"/>
        <v>A04AR101 Finishing Work Door &amp; Window Work Steel Door w/ Steel Frame &amp; Vision Panel for Each Leaf (UoM: EA)</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4540</v>
      </c>
      <c r="D1054" s="295" t="str">
        <f t="shared" si="49"/>
        <v>A04AR101 Finishing Work Door &amp; Window Work Steel Door w/ Steel Frame &amp; Vision Panel for Each Leaf (UoM: EA)</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4540</v>
      </c>
      <c r="D1055" s="295" t="str">
        <f t="shared" si="49"/>
        <v>A04AR101 Finishing Work Door &amp; Window Work Steel Door w/ Steel Frame &amp; Vision Panel for Each Leaf (UoM: EA)</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4540</v>
      </c>
      <c r="D1056" s="295" t="str">
        <f t="shared" si="49"/>
        <v>A04AR101 Finishing Work Door &amp; Window Work Steel Door w/ Steel Frame &amp; Vision Panel for Each Leaf (UoM: EA)</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4540</v>
      </c>
      <c r="D1057" s="295" t="str">
        <f t="shared" si="49"/>
        <v>A04AR101 Finishing Work Door &amp; Window Work Steel Door w/ Steel Frame &amp; Vision Panel for Each Leaf (UoM: EA)</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4540</v>
      </c>
      <c r="D1058" s="295" t="str">
        <f t="shared" si="49"/>
        <v>A04AR101 Finishing Work Door &amp; Window Work Steel Door w/ Steel Frame &amp; Vision Panel for Each Leaf (UoM: EA)</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4540</v>
      </c>
      <c r="D1059" s="297" t="str">
        <f t="shared" si="49"/>
        <v>A04AR102 Finishing Work Door &amp; Window Work Steel Door w/ Steel Frame &amp; Panic Bar (UoM: M2)</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4540</v>
      </c>
      <c r="D1060" s="297" t="str">
        <f t="shared" si="49"/>
        <v>A04AR102 Finishing Work Door &amp; Window Work Steel Door w/ Steel Frame &amp; Panic Bar (UoM: M2)</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4540</v>
      </c>
      <c r="D1061" s="297" t="str">
        <f t="shared" si="49"/>
        <v>A04AR102 Finishing Work Door &amp; Window Work Steel Door w/ Steel Frame &amp; Panic Bar (UoM: M2)</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4540</v>
      </c>
      <c r="D1062" s="297" t="str">
        <f t="shared" si="49"/>
        <v>A04AR102 Finishing Work Door &amp; Window Work Steel Door w/ Steel Frame &amp; Panic Bar (UoM: M2)</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4540</v>
      </c>
      <c r="D1063" s="297" t="str">
        <f t="shared" si="49"/>
        <v>A04AR102 Finishing Work Door &amp; Window Work Steel Door w/ Steel Frame &amp; Panic Bar (UoM: M2)</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4540</v>
      </c>
      <c r="D1064" s="297" t="str">
        <f t="shared" si="49"/>
        <v>A04AR102 Finishing Work Door &amp; Window Work Steel Door w/ Steel Frame &amp; Panic Bar (UoM: M2)</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4540</v>
      </c>
      <c r="D1065" s="295" t="str">
        <f t="shared" si="49"/>
        <v>A04AR103 Finishing Work Door &amp; Window Work Steel Door w/ Steel Frame &amp; Panic Bar (UoM: EA)</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4540</v>
      </c>
      <c r="D1066" s="295" t="str">
        <f t="shared" si="49"/>
        <v>A04AR103 Finishing Work Door &amp; Window Work Steel Door w/ Steel Frame &amp; Panic Bar (UoM: EA)</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4540</v>
      </c>
      <c r="D1067" s="295" t="str">
        <f t="shared" si="49"/>
        <v>A04AR103 Finishing Work Door &amp; Window Work Steel Door w/ Steel Frame &amp; Panic Bar (UoM: EA)</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4540</v>
      </c>
      <c r="D1068" s="295" t="str">
        <f t="shared" si="49"/>
        <v>A04AR103 Finishing Work Door &amp; Window Work Steel Door w/ Steel Frame &amp; Panic Bar (UoM: EA)</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4540</v>
      </c>
      <c r="D1069" s="295" t="str">
        <f t="shared" si="49"/>
        <v>A04AR103 Finishing Work Door &amp; Window Work Steel Door w/ Steel Frame &amp; Panic Bar (UoM: EA)</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4540</v>
      </c>
      <c r="D1070" s="295" t="str">
        <f t="shared" si="49"/>
        <v>A04AR103 Finishing Work Door &amp; Window Work Steel Door w/ Steel Frame &amp; Panic Bar (UoM: EA)</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4540</v>
      </c>
      <c r="D1071" s="295" t="str">
        <f t="shared" si="49"/>
        <v>A04AR103 Finishing Work Door &amp; Window Work Steel Door w/ Steel Frame &amp; Panic Bar (UoM: EA)</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4540</v>
      </c>
      <c r="D1072" s="295" t="str">
        <f t="shared" si="49"/>
        <v>A04AR103 Finishing Work Door &amp; Window Work Steel Door w/ Steel Frame &amp; Panic Bar (UoM: EA)</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4540</v>
      </c>
      <c r="D1073" s="295" t="str">
        <f t="shared" si="49"/>
        <v>A04AR103 Finishing Work Door &amp; Window Work Steel Door w/ Steel Frame &amp; Panic Bar (UoM: EA)</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4540</v>
      </c>
      <c r="D1074" s="295" t="str">
        <f t="shared" si="49"/>
        <v>A04AR103 Finishing Work Door &amp; Window Work Steel Door w/ Steel Frame &amp; Panic Bar (UoM: EA)</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4540</v>
      </c>
      <c r="D1075" s="295" t="str">
        <f t="shared" si="49"/>
        <v>A04AR103 Finishing Work Door &amp; Window Work Steel Door w/ Steel Frame &amp; Panic Bar (UoM: EA)</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4540</v>
      </c>
      <c r="D1076" s="295" t="str">
        <f t="shared" si="49"/>
        <v>A04AR103 Finishing Work Door &amp; Window Work Steel Door w/ Steel Frame &amp; Panic Bar (UoM: EA)</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4540</v>
      </c>
      <c r="D1077" s="297" t="str">
        <f t="shared" si="49"/>
        <v>A04AR104 Finishing Work Door &amp; Window Work Steel Door w/ Steel Frame, Panic Bar &amp; Vision Panel for Each Leaf (UoM: M2)</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4540</v>
      </c>
      <c r="D1078" s="297" t="str">
        <f t="shared" si="49"/>
        <v>A04AR104 Finishing Work Door &amp; Window Work Steel Door w/ Steel Frame, Panic Bar &amp; Vision Panel for Each Leaf (UoM: M2)</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4540</v>
      </c>
      <c r="D1079" s="297" t="str">
        <f t="shared" si="49"/>
        <v>A04AR104 Finishing Work Door &amp; Window Work Steel Door w/ Steel Frame, Panic Bar &amp; Vision Panel for Each Leaf (UoM: M2)</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4540</v>
      </c>
      <c r="D1080" s="297" t="str">
        <f t="shared" si="49"/>
        <v>A04AR104 Finishing Work Door &amp; Window Work Steel Door w/ Steel Frame, Panic Bar &amp; Vision Panel for Each Leaf (UoM: M2)</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4540</v>
      </c>
      <c r="D1081" s="297" t="str">
        <f t="shared" si="49"/>
        <v>A04AR104 Finishing Work Door &amp; Window Work Steel Door w/ Steel Frame, Panic Bar &amp; Vision Panel for Each Leaf (UoM: M2)</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4540</v>
      </c>
      <c r="D1082" s="295" t="str">
        <f t="shared" si="49"/>
        <v>A04AR105 Finishing Work Door &amp; Window Work Steel Door w/ Steel Frame, Panic Bar &amp; Vision Panel for Each Leaf (UoM: EA)</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4540</v>
      </c>
      <c r="D1083" s="295" t="str">
        <f t="shared" si="49"/>
        <v>A04AR105 Finishing Work Door &amp; Window Work Steel Door w/ Steel Frame, Panic Bar &amp; Vision Panel for Each Leaf (UoM: EA)</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4540</v>
      </c>
      <c r="D1084" s="295" t="str">
        <f t="shared" si="49"/>
        <v>A04AR105 Finishing Work Door &amp; Window Work Steel Door w/ Steel Frame, Panic Bar &amp; Vision Panel for Each Leaf (UoM: EA)</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4540</v>
      </c>
      <c r="D1085" s="295" t="str">
        <f t="shared" si="49"/>
        <v>A04AR105 Finishing Work Door &amp; Window Work Steel Door w/ Steel Frame, Panic Bar &amp; Vision Panel for Each Leaf (UoM: EA)</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4540</v>
      </c>
      <c r="D1086" s="295" t="str">
        <f t="shared" si="49"/>
        <v>A04AR105 Finishing Work Door &amp; Window Work Steel Door w/ Steel Frame, Panic Bar &amp; Vision Panel for Each Leaf (UoM: EA)</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4540</v>
      </c>
      <c r="D1087" s="295" t="str">
        <f t="shared" si="49"/>
        <v>A04AR105 Finishing Work Door &amp; Window Work Steel Door w/ Steel Frame, Panic Bar &amp; Vision Panel for Each Leaf (UoM: EA)</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4540</v>
      </c>
      <c r="D1088" s="295" t="str">
        <f t="shared" si="49"/>
        <v>A04AR105 Finishing Work Door &amp; Window Work Steel Door w/ Steel Frame, Panic Bar &amp; Vision Panel for Each Leaf (UoM: EA)</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4540</v>
      </c>
      <c r="D1089" s="295" t="str">
        <f t="shared" si="49"/>
        <v>A04AR105 Finishing Work Door &amp; Window Work Steel Door w/ Steel Frame, Panic Bar &amp; Vision Panel for Each Leaf (UoM: EA)</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4540</v>
      </c>
      <c r="D1090" s="295" t="str">
        <f t="shared" si="49"/>
        <v>A04AR105 Finishing Work Door &amp; Window Work Steel Door w/ Steel Frame, Panic Bar &amp; Vision Panel for Each Leaf (UoM: EA)</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4540</v>
      </c>
      <c r="D1091" s="295" t="str">
        <f t="shared" si="49"/>
        <v>A04AR105 Finishing Work Door &amp; Window Work Steel Door w/ Steel Frame, Panic Bar &amp; Vision Panel for Each Leaf (UoM: EA)</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4540</v>
      </c>
      <c r="D1092" s="297" t="str">
        <f t="shared" si="49"/>
        <v>A04AR106 Finishing Work Door &amp; Window Work Blast Resistant Door w/ Steel Frame (UoM: M2)</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4540</v>
      </c>
      <c r="D1093" s="297" t="str">
        <f t="shared" si="49"/>
        <v>A04AR106 Finishing Work Door &amp; Window Work Blast Resistant Door w/ Steel Frame (UoM: M2)</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4540</v>
      </c>
      <c r="D1094" s="297" t="str">
        <f t="shared" si="49"/>
        <v>A04AR106 Finishing Work Door &amp; Window Work Blast Resistant Door w/ Steel Frame (UoM: M2)</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4540</v>
      </c>
      <c r="D1095" s="297" t="str">
        <f t="shared" si="49"/>
        <v>A04AR106 Finishing Work Door &amp; Window Work Blast Resistant Door w/ Steel Frame (UoM: M2)</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4540</v>
      </c>
      <c r="D1096" s="297" t="str">
        <f t="shared" ref="D1096:D1159" si="52">G1096&amp;" "&amp;L1096&amp;" "&amp;N1096&amp;" "&amp;P1096</f>
        <v>A04AR106 Finishing Work Door &amp; Window Work Blast Resistant Door w/ Steel Frame (UoM: M2)</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4540</v>
      </c>
      <c r="D1097" s="297" t="str">
        <f t="shared" si="52"/>
        <v>A04AR106 Finishing Work Door &amp; Window Work Blast Resistant Door w/ Steel Frame (UoM: M2)</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4540</v>
      </c>
      <c r="D1098" s="295" t="str">
        <f t="shared" si="52"/>
        <v>A04AR107 Finishing Work Door &amp; Window Work Blast Resistant Door w/ Steel Frame (UoM: EA)</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4540</v>
      </c>
      <c r="D1099" s="295" t="str">
        <f t="shared" si="52"/>
        <v>A04AR107 Finishing Work Door &amp; Window Work Blast Resistant Door w/ Steel Frame (UoM: EA)</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4540</v>
      </c>
      <c r="D1100" s="295" t="str">
        <f t="shared" si="52"/>
        <v>A04AR107 Finishing Work Door &amp; Window Work Blast Resistant Door w/ Steel Frame (UoM: EA)</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4540</v>
      </c>
      <c r="D1101" s="295" t="str">
        <f t="shared" si="52"/>
        <v>A04AR107 Finishing Work Door &amp; Window Work Blast Resistant Door w/ Steel Frame (UoM: EA)</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4540</v>
      </c>
      <c r="D1102" s="295" t="str">
        <f t="shared" si="52"/>
        <v>A04AR107 Finishing Work Door &amp; Window Work Blast Resistant Door w/ Steel Frame (UoM: EA)</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4540</v>
      </c>
      <c r="D1103" s="295" t="str">
        <f t="shared" si="52"/>
        <v>A04AR107 Finishing Work Door &amp; Window Work Blast Resistant Door w/ Steel Frame (UoM: EA)</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4540</v>
      </c>
      <c r="D1104" s="295" t="str">
        <f t="shared" si="52"/>
        <v>A04AR107 Finishing Work Door &amp; Window Work Blast Resistant Door w/ Steel Frame (UoM: EA)</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4540</v>
      </c>
      <c r="D1105" s="295" t="str">
        <f t="shared" si="52"/>
        <v>A04AR107 Finishing Work Door &amp; Window Work Blast Resistant Door w/ Steel Frame (UoM: EA)</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4540</v>
      </c>
      <c r="D1106" s="295" t="str">
        <f t="shared" si="52"/>
        <v>A04AR107 Finishing Work Door &amp; Window Work Blast Resistant Door w/ Steel Frame (UoM: EA)</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4540</v>
      </c>
      <c r="D1107" s="295" t="str">
        <f t="shared" si="52"/>
        <v>A04AR107 Finishing Work Door &amp; Window Work Blast Resistant Door w/ Steel Frame (UoM: EA)</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4540</v>
      </c>
      <c r="D1108" s="295" t="str">
        <f t="shared" si="52"/>
        <v>A04AR107 Finishing Work Door &amp; Window Work Blast Resistant Door w/ Steel Frame (UoM: EA)</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4540</v>
      </c>
      <c r="D1109" s="295" t="str">
        <f t="shared" si="52"/>
        <v>A04AR107 Finishing Work Door &amp; Window Work Blast Resistant Door w/ Steel Frame (UoM: EA)</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4540</v>
      </c>
      <c r="D1110" s="297" t="str">
        <f t="shared" si="52"/>
        <v>A04AR108 Finishing Work Door &amp; Window Work Blast Resistant Door w/ Steel Frame, Panic Bar (UoM: M2)</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4540</v>
      </c>
      <c r="D1111" s="297" t="str">
        <f t="shared" si="52"/>
        <v>A04AR108 Finishing Work Door &amp; Window Work Blast Resistant Door w/ Steel Frame, Panic Bar (UoM: M2)</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4540</v>
      </c>
      <c r="D1112" s="297" t="str">
        <f t="shared" si="52"/>
        <v>A04AR108 Finishing Work Door &amp; Window Work Blast Resistant Door w/ Steel Frame, Panic Bar (UoM: M2)</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4540</v>
      </c>
      <c r="D1113" s="297" t="str">
        <f t="shared" si="52"/>
        <v>A04AR108 Finishing Work Door &amp; Window Work Blast Resistant Door w/ Steel Frame, Panic Bar (UoM: M2)</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4540</v>
      </c>
      <c r="D1114" s="297" t="str">
        <f t="shared" si="52"/>
        <v>A04AR108 Finishing Work Door &amp; Window Work Blast Resistant Door w/ Steel Frame, Panic Bar (UoM: M2)</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4540</v>
      </c>
      <c r="D1115" s="297" t="str">
        <f t="shared" si="52"/>
        <v>A04AR108 Finishing Work Door &amp; Window Work Blast Resistant Door w/ Steel Frame, Panic Bar (UoM: M2)</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4540</v>
      </c>
      <c r="D1116" s="295" t="str">
        <f t="shared" si="52"/>
        <v>A04AR109 Finishing Work Door &amp; Window Work Blast Resistant Door w/ Steel Frame, Panic Bar (UoM: EA)</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4540</v>
      </c>
      <c r="D1117" s="295" t="str">
        <f t="shared" si="52"/>
        <v>A04AR109 Finishing Work Door &amp; Window Work Blast Resistant Door w/ Steel Frame, Panic Bar (UoM: EA)</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4540</v>
      </c>
      <c r="D1118" s="295" t="str">
        <f t="shared" si="52"/>
        <v>A04AR109 Finishing Work Door &amp; Window Work Blast Resistant Door w/ Steel Frame, Panic Bar (UoM: EA)</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4540</v>
      </c>
      <c r="D1119" s="295" t="str">
        <f t="shared" si="52"/>
        <v>A04AR109 Finishing Work Door &amp; Window Work Blast Resistant Door w/ Steel Frame, Panic Bar (UoM: EA)</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4540</v>
      </c>
      <c r="D1120" s="295" t="str">
        <f t="shared" si="52"/>
        <v>A04AR109 Finishing Work Door &amp; Window Work Blast Resistant Door w/ Steel Frame, Panic Bar (UoM: EA)</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4540</v>
      </c>
      <c r="D1121" s="295" t="str">
        <f t="shared" si="52"/>
        <v>A04AR109 Finishing Work Door &amp; Window Work Blast Resistant Door w/ Steel Frame, Panic Bar (UoM: EA)</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4540</v>
      </c>
      <c r="D1122" s="295" t="str">
        <f t="shared" si="52"/>
        <v>A04AR109 Finishing Work Door &amp; Window Work Blast Resistant Door w/ Steel Frame, Panic Bar (UoM: EA)</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4540</v>
      </c>
      <c r="D1123" s="295" t="str">
        <f t="shared" si="52"/>
        <v>A04AR109 Finishing Work Door &amp; Window Work Blast Resistant Door w/ Steel Frame, Panic Bar (UoM: EA)</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4540</v>
      </c>
      <c r="D1124" s="295" t="str">
        <f t="shared" si="52"/>
        <v>A04AR109 Finishing Work Door &amp; Window Work Blast Resistant Door w/ Steel Frame, Panic Bar (UoM: EA)</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4540</v>
      </c>
      <c r="D1125" s="295" t="str">
        <f t="shared" si="52"/>
        <v>A04AR109 Finishing Work Door &amp; Window Work Blast Resistant Door w/ Steel Frame, Panic Bar (UoM: EA)</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4540</v>
      </c>
      <c r="D1126" s="295" t="str">
        <f t="shared" si="52"/>
        <v>A04AR109 Finishing Work Door &amp; Window Work Blast Resistant Door w/ Steel Frame, Panic Bar (UoM: EA)</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4540</v>
      </c>
      <c r="D1127" s="295" t="str">
        <f t="shared" si="52"/>
        <v>A04AR109 Finishing Work Door &amp; Window Work Blast Resistant Door w/ Steel Frame, Panic Bar (UoM: EA)</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4540</v>
      </c>
      <c r="D1128" s="297" t="str">
        <f t="shared" si="52"/>
        <v>A04AR110 Finishing Work Door &amp; Window Work Aluminum Door w/ Aluminum Frame (UoM: M2)</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4540</v>
      </c>
      <c r="D1129" s="297" t="str">
        <f t="shared" si="52"/>
        <v>A04AR110 Finishing Work Door &amp; Window Work Aluminum Door w/ Aluminum Frame (UoM: M2)</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4540</v>
      </c>
      <c r="D1130" s="297" t="str">
        <f t="shared" si="52"/>
        <v>A04AR110 Finishing Work Door &amp; Window Work Aluminum Door w/ Aluminum Frame (UoM: M2)</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4540</v>
      </c>
      <c r="D1131" s="297" t="str">
        <f t="shared" si="52"/>
        <v>A04AR110 Finishing Work Door &amp; Window Work Aluminum Door w/ Aluminum Frame (UoM: M2)</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4540</v>
      </c>
      <c r="D1132" s="295" t="str">
        <f t="shared" si="52"/>
        <v>A04AR111 Finishing Work Door &amp; Window Work Aluminum Door w/ Aluminum Frame (UoM: EA)</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4540</v>
      </c>
      <c r="D1133" s="295" t="str">
        <f t="shared" si="52"/>
        <v>A04AR111 Finishing Work Door &amp; Window Work Aluminum Door w/ Aluminum Frame (UoM: EA)</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4540</v>
      </c>
      <c r="D1134" s="295" t="str">
        <f t="shared" si="52"/>
        <v>A04AR111 Finishing Work Door &amp; Window Work Aluminum Door w/ Aluminum Frame (UoM: EA)</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4540</v>
      </c>
      <c r="D1135" s="295" t="str">
        <f t="shared" si="52"/>
        <v>A04AR111 Finishing Work Door &amp; Window Work Aluminum Door w/ Aluminum Frame (UoM: EA)</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4540</v>
      </c>
      <c r="D1136" s="295" t="str">
        <f t="shared" si="52"/>
        <v>A04AR111 Finishing Work Door &amp; Window Work Aluminum Door w/ Aluminum Frame (UoM: EA)</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4540</v>
      </c>
      <c r="D1137" s="295" t="str">
        <f t="shared" si="52"/>
        <v>A04AR111 Finishing Work Door &amp; Window Work Aluminum Door w/ Aluminum Frame (UoM: EA)</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4540</v>
      </c>
      <c r="D1138" s="295" t="str">
        <f t="shared" si="52"/>
        <v>A04AR111 Finishing Work Door &amp; Window Work Aluminum Door w/ Aluminum Frame (UoM: EA)</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4540</v>
      </c>
      <c r="D1139" s="295" t="str">
        <f t="shared" si="52"/>
        <v>A04AR111 Finishing Work Door &amp; Window Work Aluminum Door w/ Aluminum Frame (UoM: EA)</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4540</v>
      </c>
      <c r="D1140" s="297" t="str">
        <f t="shared" si="52"/>
        <v>A04AR112 Finishing Work Door &amp; Window Work Aluminum Door w/ Aluminum Frame &amp; Vision Panel for Each Leaf (UoM: M2)</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4540</v>
      </c>
      <c r="D1141" s="297" t="str">
        <f t="shared" si="52"/>
        <v>A04AR112 Finishing Work Door &amp; Window Work Aluminum Door w/ Aluminum Frame &amp; Vision Panel for Each Leaf (UoM: M2)</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4540</v>
      </c>
      <c r="D1142" s="297" t="str">
        <f t="shared" si="52"/>
        <v>A04AR112 Finishing Work Door &amp; Window Work Aluminum Door w/ Aluminum Frame &amp; Vision Panel for Each Leaf (UoM: M2)</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4540</v>
      </c>
      <c r="D1143" s="297" t="str">
        <f t="shared" si="52"/>
        <v>A04AR112 Finishing Work Door &amp; Window Work Aluminum Door w/ Aluminum Frame &amp; Vision Panel for Each Leaf (UoM: M2)</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4540</v>
      </c>
      <c r="D1144" s="295" t="str">
        <f t="shared" si="52"/>
        <v>A04AR113 Finishing Work Door &amp; Window Work Aluminum Door w/ Aluminum Frame &amp; Vision Panel for Each Leaf (UoM: EA)</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4540</v>
      </c>
      <c r="D1145" s="295" t="str">
        <f t="shared" si="52"/>
        <v>A04AR113 Finishing Work Door &amp; Window Work Aluminum Door w/ Aluminum Frame &amp; Vision Panel for Each Leaf (UoM: EA)</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4540</v>
      </c>
      <c r="D1146" s="295" t="str">
        <f t="shared" si="52"/>
        <v>A04AR113 Finishing Work Door &amp; Window Work Aluminum Door w/ Aluminum Frame &amp; Vision Panel for Each Leaf (UoM: EA)</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4540</v>
      </c>
      <c r="D1147" s="295" t="str">
        <f t="shared" si="52"/>
        <v>A04AR113 Finishing Work Door &amp; Window Work Aluminum Door w/ Aluminum Frame &amp; Vision Panel for Each Leaf (UoM: EA)</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4540</v>
      </c>
      <c r="D1148" s="295" t="str">
        <f t="shared" si="52"/>
        <v>A04AR113 Finishing Work Door &amp; Window Work Aluminum Door w/ Aluminum Frame &amp; Vision Panel for Each Leaf (UoM: EA)</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4540</v>
      </c>
      <c r="D1149" s="295" t="str">
        <f t="shared" si="52"/>
        <v>A04AR113 Finishing Work Door &amp; Window Work Aluminum Door w/ Aluminum Frame &amp; Vision Panel for Each Leaf (UoM: EA)</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4540</v>
      </c>
      <c r="D1150" s="295" t="str">
        <f t="shared" si="52"/>
        <v>A04AR113 Finishing Work Door &amp; Window Work Aluminum Door w/ Aluminum Frame &amp; Vision Panel for Each Leaf (UoM: EA)</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4540</v>
      </c>
      <c r="D1151" s="295" t="str">
        <f t="shared" si="52"/>
        <v>A04AR113 Finishing Work Door &amp; Window Work Aluminum Door w/ Aluminum Frame &amp; Vision Panel for Each Leaf (UoM: EA)</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4540</v>
      </c>
      <c r="D1152" s="297" t="str">
        <f t="shared" si="52"/>
        <v>A04AR114 Finishing Work Door &amp; Window Work Aluminum Door w/ Aluminum Frame &amp; Panic Bar (UoM: M2)</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4540</v>
      </c>
      <c r="D1153" s="297" t="str">
        <f t="shared" si="52"/>
        <v>A04AR114 Finishing Work Door &amp; Window Work Aluminum Door w/ Aluminum Frame &amp; Panic Bar (UoM: M2)</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4540</v>
      </c>
      <c r="D1154" s="297" t="str">
        <f t="shared" si="52"/>
        <v>A04AR114 Finishing Work Door &amp; Window Work Aluminum Door w/ Aluminum Frame &amp; Panic Bar (UoM: M2)</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4540</v>
      </c>
      <c r="D1155" s="297" t="str">
        <f t="shared" si="52"/>
        <v>A04AR114 Finishing Work Door &amp; Window Work Aluminum Door w/ Aluminum Frame &amp; Panic Bar (UoM: M2)</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4540</v>
      </c>
      <c r="D1156" s="295" t="str">
        <f t="shared" si="52"/>
        <v>A04AR115 Finishing Work Door &amp; Window Work Aluminum Door w/ Aluminum Frame &amp; Panic Bar (UoM: EA)</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4540</v>
      </c>
      <c r="D1157" s="295" t="str">
        <f t="shared" si="52"/>
        <v>A04AR115 Finishing Work Door &amp; Window Work Aluminum Door w/ Aluminum Frame &amp; Panic Bar (UoM: EA)</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4540</v>
      </c>
      <c r="D1158" s="295" t="str">
        <f t="shared" si="52"/>
        <v>A04AR115 Finishing Work Door &amp; Window Work Aluminum Door w/ Aluminum Frame &amp; Panic Bar (UoM: EA)</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4540</v>
      </c>
      <c r="D1159" s="295" t="str">
        <f t="shared" si="52"/>
        <v>A04AR115 Finishing Work Door &amp; Window Work Aluminum Door w/ Aluminum Frame &amp; Panic Bar (UoM: EA)</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4540</v>
      </c>
      <c r="D1160" s="295" t="str">
        <f t="shared" ref="D1160:D1223" si="55">G1160&amp;" "&amp;L1160&amp;" "&amp;N1160&amp;" "&amp;P1160</f>
        <v>A04AR115 Finishing Work Door &amp; Window Work Aluminum Door w/ Aluminum Frame &amp; Panic Bar (UoM: EA)</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4540</v>
      </c>
      <c r="D1161" s="295" t="str">
        <f t="shared" si="55"/>
        <v>A04AR115 Finishing Work Door &amp; Window Work Aluminum Door w/ Aluminum Frame &amp; Panic Bar (UoM: EA)</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4540</v>
      </c>
      <c r="D1162" s="295" t="str">
        <f t="shared" si="55"/>
        <v>A04AR115 Finishing Work Door &amp; Window Work Aluminum Door w/ Aluminum Frame &amp; Panic Bar (UoM: EA)</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4540</v>
      </c>
      <c r="D1163" s="295" t="str">
        <f t="shared" si="55"/>
        <v>A04AR115 Finishing Work Door &amp; Window Work Aluminum Door w/ Aluminum Frame &amp; Panic Bar (UoM: EA)</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4540</v>
      </c>
      <c r="D1164" s="297" t="str">
        <f t="shared" si="55"/>
        <v>A04AR116 Finishing Work Door &amp; Window Work Aluminum Door w/ Aluminum Frame, Panic Bar &amp; Vision Panel for Each Leafr (UoM: M2)</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4540</v>
      </c>
      <c r="D1165" s="297" t="str">
        <f t="shared" si="55"/>
        <v>A04AR116 Finishing Work Door &amp; Window Work Aluminum Door w/ Aluminum Frame, Panic Bar &amp; Vision Panel for Each Leafr (UoM: M2)</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4540</v>
      </c>
      <c r="D1166" s="297" t="str">
        <f t="shared" si="55"/>
        <v>A04AR116 Finishing Work Door &amp; Window Work Aluminum Door w/ Aluminum Frame, Panic Bar &amp; Vision Panel for Each Leafr (UoM: M2)</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4540</v>
      </c>
      <c r="D1167" s="297" t="str">
        <f t="shared" si="55"/>
        <v>A04AR116 Finishing Work Door &amp; Window Work Aluminum Door w/ Aluminum Frame, Panic Bar &amp; Vision Panel for Each Leafr (UoM: M2)</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4540</v>
      </c>
      <c r="D1168" s="295" t="str">
        <f t="shared" si="55"/>
        <v>A04AR117 Finishing Work Door &amp; Window Work Aluminum Door w/ Aluminum Frame, Panic Bar &amp; Vision Panel for Each Leaf (UoM: EA)</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4540</v>
      </c>
      <c r="D1169" s="295" t="str">
        <f t="shared" si="55"/>
        <v>A04AR117 Finishing Work Door &amp; Window Work Aluminum Door w/ Aluminum Frame, Panic Bar &amp; Vision Panel for Each Leaf (UoM: EA)</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4540</v>
      </c>
      <c r="D1170" s="295" t="str">
        <f t="shared" si="55"/>
        <v>A04AR117 Finishing Work Door &amp; Window Work Aluminum Door w/ Aluminum Frame, Panic Bar &amp; Vision Panel for Each Leaf (UoM: EA)</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4540</v>
      </c>
      <c r="D1171" s="295" t="str">
        <f t="shared" si="55"/>
        <v>A04AR117 Finishing Work Door &amp; Window Work Aluminum Door w/ Aluminum Frame, Panic Bar &amp; Vision Panel for Each Leaf (UoM: EA)</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4540</v>
      </c>
      <c r="D1172" s="295" t="str">
        <f t="shared" si="55"/>
        <v>A04AR117 Finishing Work Door &amp; Window Work Aluminum Door w/ Aluminum Frame, Panic Bar &amp; Vision Panel for Each Leaf (UoM: EA)</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4540</v>
      </c>
      <c r="D1173" s="295" t="str">
        <f t="shared" si="55"/>
        <v>A04AR117 Finishing Work Door &amp; Window Work Aluminum Door w/ Aluminum Frame, Panic Bar &amp; Vision Panel for Each Leaf (UoM: EA)</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4540</v>
      </c>
      <c r="D1174" s="295" t="str">
        <f t="shared" si="55"/>
        <v>A04AR117 Finishing Work Door &amp; Window Work Aluminum Door w/ Aluminum Frame, Panic Bar &amp; Vision Panel for Each Leaf (UoM: EA)</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4540</v>
      </c>
      <c r="D1175" s="295" t="str">
        <f t="shared" si="55"/>
        <v>A04AR117 Finishing Work Door &amp; Window Work Aluminum Door w/ Aluminum Frame, Panic Bar &amp; Vision Panel for Each Leaf (UoM: EA)</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4540</v>
      </c>
      <c r="D1176" s="297" t="str">
        <f t="shared" si="55"/>
        <v>A04AR118 Finishing Work Door &amp; Window Work Glass Door w/ SST Frame (UoM: M2)</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4540</v>
      </c>
      <c r="D1177" s="297" t="str">
        <f t="shared" si="55"/>
        <v>A04AR119 Finishing Work Door &amp; Window Work Glass Door w/ SST Frame (UoM: EA)</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4540</v>
      </c>
      <c r="D1178" s="297" t="str">
        <f t="shared" si="55"/>
        <v>A04AR119 Finishing Work Door &amp; Window Work Glass Door w/ SST Frame (UoM: EA)</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4540</v>
      </c>
      <c r="D1179" s="295" t="str">
        <f t="shared" si="55"/>
        <v>A04AR120 Finishing Work Door &amp; Window Work Stainless Steel Door w/ SST Frame (UoM: M2)</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4540</v>
      </c>
      <c r="D1180" s="295" t="str">
        <f t="shared" si="55"/>
        <v>A04AR121 Finishing Work Door &amp; Window Work Stainless Steel Door w/ SST Frame (UoM: EA)</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4540</v>
      </c>
      <c r="D1181" s="295" t="str">
        <f t="shared" si="55"/>
        <v>A04AR121 Finishing Work Door &amp; Window Work Stainless Steel Door w/ SST Frame (UoM: EA)</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4540</v>
      </c>
      <c r="D1182" s="297" t="str">
        <f t="shared" si="55"/>
        <v>A04AR122 Finishing Work Door &amp; Window Work Wood Door w/ Wood Frame (UoM: M2)</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4540</v>
      </c>
      <c r="D1183" s="297" t="str">
        <f t="shared" si="55"/>
        <v>A04AR123 Finishing Work Door &amp; Window Work Wood Door w/ Wood Frame (UoM: EA)</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4540</v>
      </c>
      <c r="D1184" s="297" t="str">
        <f t="shared" si="55"/>
        <v>A04AR123 Finishing Work Door &amp; Window Work Wood Door w/ Wood Frame (UoM: EA)</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4540</v>
      </c>
      <c r="D1185" s="297" t="str">
        <f t="shared" si="55"/>
        <v>A04AR124 Finishing Work Door &amp; Window Work Wood Door w/ Wood Frame &amp; Vision Panel for Each Leaf (UoM: M2)</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4540</v>
      </c>
      <c r="D1186" s="297" t="str">
        <f t="shared" si="55"/>
        <v>A04AR125 Finishing Work Door &amp; Window Work Wood Door w/ Wood Frame &amp; Vision Panel for Each Leaf (UoM: EA)</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4540</v>
      </c>
      <c r="D1187" s="297" t="str">
        <f t="shared" si="55"/>
        <v>A04AR125 Finishing Work Door &amp; Window Work Wood Door w/ Wood Frame &amp; Vision Panel for Each Leaf (UoM: EA)</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A04AR126 Finishing Work Door &amp; Window Work Steel Roll Up Door w/ Steel Frame (UoM: M2)</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A04AR126 Finishing Work Door &amp; Window Work Steel Roll Up Door w/ Steel Frame (UoM: M2)</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A04AR126 Finishing Work Door &amp; Window Work Steel Roll Up Door w/ Steel Frame (UoM: M2)</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A04AR126 Finishing Work Door &amp; Window Work Steel Roll Up Door w/ Steel Frame (UoM: M2)</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A04AR126 Finishing Work Door &amp; Window Work Steel Roll Up Door w/ Steel Frame (UoM: M2)</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A04AR126 Finishing Work Door &amp; Window Work Steel Roll Up Door w/ Steel Frame (UoM: M2)</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A04AR126 Finishing Work Door &amp; Window Work Steel Roll Up Door w/ Steel Frame (UoM: M2)</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A04AR126 Finishing Work Door &amp; Window Work Steel Roll Up Door w/ Steel Frame (UoM: M2)</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A04AR126 Finishing Work Door &amp; Window Work Steel Roll Up Door w/ Steel Frame (UoM: M2)</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A04AR126 Finishing Work Door &amp; Window Work Steel Roll Up Door w/ Steel Frame (UoM: M2)</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A04AR127 Finishing Work Door &amp; Window Work Steel Roll Up Door w/ Steel Frame (UoM: EA)</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A04AR127 Finishing Work Door &amp; Window Work Steel Roll Up Door w/ Steel Frame (UoM: EA)</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A04AR127 Finishing Work Door &amp; Window Work Steel Roll Up Door w/ Steel Frame (UoM: EA)</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A04AR127 Finishing Work Door &amp; Window Work Steel Roll Up Door w/ Steel Frame (UoM: EA)</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A04AR127 Finishing Work Door &amp; Window Work Steel Roll Up Door w/ Steel Frame (UoM: EA)</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A04AR127 Finishing Work Door &amp; Window Work Steel Roll Up Door w/ Steel Frame (UoM: EA)</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A04AR127 Finishing Work Door &amp; Window Work Steel Roll Up Door w/ Steel Frame (UoM: EA)</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A04AR127 Finishing Work Door &amp; Window Work Steel Roll Up Door w/ Steel Frame (UoM: EA)</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A04AR127 Finishing Work Door &amp; Window Work Steel Roll Up Door w/ Steel Frame (UoM: EA)</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A04AR127 Finishing Work Door &amp; Window Work Steel Roll Up Door w/ Steel Frame (UoM: EA)</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A04AR128 Finishing Work Door &amp; Window Work Blast Resistant Roll Up Door w/ Steel Frame (UoM: M2)</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A04AR128 Finishing Work Door &amp; Window Work Blast Resistant Roll Up Door w/ Steel Frame (UoM: M2)</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A04AR128 Finishing Work Door &amp; Window Work Blast Resistant Roll Up Door w/ Steel Frame (UoM: M2)</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A04AR128 Finishing Work Door &amp; Window Work Blast Resistant Roll Up Door w/ Steel Frame (UoM: M2)</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A04AR128 Finishing Work Door &amp; Window Work Blast Resistant Roll Up Door w/ Steel Frame (UoM: M2)</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A04AR128 Finishing Work Door &amp; Window Work Blast Resistant Roll Up Door w/ Steel Frame (UoM: M2)</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A04AR129 Finishing Work Door &amp; Window Work Blast Resistant Roll Up Door w/ Steel Frame (UoM: EA)</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A04AR129 Finishing Work Door &amp; Window Work Blast Resistant Roll Up Door w/ Steel Frame (UoM: EA)</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A04AR129 Finishing Work Door &amp; Window Work Blast Resistant Roll Up Door w/ Steel Frame (UoM: EA)</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A04AR129 Finishing Work Door &amp; Window Work Blast Resistant Roll Up Door w/ Steel Frame (UoM: EA)</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A04AR129 Finishing Work Door &amp; Window Work Blast Resistant Roll Up Door w/ Steel Frame (UoM: EA)</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A04AR129 Finishing Work Door &amp; Window Work Blast Resistant Roll Up Door w/ Steel Frame (UoM: EA)</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A04AR130 Finishing Work Door &amp; Window Work Aluminum Roll Up Door w/ Aluminum Frame (UoM: M2)</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A04AR130 Finishing Work Door &amp; Window Work Aluminum Roll Up Door w/ Aluminum Frame (UoM: M2)</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A04AR131 Finishing Work Door &amp; Window Work Aluminum Roll Up Door w/ Aluminum Frame (UoM: EA)</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A04AR131 Finishing Work Door &amp; Window Work Aluminum Roll Up Door w/ Aluminum Frame (UoM: EA)</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G1224&amp;" "&amp;L1224&amp;" "&amp;N1224&amp;" "&amp;P1224</f>
        <v>A04AR132 Finishing Work Door &amp; Window Work Steel Sliding Door w/ Steel Frame (UoM: M2)</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A04AR132 Finishing Work Door &amp; Window Work Steel Sliding Door w/ Steel Frame (UoM: M2)</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A04AR132 Finishing Work Door &amp; Window Work Steel Sliding Door w/ Steel Frame (UoM: M2)</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A04AR132 Finishing Work Door &amp; Window Work Steel Sliding Door w/ Steel Frame (UoM: M2)</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A04AR132 Finishing Work Door &amp; Window Work Steel Sliding Door w/ Steel Frame (UoM: M2)</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A04AR132 Finishing Work Door &amp; Window Work Steel Sliding Door w/ Steel Frame (UoM: M2)</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A04AR132 Finishing Work Door &amp; Window Work Steel Sliding Door w/ Steel Frame (UoM: M2)</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A04AR132 Finishing Work Door &amp; Window Work Steel Sliding Door w/ Steel Frame (UoM: M2)</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A04AR132 Finishing Work Door &amp; Window Work Steel Sliding Door w/ Steel Frame (UoM: M2)</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A04AR132 Finishing Work Door &amp; Window Work Steel Sliding Door w/ Steel Frame (UoM: M2)</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A04AR133 Finishing Work Door &amp; Window Work Steel Sliding Door w/ Steel Frame (UoM: EA)</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A04AR133 Finishing Work Door &amp; Window Work Steel Sliding Door w/ Steel Frame (UoM: EA)</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A04AR133 Finishing Work Door &amp; Window Work Steel Sliding Door w/ Steel Frame (UoM: EA)</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A04AR133 Finishing Work Door &amp; Window Work Steel Sliding Door w/ Steel Frame (UoM: EA)</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A04AR133 Finishing Work Door &amp; Window Work Steel Sliding Door w/ Steel Frame (UoM: EA)</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A04AR133 Finishing Work Door &amp; Window Work Steel Sliding Door w/ Steel Frame (UoM: EA)</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A04AR133 Finishing Work Door &amp; Window Work Steel Sliding Door w/ Steel Frame (UoM: EA)</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A04AR133 Finishing Work Door &amp; Window Work Steel Sliding Door w/ Steel Frame (UoM: EA)</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A04AR133 Finishing Work Door &amp; Window Work Steel Sliding Door w/ Steel Frame (UoM: EA)</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A04AR133 Finishing Work Door &amp; Window Work Steel Sliding Door w/ Steel Frame (UoM: EA)</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A04AR134 Finishing Work Door &amp; Window Work Aluminum Sliding Door w/ Aluminum Frame (UoM: M2)</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A04AR134 Finishing Work Door &amp; Window Work Aluminum Sliding Door w/ Aluminum Frame (UoM: M2)</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A04AR135 Finishing Work Door &amp; Window Work Aluminum Sliding Door w/ Aluminum Frame (UoM: EA)</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A04AR135 Finishing Work Door &amp; Window Work Aluminum Sliding Door w/ Aluminum Frame (UoM: EA)</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A04AR136 Finishing Work Door &amp; Window Work Steel Hanger Door w/ Steel Frame (UoM: M2)</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A04AR137 Finishing Work Door &amp; Window Work Steel Hanger Door w/ Steel Frame (UoM: EA)</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A04AR138 Finishing Work Door &amp; Window Work Steel Swing Door w/ Steel Frame (UoM: M2)</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A04AR139 Finishing Work Door &amp; Window Work Steel Swing Door w/ Steel Frame (UoM: EA)</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A04AR140 Finishing Work Door &amp; Window Work Aluminum Swing Door w/ Aluminum Frame (UoM: M2)</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A04AR141 Finishing Work Door &amp; Window Work Aluminum Swing Door w/ Aluminum Frame (UoM: EA)</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A04AR142 Finishing Work Door &amp; Window Work Revolving Door (UoM: EA)</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A04AR142 Finishing Work Door &amp; Window Work Revolving Door (UoM: EA)</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A04AR143 Finishing Work Door &amp; Window Work Steel Folding(Accordion) Door w/ Steel Frame (UoM: M2)</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A04AR143 Finishing Work Door &amp; Window Work Steel Folding(Accordion) Door w/ Steel Frame (UoM: M2)</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A04AR144 Finishing Work Door &amp; Window Work Steel Folding(Accordion) Door w/ Steel Frame (UoM: EA)</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A04AR144 Finishing Work Door &amp; Window Work Steel Folding(Accordion) Door w/ Steel Frame (UoM: EA)</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A04AR145 Finishing Work Door &amp; Window Work Aluminum Folding(Accordion) Door w/ Aluminum Frame (UoM: M2)</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A04AR145 Finishing Work Door &amp; Window Work Aluminum Folding(Accordion) Door w/ Aluminum Frame (UoM: M2)</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A04AR146 Finishing Work Door &amp; Window Work Aluminum Folding(Accordion) Door w/ Aluminum Frame (UoM: EA)</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A04AR146 Finishing Work Door &amp; Window Work Aluminum Folding(Accordion) Door w/ Aluminum Frame (UoM: EA)</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A04AR147 Finishing Work Door &amp; Window Work PVC Folding(Accordion) Door w/ PVC Frame (UoM: M2)</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A04AR148 Finishing Work Door &amp; Window Work PVC Folding(Accordion) Door w/ PVC Frame (UoM: EA)</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A04AR149 Finishing Work Door &amp; Window Work uPVC Door w/ uPVC Frame (UoM: M2)</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A04AR150 Finishing Work Door &amp; Window Work uPVC Door w/ uPVC Frame (UoM: EA)</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A04AR151 Finishing Work Door &amp; Window Work Master Key System</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A04AR152 Finishing Work Door &amp; Window Work Steel Window (UoM: M2)</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A04AR152 Finishing Work Door &amp; Window Work Steel Window (UoM: M2)</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A04AR152 Finishing Work Door &amp; Window Work Steel Window (UoM: M2)</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A04AR153 Finishing Work Door &amp; Window Work Steel Window (UoM: EA)</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A04AR153 Finishing Work Door &amp; Window Work Steel Window (UoM: EA)</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A04AR153 Finishing Work Door &amp; Window Work Steel Window (UoM: EA)</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A04AR154 Finishing Work Door &amp; Window Work Blast Resistant Steel Window (UoM: M2)</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A04AR155 Finishing Work Door &amp; Window Work Blast Resistant Steel Window (UoM: EA)</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A04AR156 Finishing Work Door &amp; Window Work Bullet-Proof Steel Window (UoM: M2)</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A04AR157 Finishing Work Door &amp; Window Work Bullet-Proof Steel Window (UoM: EA)</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A04AR158 Finishing Work Door &amp; Window Work Aluminum Window (UoM: M2)</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A04AR158 Finishing Work Door &amp; Window Work Aluminum Window (UoM: M2)</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A04AR158 Finishing Work Door &amp; Window Work Aluminum Window (UoM: M2)</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A04AR159 Finishing Work Door &amp; Window Work Aluminum Window (UoM: EA)</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A04AR159 Finishing Work Door &amp; Window Work Aluminum Window (UoM: EA)</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A04AR159 Finishing Work Door &amp; Window Work Aluminum Window (UoM: EA)</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A04AR160 Finishing Work Door &amp; Window Work uPVC Window (UoM: M2)</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A04AR161 Finishing Work Door &amp; Window Work uPVC Window (UoM: EA)</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A04AR162 Finishing Work Door &amp; Window Work Skylight (UoM: M2)</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G1288&amp;" "&amp;L1288&amp;" "&amp;N1288&amp;" "&amp;P1288</f>
        <v>A04AR162 Finishing Work Door &amp; Window Work Skylight (UoM: M2)</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A04AR163 Finishing Work Door &amp; Window Work Louver (UoM: M2)</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A04AR163 Finishing Work Door &amp; Window Work Louver (UoM: M2)</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A04AR164 Finishing Work Door &amp; Window Work Louver (UoM: EA)</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A04AR164 Finishing Work Door &amp; Window Work Louver (UoM: EA)</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A04AR165 Finishing Work Door &amp; Window Work Shade (UoM: M2)</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A04AR165 Finishing Work Door &amp; Window Work Shade (UoM: M2)</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A04AR166 Finishing Work Door &amp; Window Work Shade (UoM: EA)</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A04AR166 Finishing Work Door &amp; Window Work Shade (UoM: EA)</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A04AR315 Finishing Work Door &amp; Window Work Curtain Wall System (UoM: M2)</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A04AR316 Finishing Work Door &amp; Window Work Curtain Wall System (UoM: EA)</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A04AR318 Finishing Work Door &amp; Window Work Ballistic Resistant Door w/ Steel Frame (UoM: M2)</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A04AR318 Finishing Work Door &amp; Window Work Ballistic Resistant Door w/ Steel Frame (UoM: M2)</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A04AR318 Finishing Work Door &amp; Window Work Ballistic Resistant Door w/ Steel Frame (UoM: M2)</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A04AR318 Finishing Work Door &amp; Window Work Ballistic Resistant Door w/ Steel Frame (UoM: M2)</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A04AR318 Finishing Work Door &amp; Window Work Ballistic Resistant Door w/ Steel Frame (UoM: M2)</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A04AR318 Finishing Work Door &amp; Window Work Ballistic Resistant Door w/ Steel Frame (UoM: M2)</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A04AR319 Finishing Work Door &amp; Window Work Ballistic Resistant Door w/ Steel Frame (UoM: EA)</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A04AR319 Finishing Work Door &amp; Window Work Ballistic Resistant Door w/ Steel Frame (UoM: EA)</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A04AR319 Finishing Work Door &amp; Window Work Ballistic Resistant Door w/ Steel Frame (UoM: EA)</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A04AR319 Finishing Work Door &amp; Window Work Ballistic Resistant Door w/ Steel Frame (UoM: EA)</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A04AR319 Finishing Work Door &amp; Window Work Ballistic Resistant Door w/ Steel Frame (UoM: EA)</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A04AR319 Finishing Work Door &amp; Window Work Ballistic Resistant Door w/ Steel Frame (UoM: EA)</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A04AR319 Finishing Work Door &amp; Window Work Ballistic Resistant Door w/ Steel Frame (UoM: EA)</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A04AR319 Finishing Work Door &amp; Window Work Ballistic Resistant Door w/ Steel Frame (UoM: EA)</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A04AR319 Finishing Work Door &amp; Window Work Ballistic Resistant Door w/ Steel Frame (UoM: EA)</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A04AR319 Finishing Work Door &amp; Window Work Ballistic Resistant Door w/ Steel Frame (UoM: EA)</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A04AR319 Finishing Work Door &amp; Window Work Ballistic Resistant Door w/ Steel Frame (UoM: EA)</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A04AR319 Finishing Work Door &amp; Window Work Ballistic Resistant Door w/ Steel Frame (UoM: EA)</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A04AR320 Finishing Work Door &amp; Window Work Ballistic Resistant Door w/ Steel Frame, Panic Bar (UoM: M2)</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A04AR320 Finishing Work Door &amp; Window Work Ballistic Resistant Door w/ Steel Frame, Panic Bar (UoM: M2)</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A04AR320 Finishing Work Door &amp; Window Work Ballistic Resistant Door w/ Steel Frame, Panic Bar (UoM: M2)</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A04AR320 Finishing Work Door &amp; Window Work Ballistic Resistant Door w/ Steel Frame, Panic Bar (UoM: M2)</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A04AR320 Finishing Work Door &amp; Window Work Ballistic Resistant Door w/ Steel Frame, Panic Bar (UoM: M2)</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A04AR320 Finishing Work Door &amp; Window Work Ballistic Resistant Door w/ Steel Frame, Panic Bar (UoM: M2)</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A04AR321 Finishing Work Door &amp; Window Work Ballistic Resistant Door w/ Steel Frame, Panic Bar (UoM: EA)</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A04AR321 Finishing Work Door &amp; Window Work Ballistic Resistant Door w/ Steel Frame, Panic Bar (UoM: EA)</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A04AR321 Finishing Work Door &amp; Window Work Ballistic Resistant Door w/ Steel Frame, Panic Bar (UoM: EA)</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A04AR321 Finishing Work Door &amp; Window Work Ballistic Resistant Door w/ Steel Frame, Panic Bar (UoM: EA)</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A04AR321 Finishing Work Door &amp; Window Work Ballistic Resistant Door w/ Steel Frame, Panic Bar (UoM: EA)</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A04AR321 Finishing Work Door &amp; Window Work Ballistic Resistant Door w/ Steel Frame, Panic Bar (UoM: EA)</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A04AR321 Finishing Work Door &amp; Window Work Ballistic Resistant Door w/ Steel Frame, Panic Bar (UoM: EA)</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A04AR321 Finishing Work Door &amp; Window Work Ballistic Resistant Door w/ Steel Frame, Panic Bar (UoM: EA)</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A04AR321 Finishing Work Door &amp; Window Work Ballistic Resistant Door w/ Steel Frame, Panic Bar (UoM: EA)</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A04AR321 Finishing Work Door &amp; Window Work Ballistic Resistant Door w/ Steel Frame, Panic Bar (UoM: EA)</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A04AR321 Finishing Work Door &amp; Window Work Ballistic Resistant Door w/ Steel Frame, Panic Bar (UoM: EA)</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A04AR321 Finishing Work Door &amp; Window Work Ballistic Resistant Door w/ Steel Frame, Panic Bar (UoM: EA)</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A04AS038 Finishing Work Exterior/Interior Finish Work Welded Wire Fabric</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A04AS038 Finishing Work Exterior/Interior Finish Work Welded Wire Fabric</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A04AS167 Finishing Work Exterior/Interior Finish Work Marble Window Sill</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A04AS168 Finishing Work Exterior/Interior Finish Work Screed</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A04AS168 Finishing Work Exterior/Interior Finish Work Screed</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A04AS168 Finishing Work Exterior/Interior Finish Work Screed</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A04AS169 Finishing Work Exterior/Interior Finish Work Carpet</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A04AS170 Finishing Work Exterior/Interior Finish Work Carpet Tile</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A04AS171 Finishing Work Exterior/Interior Finish Work Recess Floor Mat</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A04AS172 Finishing Work Exterior/Interior Finish Work Entrance Floor Mats and Frame</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A04AS172 Finishing Work Exterior/Interior Finish Work Entrance Floor Mats and Frame</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4599</v>
      </c>
      <c r="D1346" s="295" t="str">
        <f t="shared" si="61"/>
        <v>A04AS173 Finishing Work Exterior/Interior Finish Work Steel Trowel Finish</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4599</v>
      </c>
      <c r="D1347" s="295" t="str">
        <f t="shared" si="61"/>
        <v>A04AS173 Finishing Work Exterior/Interior Finish Work Steel Trowel Finish</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4599</v>
      </c>
      <c r="D1348" s="300" t="str">
        <f t="shared" si="61"/>
        <v>A04AS173 Finishing Work Exterior/Interior Finish Work Steel Trowel Finish</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4599</v>
      </c>
      <c r="D1349" s="300" t="str">
        <f t="shared" si="61"/>
        <v>A04AS173 Finishing Work Exterior/Interior Finish Work Steel Trowel Finish</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4599</v>
      </c>
      <c r="D1350" s="297" t="str">
        <f t="shared" si="61"/>
        <v>A04AS174 Finishing Work Exterior/Interior Finish Work Raised Floor</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4599</v>
      </c>
      <c r="D1351" s="297" t="str">
        <f t="shared" si="61"/>
        <v>A04AS174 Finishing Work Exterior/Interior Finish Work Raised Floor</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4599</v>
      </c>
      <c r="D1352" s="297" t="str">
        <f t="shared" ref="D1352:D1415" si="64">G1352&amp;" "&amp;L1352&amp;" "&amp;N1352&amp;" "&amp;P1352</f>
        <v>A04AS174 Finishing Work Exterior/Interior Finish Work Raised Floor</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4599</v>
      </c>
      <c r="D1353" s="297" t="str">
        <f t="shared" si="64"/>
        <v>A04AS174 Finishing Work Exterior/Interior Finish Work Raised Floor</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4599</v>
      </c>
      <c r="D1354" s="297" t="str">
        <f t="shared" si="64"/>
        <v>A04AS174 Finishing Work Exterior/Interior Finish Work Raised Floor</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4599</v>
      </c>
      <c r="D1355" s="297" t="str">
        <f t="shared" si="64"/>
        <v>A04AS174 Finishing Work Exterior/Interior Finish Work Raised Floor</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4599</v>
      </c>
      <c r="D1356" s="297" t="str">
        <f t="shared" si="64"/>
        <v>A04AS174 Finishing Work Exterior/Interior Finish Work Raised Floor</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4599</v>
      </c>
      <c r="D1357" s="297" t="str">
        <f t="shared" si="64"/>
        <v>A04AS174 Finishing Work Exterior/Interior Finish Work Raised Floor</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4599</v>
      </c>
      <c r="D1358" s="297" t="str">
        <f t="shared" si="64"/>
        <v>A04AS174 Finishing Work Exterior/Interior Finish Work Raised Floor</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4599</v>
      </c>
      <c r="D1359" s="297" t="str">
        <f t="shared" si="64"/>
        <v>A04AS174 Finishing Work Exterior/Interior Finish Work Raised Floor</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4599</v>
      </c>
      <c r="D1360" s="297" t="str">
        <f t="shared" si="64"/>
        <v>A04AS174 Finishing Work Exterior/Interior Finish Work Raised Floor</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4599</v>
      </c>
      <c r="D1361" s="297" t="str">
        <f t="shared" si="64"/>
        <v>A04AS174 Finishing Work Exterior/Interior Finish Work Raised Floor</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4599</v>
      </c>
      <c r="D1362" s="297" t="str">
        <f t="shared" si="64"/>
        <v>A04AS174 Finishing Work Exterior/Interior Finish Work Raised Floor</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4599</v>
      </c>
      <c r="D1363" s="297" t="str">
        <f t="shared" si="64"/>
        <v>A04AS174 Finishing Work Exterior/Interior Finish Work Raised Floor</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4599</v>
      </c>
      <c r="D1364" s="297" t="str">
        <f t="shared" si="64"/>
        <v>A04AS174 Finishing Work Exterior/Interior Finish Work Raised Floor</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A04AS175 Finishing Work Exterior/Interior Finish Work Material Dividing Strip</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A04AS176 Finishing Work Exterior/Interior Finish Work Plasterboard Dry Liner System</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A04AS176 Finishing Work Exterior/Interior Finish Work Plasterboard Dry Liner System</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A04AS176 Finishing Work Exterior/Interior Finish Work Plasterboard Dry Liner System</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A04AS176 Finishing Work Exterior/Interior Finish Work Plasterboard Dry Liner System</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A04AS176 Finishing Work Exterior/Interior Finish Work Plasterboard Dry Liner System</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A04AS176 Finishing Work Exterior/Interior Finish Work Plasterboard Dry Liner System</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A04AS176 Finishing Work Exterior/Interior Finish Work Plasterboard Dry Liner System</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A04AS176 Finishing Work Exterior/Interior Finish Work Plasterboard Dry Liner System</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A04AS176 Finishing Work Exterior/Interior Finish Work Plasterboard Dry Liner System</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4599</v>
      </c>
      <c r="D1375" s="297" t="str">
        <f t="shared" si="64"/>
        <v>A04AS177 Finishing Work Exterior/Interior Finish Work Gypsumboard Partition Wall (Fixed Type)</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4599</v>
      </c>
      <c r="D1376" s="297" t="str">
        <f t="shared" si="64"/>
        <v>A04AS177 Finishing Work Exterior/Interior Finish Work Gypsumboard Partition Wall (Fixed Type)</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4599</v>
      </c>
      <c r="D1377" s="297" t="str">
        <f t="shared" si="64"/>
        <v>A04AS177 Finishing Work Exterior/Interior Finish Work Gypsumboard Partition Wall (Fixed Type)</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4599</v>
      </c>
      <c r="D1378" s="297" t="str">
        <f t="shared" si="64"/>
        <v>A04AS177 Finishing Work Exterior/Interior Finish Work Gypsumboard Partition Wall (Fixed Type)</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4599</v>
      </c>
      <c r="D1379" s="297" t="str">
        <f t="shared" si="64"/>
        <v>A04AS177 Finishing Work Exterior/Interior Finish Work Gypsumboard Partition Wall (Fixed Type)</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4599</v>
      </c>
      <c r="D1380" s="297" t="str">
        <f t="shared" si="64"/>
        <v>A04AS177 Finishing Work Exterior/Interior Finish Work Gypsumboard Partition Wall (Fixed Type)</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4599</v>
      </c>
      <c r="D1381" s="297" t="str">
        <f t="shared" si="64"/>
        <v>A04AS177 Finishing Work Exterior/Interior Finish Work Gypsumboard Partition Wall (Fixed Type)</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4599</v>
      </c>
      <c r="D1382" s="297" t="str">
        <f t="shared" si="64"/>
        <v>A04AS177 Finishing Work Exterior/Interior Finish Work Gypsumboard Partition Wall (Fixed Type)</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4599</v>
      </c>
      <c r="D1383" s="297" t="str">
        <f t="shared" si="64"/>
        <v>A04AS177 Finishing Work Exterior/Interior Finish Work Gypsumboard Partition Wall (Fixed Type)</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4599</v>
      </c>
      <c r="D1384" s="297" t="str">
        <f t="shared" si="64"/>
        <v>A04AS177 Finishing Work Exterior/Interior Finish Work Gypsumboard Partition Wall (Fixed Type)</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4599</v>
      </c>
      <c r="D1385" s="297" t="str">
        <f t="shared" si="64"/>
        <v>A04AS177 Finishing Work Exterior/Interior Finish Work Gypsumboard Partition Wall (Fixed Type)</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4599</v>
      </c>
      <c r="D1386" s="297" t="str">
        <f t="shared" si="64"/>
        <v>A04AS177 Finishing Work Exterior/Interior Finish Work Gypsumboard Partition Wall (Fixed Type)</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4599</v>
      </c>
      <c r="D1387" s="297" t="str">
        <f t="shared" si="64"/>
        <v>A04AS177 Finishing Work Exterior/Interior Finish Work Gypsumboard Partition Wall (Fixed Type)</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4599</v>
      </c>
      <c r="D1388" s="297" t="str">
        <f t="shared" si="64"/>
        <v>A04AS177 Finishing Work Exterior/Interior Finish Work Gypsumboard Partition Wall (Fixed Type)</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4599</v>
      </c>
      <c r="D1389" s="297" t="str">
        <f t="shared" si="64"/>
        <v>A04AS177 Finishing Work Exterior/Interior Finish Work Gypsumboard Partition Wall (Fixed Type)</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4599</v>
      </c>
      <c r="D1390" s="297" t="str">
        <f t="shared" si="64"/>
        <v>A04AS177 Finishing Work Exterior/Interior Finish Work Gypsumboard Partition Wall (Fixed Type)</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4599</v>
      </c>
      <c r="D1391" s="297" t="str">
        <f t="shared" si="64"/>
        <v>A04AS177 Finishing Work Exterior/Interior Finish Work Gypsumboard Partition Wall (Fixed Type)</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4599</v>
      </c>
      <c r="D1392" s="297" t="str">
        <f t="shared" si="64"/>
        <v>A04AS177 Finishing Work Exterior/Interior Finish Work Gypsumboard Partition Wall (Fixed Type)</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4599</v>
      </c>
      <c r="D1393" s="297" t="str">
        <f t="shared" si="64"/>
        <v>A04AS177 Finishing Work Exterior/Interior Finish Work Gypsumboard Partition Wall (Fixed Type)</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4599</v>
      </c>
      <c r="D1394" s="297" t="str">
        <f t="shared" si="64"/>
        <v>A04AS177 Finishing Work Exterior/Interior Finish Work Gypsumboard Partition Wall (Fixed Type)</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4599</v>
      </c>
      <c r="D1395" s="297" t="str">
        <f t="shared" si="64"/>
        <v>A04AS177 Finishing Work Exterior/Interior Finish Work Gypsumboard Partition Wall (Fixed Type)</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4599</v>
      </c>
      <c r="D1396" s="297" t="str">
        <f t="shared" si="64"/>
        <v>A04AS177 Finishing Work Exterior/Interior Finish Work Gypsumboard Partition Wall (Fixed Type)</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4599</v>
      </c>
      <c r="D1397" s="297" t="str">
        <f t="shared" si="64"/>
        <v>A04AS177 Finishing Work Exterior/Interior Finish Work Gypsumboard Partition Wall (Fixed Type)</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4599</v>
      </c>
      <c r="D1398" s="297" t="str">
        <f t="shared" si="64"/>
        <v>A04AS177 Finishing Work Exterior/Interior Finish Work Gypsumboard Partition Wall (Fixed Type)</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4599</v>
      </c>
      <c r="D1399" s="297" t="str">
        <f t="shared" si="64"/>
        <v>A04AS177 Finishing Work Exterior/Interior Finish Work Gypsumboard Partition Wall (Fixed Type)</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4599</v>
      </c>
      <c r="D1400" s="297" t="str">
        <f t="shared" si="64"/>
        <v>A04AS177 Finishing Work Exterior/Interior Finish Work Gypsumboard Partition Wall (Fixed Type)</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4599</v>
      </c>
      <c r="D1401" s="297" t="str">
        <f t="shared" si="64"/>
        <v>A04AS177 Finishing Work Exterior/Interior Finish Work Gypsumboard Partition Wall (Fixed Type)</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4599</v>
      </c>
      <c r="D1402" s="297" t="str">
        <f t="shared" si="64"/>
        <v>A04AS177 Finishing Work Exterior/Interior Finish Work Gypsumboard Partition Wall (Fixed Type)</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4599</v>
      </c>
      <c r="D1403" s="297" t="str">
        <f t="shared" si="64"/>
        <v>A04AS177 Finishing Work Exterior/Interior Finish Work Gypsumboard Partition Wall (Fixed Type)</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4599</v>
      </c>
      <c r="D1404" s="297" t="str">
        <f t="shared" si="64"/>
        <v>A04AS177 Finishing Work Exterior/Interior Finish Work Gypsumboard Partition Wall (Fixed Type)</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4599</v>
      </c>
      <c r="D1405" s="297" t="str">
        <f t="shared" si="64"/>
        <v>A04AS177 Finishing Work Exterior/Interior Finish Work Gypsumboard Partition Wall (Fixed Type)</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4599</v>
      </c>
      <c r="D1406" s="297" t="str">
        <f t="shared" si="64"/>
        <v>A04AS177 Finishing Work Exterior/Interior Finish Work Gypsumboard Partition Wall (Fixed Type)</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4599</v>
      </c>
      <c r="D1407" s="297" t="str">
        <f t="shared" si="64"/>
        <v>A04AS177 Finishing Work Exterior/Interior Finish Work Gypsumboard Partition Wall (Fixed Type)</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4599</v>
      </c>
      <c r="D1408" s="297" t="str">
        <f t="shared" si="64"/>
        <v>A04AS177 Finishing Work Exterior/Interior Finish Work Gypsumboard Partition Wall (Fixed Type)</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4599</v>
      </c>
      <c r="D1409" s="297" t="str">
        <f t="shared" si="64"/>
        <v>A04AS177 Finishing Work Exterior/Interior Finish Work Gypsumboard Partition Wall (Fixed Type)</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4599</v>
      </c>
      <c r="D1410" s="297" t="str">
        <f t="shared" si="64"/>
        <v>A04AS177 Finishing Work Exterior/Interior Finish Work Gypsumboard Partition Wall (Fixed Type)</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4599</v>
      </c>
      <c r="D1411" s="295" t="str">
        <f t="shared" si="64"/>
        <v>A04AS178 Finishing Work Exterior/Interior Finish Work Gypsumboard Partition Wall (Removable Type)</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4599</v>
      </c>
      <c r="D1412" s="295" t="str">
        <f t="shared" si="64"/>
        <v>A04AS178 Finishing Work Exterior/Interior Finish Work Gypsumboard Partition Wall (Removable Type)</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4599</v>
      </c>
      <c r="D1413" s="295" t="str">
        <f t="shared" si="64"/>
        <v>A04AS178 Finishing Work Exterior/Interior Finish Work Gypsumboard Partition Wall (Removable Type)</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4599</v>
      </c>
      <c r="D1414" s="295" t="str">
        <f t="shared" si="64"/>
        <v>A04AS178 Finishing Work Exterior/Interior Finish Work Gypsumboard Partition Wall (Removable Type)</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4599</v>
      </c>
      <c r="D1415" s="295" t="str">
        <f t="shared" si="64"/>
        <v>A04AS178 Finishing Work Exterior/Interior Finish Work Gypsumboard Partition Wall (Removable Type)</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4599</v>
      </c>
      <c r="D1416" s="295" t="str">
        <f t="shared" ref="D1416:D1479" si="67">G1416&amp;" "&amp;L1416&amp;" "&amp;N1416&amp;" "&amp;P1416</f>
        <v>A04AS178 Finishing Work Exterior/Interior Finish Work Gypsumboard Partition Wall (Removable Type)</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4599</v>
      </c>
      <c r="D1417" s="295" t="str">
        <f t="shared" si="67"/>
        <v>A04AS178 Finishing Work Exterior/Interior Finish Work Gypsumboard Partition Wall (Removable Type)</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4599</v>
      </c>
      <c r="D1418" s="295" t="str">
        <f t="shared" si="67"/>
        <v>A04AS178 Finishing Work Exterior/Interior Finish Work Gypsumboard Partition Wall (Removable Type)</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4599</v>
      </c>
      <c r="D1419" s="295" t="str">
        <f t="shared" si="67"/>
        <v>A04AS178 Finishing Work Exterior/Interior Finish Work Gypsumboard Partition Wall (Removable Type)</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A04AS179 Finishing Work Exterior/Interior Finish Work Cubicle Partition</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A04AS180 Finishing Work Exterior/Interior Finish Work Shower Booth Partition</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A04AS181 Finishing Work Exterior/Interior Finish Work Acoustic Panel</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A04AS182 Finishing Work Exterior/Interior Finish Work Face Brick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A04AS183 Finishing Work Exterior/Interior Finish Work Hard Wood Trim</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A04AS183 Finishing Work Exterior/Interior Finish Work Hard Wood Trim</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A04AS183 Finishing Work Exterior/Interior Finish Work Hard Wood Trim</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A04AS184 Finishing Work Exterior/Interior Finish Work Aluminum Baseboard</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A04AS184 Finishing Work Exterior/Interior Finish Work Aluminum Baseboard</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A04AS184 Finishing Work Exterior/Interior Finish Work Aluminum Baseboard</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A04AS185 Finishing Work Exterior/Interior Finish Work Coved Rubber Skirting</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A04AS185 Finishing Work Exterior/Interior Finish Work Coved Rubber Skirting</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A04AS185 Finishing Work Exterior/Interior Finish Work Coved Rubber Skirting</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A04AS186 Finishing Work Exterior/Interior Finish Work Fiber Board Ceiling System</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A04AS186 Finishing Work Exterior/Interior Finish Work Fiber Board Ceiling System</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A04AS187 Finishing Work Exterior/Interior Finish Work Gypsum Plaster Board Ceiling System</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A04AS187 Finishing Work Exterior/Interior Finish Work Gypsum Plaster Board Ceiling System</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A04AS188 Finishing Work Exterior/Interior Finish Work Moisture Resistant Gypsum Plaster Board Ceiling System</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A04AS188 Finishing Work Exterior/Interior Finish Work Moisture Resistant Gypsum Plaster Board Ceiling System</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A04AS189 Finishing Work Exterior/Interior Finish Work Cement Board Ceiling System</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A04AS189 Finishing Work Exterior/Interior Finish Work Cement Board Ceiling System</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A04AS190 Finishing Work Exterior/Interior Finish Work Acoustic Tiled Ceiling System</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A04AS190 Finishing Work Exterior/Interior Finish Work Acoustic Tiled Ceiling System</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A04AS191 Finishing Work Exterior/Interior Finish Work Moisture Resistant Tiled Ceiling System</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A04AS191 Finishing Work Exterior/Interior Finish Work Moisture Resistant Tiled Ceiling System</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A04AS192 Finishing Work Exterior/Interior Finish Work Aluminum Spandrel Ceiling System</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A04AS193 Finishing Work Exterior/Interior Finish Work Metal Open Cell Ceiling</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A04AS194 Finishing Work Exterior/Interior Finish Work Rigid Insulation</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A04AS194 Finishing Work Exterior/Interior Finish Work Rigid Insulation</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A04AS194 Finishing Work Exterior/Interior Finish Work Rigid Insulation</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A04AS194 Finishing Work Exterior/Interior Finish Work Rigid Insulation</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A04AS194 Finishing Work Exterior/Interior Finish Work Rigid Insulation</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A04AS194 Finishing Work Exterior/Interior Finish Work Rigid Insulation</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A04AS195 Finishing Work Exterior/Interior Finish Work Pre-Fabricated Canopy</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A04AS195 Finishing Work Exterior/Interior Finish Work Pre-Fabricated Canopy</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A04AS195 Finishing Work Exterior/Interior Finish Work Pre-Fabricated Canopy</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A04AS195 Finishing Work Exterior/Interior Finish Work Pre-Fabricated Canopy</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A04AS195 Finishing Work Exterior/Interior Finish Work Pre-Fabricated Canopy</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A04AS195 Finishing Work Exterior/Interior Finish Work Pre-Fabricated Canopy</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A04AS195 Finishing Work Exterior/Interior Finish Work Pre-Fabricated Canopy</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A04AS195 Finishing Work Exterior/Interior Finish Work Pre-Fabricated Canopy</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A04AS195 Finishing Work Exterior/Interior Finish Work Pre-Fabricated Canopy</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A04AS195 Finishing Work Exterior/Interior Finish Work Pre-Fabricated Canopy</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A04AS195 Finishing Work Exterior/Interior Finish Work Pre-Fabricated Canopy</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A04AS195 Finishing Work Exterior/Interior Finish Work Pre-Fabricated Canopy</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A04AS196 Finishing Work Exterior/Interior Finish Work Custom-Made Canopy for Main Entrance</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A04AS196 Finishing Work Exterior/Interior Finish Work Custom-Made Canopy for Main Entrance</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A04AS196 Finishing Work Exterior/Interior Finish Work Custom-Made Canopy for Main Entrance</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A04AS197 Finishing Work Exterior/Interior Finish Work Roof Tile</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A04AS197 Finishing Work Exterior/Interior Finish Work Roof Tile</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A04AS314 Finishing Work Exterior/Interior Finish Work Plywood w/ Fire Retardant Paint</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A04AT198 Finishing Work Plastering Work Plastering</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A04AT198 Finishing Work Plastering Work Plastering</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A04AT198 Finishing Work Plastering Work Plastering</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4540</v>
      </c>
      <c r="D1474" s="295" t="str">
        <f t="shared" si="67"/>
        <v>A04AV205 Finishing Work Misc. Work Roof Drain (for Building)</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4540</v>
      </c>
      <c r="D1475" s="295" t="str">
        <f t="shared" si="67"/>
        <v>A04AV205 Finishing Work Misc. Work Roof Drain (for Building)</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4540</v>
      </c>
      <c r="D1476" s="295" t="str">
        <f t="shared" si="67"/>
        <v>A04AV205 Finishing Work Misc. Work Roof Drain (for Building)</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4540</v>
      </c>
      <c r="D1477" s="295" t="str">
        <f t="shared" si="67"/>
        <v>A04AV205 Finishing Work Misc. Work Roof Drain (for Building)</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4540</v>
      </c>
      <c r="D1478" s="295" t="str">
        <f t="shared" si="67"/>
        <v>A04AV205 Finishing Work Misc. Work Roof Drain (for Building)</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4540</v>
      </c>
      <c r="D1479" s="295" t="str">
        <f t="shared" si="67"/>
        <v>A04AV205 Finishing Work Misc. Work Roof Drain (for Building)</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4540</v>
      </c>
      <c r="D1480" s="295" t="str">
        <f t="shared" ref="D1480:D1543" si="70">G1480&amp;" "&amp;L1480&amp;" "&amp;N1480&amp;" "&amp;P1480</f>
        <v>A04AV205 Finishing Work Misc. Work Roof Drain (for Building)</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4540</v>
      </c>
      <c r="D1481" s="295" t="str">
        <f t="shared" si="70"/>
        <v>A04AV205 Finishing Work Misc. Work Roof Drain (for Building)</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4540</v>
      </c>
      <c r="D1482" s="295" t="str">
        <f t="shared" si="70"/>
        <v>A04AV205 Finishing Work Misc. Work Roof Drain (for Building)</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4540</v>
      </c>
      <c r="D1483" s="295" t="str">
        <f t="shared" si="70"/>
        <v>A04AV205 Finishing Work Misc. Work Roof Drain (for Building)</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4540</v>
      </c>
      <c r="D1484" s="295" t="str">
        <f t="shared" si="70"/>
        <v>A04AV205 Finishing Work Misc. Work Roof Drain (for Building)</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4540</v>
      </c>
      <c r="D1485" s="295" t="str">
        <f t="shared" si="70"/>
        <v>A04AV205 Finishing Work Misc. Work Roof Drain (for Building)</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4540</v>
      </c>
      <c r="D1486" s="295" t="str">
        <f t="shared" si="70"/>
        <v>A04AV206 Finishing Work Misc. Work Roof Drain (for Shelter)</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4540</v>
      </c>
      <c r="D1487" s="295" t="str">
        <f t="shared" si="70"/>
        <v>A04AV206 Finishing Work Misc. Work Roof Drain (for Shelter)</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4540</v>
      </c>
      <c r="D1488" s="295" t="str">
        <f t="shared" si="70"/>
        <v>A04AV206 Finishing Work Misc. Work Roof Drain (for Shelter)</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4540</v>
      </c>
      <c r="D1489" s="295" t="str">
        <f t="shared" si="70"/>
        <v>A04AV206 Finishing Work Misc. Work Roof Drain (for Shelter)</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4540</v>
      </c>
      <c r="D1490" s="295" t="str">
        <f t="shared" si="70"/>
        <v>A04AV206 Finishing Work Misc. Work Roof Drain (for Shelter)</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4540</v>
      </c>
      <c r="D1491" s="295" t="str">
        <f t="shared" si="70"/>
        <v>A04AV206 Finishing Work Misc. Work Roof Drain (for Shelter)</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4540</v>
      </c>
      <c r="D1492" s="295" t="str">
        <f t="shared" si="70"/>
        <v>A04AV206 Finishing Work Misc. Work Roof Drain (for Shelter)</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4540</v>
      </c>
      <c r="D1493" s="295" t="str">
        <f t="shared" si="70"/>
        <v>A04AV206 Finishing Work Misc. Work Roof Drain (for Shelter)</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4540</v>
      </c>
      <c r="D1494" s="295" t="str">
        <f t="shared" si="70"/>
        <v>A04AV206 Finishing Work Misc. Work Roof Drain (for Shelter)</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4540</v>
      </c>
      <c r="D1495" s="295" t="str">
        <f t="shared" si="70"/>
        <v>A04AV206 Finishing Work Misc. Work Roof Drain (for Shelter)</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4540</v>
      </c>
      <c r="D1496" s="295" t="str">
        <f t="shared" si="70"/>
        <v>A04AV206 Finishing Work Misc. Work Roof Drain (for Shelter)</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4540</v>
      </c>
      <c r="D1497" s="295" t="str">
        <f t="shared" si="70"/>
        <v>A04AV206 Finishing Work Misc. Work Roof Drain (for Shelter)</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4540</v>
      </c>
      <c r="D1498" s="297" t="str">
        <f t="shared" si="70"/>
        <v>A04AV207 Finishing Work Misc. Work Downspout</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4540</v>
      </c>
      <c r="D1499" s="297" t="str">
        <f t="shared" si="70"/>
        <v>A04AV207 Finishing Work Misc. Work Downspout</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4540</v>
      </c>
      <c r="D1500" s="297" t="str">
        <f t="shared" si="70"/>
        <v>A04AV207 Finishing Work Misc. Work Downspout</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4540</v>
      </c>
      <c r="D1501" s="297" t="str">
        <f t="shared" si="70"/>
        <v>A04AV207 Finishing Work Misc. Work Downspout</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4540</v>
      </c>
      <c r="D1502" s="297" t="str">
        <f t="shared" si="70"/>
        <v>A04AV207 Finishing Work Misc. Work Downspout</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4540</v>
      </c>
      <c r="D1503" s="297" t="str">
        <f t="shared" si="70"/>
        <v>A04AV207 Finishing Work Misc. Work Downspout</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4540</v>
      </c>
      <c r="D1504" s="297" t="str">
        <f t="shared" si="70"/>
        <v>A04AV207 Finishing Work Misc. Work Downspout</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4540</v>
      </c>
      <c r="D1505" s="297" t="str">
        <f t="shared" si="70"/>
        <v>A04AV207 Finishing Work Misc. Work Downspout</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4540</v>
      </c>
      <c r="D1506" s="297" t="str">
        <f t="shared" si="70"/>
        <v>A04AV207 Finishing Work Misc. Work Downspout</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4540</v>
      </c>
      <c r="D1507" s="297" t="str">
        <f t="shared" si="70"/>
        <v>A04AV207 Finishing Work Misc. Work Downspout</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4540</v>
      </c>
      <c r="D1508" s="297" t="str">
        <f t="shared" si="70"/>
        <v>A04AV207 Finishing Work Misc. Work Downspout</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4540</v>
      </c>
      <c r="D1509" s="297" t="str">
        <f t="shared" si="70"/>
        <v>A04AV207 Finishing Work Misc. Work Downspout</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4540</v>
      </c>
      <c r="D1510" s="295" t="str">
        <f t="shared" si="70"/>
        <v>A04AV208 Finishing Work Misc. Work Water Collection Box</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4540</v>
      </c>
      <c r="D1511" s="295" t="str">
        <f t="shared" si="70"/>
        <v>A04AV208 Finishing Work Misc. Work Water Collection Box</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4540</v>
      </c>
      <c r="D1512" s="295" t="str">
        <f t="shared" si="70"/>
        <v>A04AV208 Finishing Work Misc. Work Water Collection Box</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4540</v>
      </c>
      <c r="D1513" s="297" t="str">
        <f t="shared" si="70"/>
        <v>A04AV209 Finishing Work Misc. Work Splash Block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A04AV210 Finishing Work Misc. Work Natural Ventilator</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A04AV210 Finishing Work Misc. Work Natural Ventilator</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A04AV210 Finishing Work Misc. Work Natural Ventilator</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A04AV210 Finishing Work Misc. Work Natural Ventilator</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A04AV211 Finishing Work Misc. Work Manhole Cover</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A04AV211 Finishing Work Misc. Work Manhole Cover</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4599</v>
      </c>
      <c r="D1520" s="304" t="str">
        <f t="shared" si="70"/>
        <v>A04AV212 Finishing Work Misc. Work Chain Link Fence (Fixed Type)</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4599</v>
      </c>
      <c r="D1521" s="304" t="str">
        <f t="shared" si="70"/>
        <v>A04AV212 Finishing Work Misc. Work Chain Link Fence (Fixed Type)</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4599</v>
      </c>
      <c r="D1522" s="304" t="str">
        <f t="shared" si="70"/>
        <v>A04AV212 Finishing Work Misc. Work Chain Link Fence (Fixed Type)</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4599</v>
      </c>
      <c r="D1523" s="304" t="str">
        <f t="shared" si="70"/>
        <v>A04AV212 Finishing Work Misc. Work Chain Link Fence (Fixed Type)</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4599</v>
      </c>
      <c r="D1524" s="304" t="str">
        <f t="shared" si="70"/>
        <v>A04AV212 Finishing Work Misc. Work Chain Link Fence (Fixed Type)</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4599</v>
      </c>
      <c r="D1525" s="304" t="str">
        <f t="shared" si="70"/>
        <v>A04AV212 Finishing Work Misc. Work Chain Link Fence (Fixed Type)</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4599</v>
      </c>
      <c r="D1526" s="304" t="str">
        <f t="shared" si="70"/>
        <v>A04AV212 Finishing Work Misc. Work Chain Link Fence (Fixed Type)</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4599</v>
      </c>
      <c r="D1527" s="304" t="str">
        <f t="shared" si="70"/>
        <v>A04AV212 Finishing Work Misc. Work Chain Link Fence (Fixed Type)</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4599</v>
      </c>
      <c r="D1528" s="304" t="str">
        <f t="shared" si="70"/>
        <v>A04AV213 Finishing Work Misc. Work Chain Link Fence (Removable Type)</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4599</v>
      </c>
      <c r="D1529" s="304" t="str">
        <f t="shared" si="70"/>
        <v>A04AV213 Finishing Work Misc. Work Chain Link Fence (Removable Type)</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4599</v>
      </c>
      <c r="D1530" s="304" t="str">
        <f t="shared" si="70"/>
        <v>A04AV213 Finishing Work Misc. Work Chain Link Fence (Removable Type)</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4599</v>
      </c>
      <c r="D1531" s="304" t="str">
        <f t="shared" si="70"/>
        <v>A04AV213 Finishing Work Misc. Work Chain Link Fence (Removable Type)</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4599</v>
      </c>
      <c r="D1532" s="304" t="str">
        <f t="shared" si="70"/>
        <v>A04AV213 Finishing Work Misc. Work Chain Link Fence (Removable Type)</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4599</v>
      </c>
      <c r="D1533" s="304" t="str">
        <f t="shared" si="70"/>
        <v>A04AV213 Finishing Work Misc. Work Chain Link Fence (Removable Type)</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4599</v>
      </c>
      <c r="D1534" s="304" t="str">
        <f t="shared" si="70"/>
        <v>A04AV213 Finishing Work Misc. Work Chain Link Fence (Removable Type)</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4599</v>
      </c>
      <c r="D1535" s="304" t="str">
        <f t="shared" si="70"/>
        <v>A04AV213 Finishing Work Misc. Work Chain Link Fence (Removable Type)</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4599</v>
      </c>
      <c r="D1536" s="304" t="str">
        <f t="shared" si="70"/>
        <v>A04AV214 Finishing Work Misc. Work Chain Link Fence Single Gate</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4599</v>
      </c>
      <c r="D1537" s="304" t="str">
        <f t="shared" si="70"/>
        <v>A04AV214 Finishing Work Misc. Work Chain Link Fence Single Gate</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4599</v>
      </c>
      <c r="D1538" s="304" t="str">
        <f t="shared" si="70"/>
        <v>A04AV215 Finishing Work Misc. Work Chain Link Fence Double Gate</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4599</v>
      </c>
      <c r="D1539" s="304" t="str">
        <f t="shared" si="70"/>
        <v>A04AV215 Finishing Work Misc. Work Chain Link Fence Double Gate</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4599</v>
      </c>
      <c r="D1540" s="304" t="str">
        <f t="shared" si="70"/>
        <v>A04AV216 Finishing Work Misc. Work Metal Louvered Fence</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4599</v>
      </c>
      <c r="D1541" s="304" t="str">
        <f t="shared" si="70"/>
        <v>A04AV216 Finishing Work Misc. Work Metal Louvered Fence</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4599</v>
      </c>
      <c r="D1542" s="304" t="str">
        <f t="shared" si="70"/>
        <v>A04AV216 Finishing Work Misc. Work Metal Louvered Fence</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4599</v>
      </c>
      <c r="D1543" s="304" t="str">
        <f t="shared" si="70"/>
        <v>A04AV217 Finishing Work Misc. Work Metal Louvered Fence Single Gate</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4599</v>
      </c>
      <c r="D1544" s="304" t="str">
        <f t="shared" ref="D1544:D1607" si="73">G1544&amp;" "&amp;L1544&amp;" "&amp;N1544&amp;" "&amp;P1544</f>
        <v>A04AV217 Finishing Work Misc. Work Metal Louvered Fence Single Gate</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4599</v>
      </c>
      <c r="D1545" s="304" t="str">
        <f t="shared" si="73"/>
        <v>A04AV217 Finishing Work Misc. Work Metal Louvered Fence Single Gate</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4599</v>
      </c>
      <c r="D1546" s="304" t="str">
        <f t="shared" si="73"/>
        <v>A04AV218 Finishing Work Misc. Work Metal Louvered Fence Double Gate</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4599</v>
      </c>
      <c r="D1547" s="304" t="str">
        <f t="shared" si="73"/>
        <v>A04AV218 Finishing Work Misc. Work Metal Louvered Fence Double Gate</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4599</v>
      </c>
      <c r="D1548" s="304" t="str">
        <f t="shared" si="73"/>
        <v>A04AV218 Finishing Work Misc. Work Metal Louvered Fence Double Gate</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A04AV219 Finishing Work Misc. Work Steel Bollard</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A04AV219 Finishing Work Misc. Work Steel Bollard</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A04AV220 Finishing Work Misc. Work Building Signage</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A04AV221 Finishing Work Misc. Work Room Signage</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A04AV222 Finishing Work Misc. Work Turnstile</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A04AV223 Finishing Work Misc. Work Wheel Stop</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A04AV223 Finishing Work Misc. Work Wheel Stop</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A04AV224 Finishing Work Misc. Work Mirror</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A04AV225 Finishing Work Misc. Work Mirror w/ Shelf</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A04AV226 Finishing Work Misc. Work Liquid Soap Dispensers</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A04AV227 Finishing Work Misc. Work Soap Dish</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A04AV228 Finishing Work Misc. Work Towel Bar</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A04AV229 Finishing Work Misc. Work Coat &amp; Hat Hooks</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A04AV230 Finishing Work Misc. Work Electric Hand Dryer</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A04AV231 Finishing Work Misc. Work Paper Tower Dispenser</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A04AV232 Finishing Work Misc. Work Paper Towel Dispenser and Waste Receptacle</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A04AV233 Finishing Work Misc. Work Toilet Tissue Dispenser</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A04AV234 Finishing Work Misc. Work Grease Traps</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A04AV235 Finishing Work Misc. Work Shelves</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A04AV236 Finishing Work Misc. Work Shower Curtain and Curtain Rod</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A04AV237 Finishing Work Misc. Work Waste Bin</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A04AV238 Finishing Work Misc. Work Toilet Seat-Cover Dispenser</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A04AV239 Finishing Work Misc. Work Ash Tray</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A04AV240 Finishing Work Misc. Work Urinal Partition</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A04AV241 Finishing Work Misc. Work Septic Tank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A04AV241 Finishing Work Misc. Work Septic Tank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A04AV241 Finishing Work Misc. Work Septic Tank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A04AV241 Finishing Work Misc. Work Septic Tank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A04AV242 Finishing Work Misc. Work Feature Water Wall</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A04AV243 Finishing Work Misc. Work Urinal Sill</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A04AV244 Finishing Work Misc. Work Marble Washstand</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A04AV245 Finishing Work Misc. Work Column Guard</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A04AV246 Finishing Work Misc. Work Non Slip Nosing</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A04AV246 Finishing Work Misc. Work Non Slip Nosing</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A04AV247 Finishing Work Misc. Work Flashing Cover for Opening</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A04AV248 Finishing Work Misc. Work Interlocking Block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A04AV249 Finishing Work Misc. Work Plant Box</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A04AV311 Finishing Work Misc. Work PVC Pipe</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A04AV312 Finishing Work Misc. Work Catch Basin (Ready-made)</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 xml:space="preserve">A04AV313 Finishing Work Misc. Work Safety Rope System </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A04AW250 Finishing Work Landscaping Detail Design</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A04AW251 Finishing Work Landscaping Soft 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A04AW251 Finishing Work Landscaping Soft 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A04AW252 Finishing Work Landscaping Hard 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A04AW252 Finishing Work Landscaping Hard 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A04AW252 Finishing Work Landscaping Hard 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A04BA253 Finishing Work Furniture Installation Automatic Counter Top Tea/Coffee Machine</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A04BA254 Finishing Work Furniture Installation Benches</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A04BA255 Finishing Work Furniture Installation Bicycle/ Tricycle Cart Stand</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A04BA256 Finishing Work Furniture Installation Printer</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A04BA257 Finishing Work Furniture Installation Bed</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A04BA258 Finishing Work Furniture Installation Chairs</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A04BA259 Finishing Work Furniture Installation Cloak-Stand</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A04BA260 Finishing Work Furniture Installation Desk</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A04BA261 Finishing Work Furniture Installation Desk Lamp</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A04BA262 Finishing Work Furniture Installation Desk Top Computer &amp; Monitor</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A04BA263 Finishing Work Furniture Installation Dining Chair</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A04BA264 Finishing Work Furniture Installation Dining Table</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A04BA265 Finishing Work Furniture Installation Hanger</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G1608&amp;" "&amp;L1608&amp;" "&amp;N1608&amp;" "&amp;P1608</f>
        <v>A04BA266 Finishing Work Furniture Installation Executive Chair</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A04BA267 Finishing Work Furniture Installation Filing Drawers</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A04BA268 Finishing Work Furniture Installation Full Height Locker</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A04BA269 Finishing Work Furniture Installation Half Height Locker</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A04BA270 Finishing Work Furniture Installation Hot Plate</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A04BA271 Finishing Work Furniture Installation Information Board</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A04BA272 Finishing Work Furniture Installation Key Cabinet</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A04BA273 Finishing Work Furniture Installation Kitchen Sink</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A04BA274 Finishing Work Furniture Installation Kitchen Unit</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A04BA275 Finishing Work Furniture Installation Metal Cabinet</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A04BA276 Finishing Work Furniture Installation Microwave Oven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A04BA277 Finishing Work Furniture Installation Office Partition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A04BA278 Finishing Work Furniture Installation Printer Table</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A04BA279 Finishing Work Furniture Installation Quartz Clock</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A04BA280 Finishing Work Furniture Installation Reception Counter</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A04BA281 Finishing Work Furniture Installation Refrigerator</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A04BA282 Finishing Work Furniture Installation Side Chair</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A04BA283 Finishing Work Furniture Installation Sofa</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A04BA284 Finishing Work Furniture Installation Storage Cabinets(Bookcase)</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A04BA285 Finishing Work Furniture Installation Strip Curtain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A04BA286 Finishing Work Furniture Installation Table</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A04BA287 Finishing Work Furniture Installation Tall Storage Cupboard</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A04BA288 Finishing Work Furniture Installation Umbrella's Holder</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ht="33">
      <c r="B1631" s="251" t="b">
        <v>1</v>
      </c>
      <c r="C1631" s="249"/>
      <c r="D1631" s="295" t="str">
        <f t="shared" si="76"/>
        <v>A04BA289 Finishing Work Furniture Installation Visitors Chairs</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ht="33">
      <c r="B1632" s="251" t="b">
        <v>0</v>
      </c>
      <c r="C1632" s="249"/>
      <c r="D1632" s="295" t="str">
        <f t="shared" si="76"/>
        <v>A04BA290 Finishing Work Furniture Installation Wall Cupboard</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ht="33">
      <c r="B1633" s="251" t="b">
        <v>0</v>
      </c>
      <c r="C1633" s="249"/>
      <c r="D1633" s="295" t="str">
        <f t="shared" si="76"/>
        <v>A04BA291 Finishing Work Furniture Installation Washing Unit</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ht="33">
      <c r="B1634" s="251" t="b">
        <v>0</v>
      </c>
      <c r="C1634" s="249"/>
      <c r="D1634" s="295" t="str">
        <f t="shared" si="76"/>
        <v>A04BA292 Finishing Work Furniture Installation Water Cooler</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ht="33">
      <c r="B1635" s="251" t="b">
        <v>1</v>
      </c>
      <c r="C1635" s="249"/>
      <c r="D1635" s="295" t="str">
        <f t="shared" si="76"/>
        <v>A04BA293 Finishing Work Furniture Installation White Board</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ht="33">
      <c r="B1636" s="251" t="b">
        <v>1</v>
      </c>
      <c r="C1636" s="249"/>
      <c r="D1636" s="295" t="str">
        <f t="shared" si="76"/>
        <v>A04BA294 Finishing Work Furniture Installation Rack</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ht="33">
      <c r="B1637" s="251" t="b">
        <v>0</v>
      </c>
      <c r="C1637" s="249"/>
      <c r="D1637" s="295" t="str">
        <f t="shared" si="76"/>
        <v>A04BA295 Finishing Work Furniture Installation Medicine Cabinet</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ht="33">
      <c r="B1638" s="251" t="b">
        <v>1</v>
      </c>
      <c r="C1638" s="249"/>
      <c r="D1638" s="295" t="str">
        <f t="shared" si="76"/>
        <v>A04BA296 Finishing Work Furniture Installation Others</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ht="49.5">
      <c r="B1639" s="252" t="b">
        <v>1</v>
      </c>
      <c r="C1639" s="250"/>
      <c r="D1639" s="297" t="str">
        <f t="shared" si="76"/>
        <v>A04BD308 Finishing Work Work for Ergonomic/Sustainable Design Ergonomic Designed Area</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ht="49.5">
      <c r="B1640" s="252" t="b">
        <v>1</v>
      </c>
      <c r="C1640" s="250"/>
      <c r="D1640" s="297" t="str">
        <f t="shared" si="76"/>
        <v>A04BD308 Finishing Work Work for Ergonomic/Sustainable Design Ergonomic Designed Area</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ht="49.5">
      <c r="B1641" s="252" t="b">
        <v>1</v>
      </c>
      <c r="C1641" s="250"/>
      <c r="D1641" s="297" t="str">
        <f t="shared" si="76"/>
        <v>A04BD308 Finishing Work Work for Ergonomic/Sustainable Design Ergonomic Designed Area</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ht="49.5">
      <c r="B1642" s="252" t="b">
        <v>0</v>
      </c>
      <c r="C1642" s="250"/>
      <c r="D1642" s="297" t="str">
        <f t="shared" si="76"/>
        <v>A04BD309 Finishing Work Work for Ergonomic/Sustainable Design Sustainable Designed Area</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4599</v>
      </c>
      <c r="D1643" s="295" t="str">
        <f t="shared" si="76"/>
        <v>A05ZZ199 Cladding Work - Single Metal Sheet</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4599</v>
      </c>
      <c r="D1644" s="295" t="str">
        <f t="shared" si="76"/>
        <v>A05ZZ199 Cladding Work - Single Metal Sheet</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4599</v>
      </c>
      <c r="D1645" s="295" t="str">
        <f t="shared" si="76"/>
        <v>A05ZZ199 Cladding Work - Single Metal Sheet</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4599</v>
      </c>
      <c r="D1646" s="295" t="str">
        <f t="shared" si="76"/>
        <v>A05ZZ199 Cladding Work - Single Metal Sheet</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4599</v>
      </c>
      <c r="D1647" s="295" t="str">
        <f t="shared" si="76"/>
        <v>A05ZZ199 Cladding Work - Single Metal Sheet</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4599</v>
      </c>
      <c r="D1648" s="295" t="str">
        <f t="shared" si="76"/>
        <v>A05ZZ199 Cladding Work - Single Metal Sheet</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4599</v>
      </c>
      <c r="D1649" s="297" t="str">
        <f t="shared" si="76"/>
        <v>A05ZZ200 Cladding Work - Sandwich Panel</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4599</v>
      </c>
      <c r="D1650" s="297" t="str">
        <f t="shared" si="76"/>
        <v>A05ZZ200 Cladding Work - Sandwich Panel</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4599</v>
      </c>
      <c r="D1651" s="297" t="str">
        <f t="shared" si="76"/>
        <v>A05ZZ200 Cladding Work - Sandwich Panel</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4599</v>
      </c>
      <c r="D1652" s="297" t="str">
        <f t="shared" si="76"/>
        <v>A05ZZ200 Cladding Work - Sandwich Panel</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4599</v>
      </c>
      <c r="D1653" s="297" t="str">
        <f t="shared" si="76"/>
        <v>A05ZZ200 Cladding Work - Sandwich Panel</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4599</v>
      </c>
      <c r="D1654" s="297" t="str">
        <f t="shared" si="76"/>
        <v>A05ZZ200 Cladding Work - Sandwich Panel</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4599</v>
      </c>
      <c r="D1655" s="297" t="str">
        <f t="shared" si="76"/>
        <v>A05ZZ200 Cladding Work - Sandwich Panel</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4599</v>
      </c>
      <c r="D1656" s="297" t="str">
        <f t="shared" si="76"/>
        <v>A05ZZ200 Cladding Work - Sandwich Panel</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4599</v>
      </c>
      <c r="D1657" s="297" t="str">
        <f t="shared" si="76"/>
        <v>A05ZZ200 Cladding Work - Sandwich Panel</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4599</v>
      </c>
      <c r="D1658" s="297" t="str">
        <f t="shared" si="76"/>
        <v>A05ZZ200 Cladding Work - Sandwich Panel</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4599</v>
      </c>
      <c r="D1659" s="297" t="str">
        <f t="shared" si="76"/>
        <v>A05ZZ200 Cladding Work - Sandwich Panel</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4599</v>
      </c>
      <c r="D1660" s="297" t="str">
        <f t="shared" si="76"/>
        <v>A05ZZ200 Cladding Work - Sandwich Panel</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4599</v>
      </c>
      <c r="D1661" s="297" t="str">
        <f t="shared" si="76"/>
        <v>A05ZZ200 Cladding Work - Sandwich Panel</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4599</v>
      </c>
      <c r="D1662" s="297" t="str">
        <f t="shared" si="76"/>
        <v>A05ZZ200 Cladding Work - Sandwich Panel</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4599</v>
      </c>
      <c r="D1663" s="297" t="str">
        <f t="shared" si="76"/>
        <v>A05ZZ200 Cladding Work - Sandwich Panel</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4599</v>
      </c>
      <c r="D1664" s="297" t="str">
        <f t="shared" si="76"/>
        <v>A05ZZ200 Cladding Work - Sandwich Panel</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4599</v>
      </c>
      <c r="D1665" s="297" t="str">
        <f t="shared" si="76"/>
        <v>A05ZZ200 Cladding Work - Sandwich Panel</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4599</v>
      </c>
      <c r="D1666" s="297" t="str">
        <f t="shared" si="76"/>
        <v>A05ZZ200 Cladding Work - Sandwich Panel</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4599</v>
      </c>
      <c r="D1667" s="297" t="str">
        <f t="shared" si="76"/>
        <v>A05ZZ200 Cladding Work - Sandwich Panel</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4599</v>
      </c>
      <c r="D1668" s="297" t="str">
        <f t="shared" si="76"/>
        <v>A05ZZ200 Cladding Work - Sandwich Panel</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4599</v>
      </c>
      <c r="D1669" s="297" t="str">
        <f t="shared" si="76"/>
        <v>A05ZZ200 Cladding Work - Sandwich Panel</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4599</v>
      </c>
      <c r="D1670" s="297" t="str">
        <f t="shared" si="76"/>
        <v>A05ZZ200 Cladding Work - Sandwich Panel</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4599</v>
      </c>
      <c r="D1671" s="297" t="str">
        <f t="shared" si="76"/>
        <v>A05ZZ200 Cladding Work - Sandwich Panel</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4599</v>
      </c>
      <c r="D1672" s="297" t="str">
        <f t="shared" ref="D1672:D1735" si="79">G1672&amp;" "&amp;L1672&amp;" "&amp;N1672&amp;" "&amp;P1672</f>
        <v>A05ZZ200 Cladding Work - Sandwich Panel</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4599</v>
      </c>
      <c r="D1673" s="297" t="str">
        <f t="shared" si="79"/>
        <v>A05ZZ200 Cladding Work - Sandwich Panel</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4599</v>
      </c>
      <c r="D1674" s="297" t="str">
        <f t="shared" si="79"/>
        <v>A05ZZ200 Cladding Work - Sandwich Panel</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4599</v>
      </c>
      <c r="D1675" s="297" t="str">
        <f t="shared" si="79"/>
        <v>A05ZZ200 Cladding Work - Sandwich Panel</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4599</v>
      </c>
      <c r="D1676" s="297" t="str">
        <f t="shared" si="79"/>
        <v>A05ZZ200 Cladding Work - Sandwich Panel</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4599</v>
      </c>
      <c r="D1677" s="297" t="str">
        <f t="shared" si="79"/>
        <v>A05ZZ200 Cladding Work - Sandwich Panel</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4599</v>
      </c>
      <c r="D1678" s="297" t="str">
        <f t="shared" si="79"/>
        <v>A05ZZ200 Cladding Work - Sandwich Panel</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4599</v>
      </c>
      <c r="D1679" s="297" t="str">
        <f t="shared" si="79"/>
        <v>A05ZZ200 Cladding Work - Sandwich Panel</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4599</v>
      </c>
      <c r="D1680" s="297" t="str">
        <f t="shared" si="79"/>
        <v>A05ZZ200 Cladding Work - Sandwich Panel</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4599</v>
      </c>
      <c r="D1681" s="297" t="str">
        <f t="shared" si="79"/>
        <v>A05ZZ200 Cladding Work - Sandwich Panel</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4599</v>
      </c>
      <c r="D1682" s="297" t="str">
        <f t="shared" si="79"/>
        <v>A05ZZ200 Cladding Work - Sandwich Panel</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4599</v>
      </c>
      <c r="D1683" s="297" t="str">
        <f t="shared" si="79"/>
        <v>A05ZZ200 Cladding Work - Sandwich Panel</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4599</v>
      </c>
      <c r="D1684" s="297" t="str">
        <f t="shared" si="79"/>
        <v>A05ZZ200 Cladding Work - Sandwich Panel</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4599</v>
      </c>
      <c r="D1685" s="297" t="str">
        <f t="shared" si="79"/>
        <v>A05ZZ200 Cladding Work - Sandwich Panel</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4599</v>
      </c>
      <c r="D1686" s="297" t="str">
        <f t="shared" si="79"/>
        <v>A05ZZ200 Cladding Work - Sandwich Panel</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4599</v>
      </c>
      <c r="D1687" s="297" t="str">
        <f t="shared" si="79"/>
        <v>A05ZZ200 Cladding Work - Sandwich Panel</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4599</v>
      </c>
      <c r="D1688" s="297" t="str">
        <f t="shared" si="79"/>
        <v>A05ZZ200 Cladding Work - Sandwich Panel</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4599</v>
      </c>
      <c r="D1689" s="297" t="str">
        <f t="shared" si="79"/>
        <v>A05ZZ200 Cladding Work - Sandwich Panel</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4599</v>
      </c>
      <c r="D1690" s="297" t="str">
        <f t="shared" si="79"/>
        <v>A05ZZ200 Cladding Work - Sandwich Panel</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4599</v>
      </c>
      <c r="D1691" s="297" t="str">
        <f t="shared" si="79"/>
        <v>A05ZZ200 Cladding Work - Sandwich Panel</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4599</v>
      </c>
      <c r="D1692" s="297" t="str">
        <f t="shared" si="79"/>
        <v>A05ZZ200 Cladding Work - Sandwich Panel</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4599</v>
      </c>
      <c r="D1693" s="297" t="str">
        <f t="shared" si="79"/>
        <v>A05ZZ200 Cladding Work - Sandwich Panel</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4599</v>
      </c>
      <c r="D1694" s="297" t="str">
        <f t="shared" si="79"/>
        <v>A05ZZ200 Cladding Work - Sandwich Panel</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4599</v>
      </c>
      <c r="D1695" s="297" t="str">
        <f t="shared" si="79"/>
        <v>A05ZZ200 Cladding Work - Sandwich Panel</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4599</v>
      </c>
      <c r="D1696" s="297" t="str">
        <f t="shared" si="79"/>
        <v>A05ZZ200 Cladding Work - Sandwich Panel</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4599</v>
      </c>
      <c r="D1697" s="297" t="str">
        <f t="shared" si="79"/>
        <v>A05ZZ200 Cladding Work - Sandwich Panel</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4599</v>
      </c>
      <c r="D1698" s="297" t="str">
        <f t="shared" si="79"/>
        <v>A05ZZ200 Cladding Work - Sandwich Panel</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4599</v>
      </c>
      <c r="D1699" s="297" t="str">
        <f t="shared" si="79"/>
        <v>A05ZZ200 Cladding Work - Sandwich Panel</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4599</v>
      </c>
      <c r="D1700" s="297" t="str">
        <f t="shared" si="79"/>
        <v>A05ZZ200 Cladding Work - Sandwich Panel</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4599</v>
      </c>
      <c r="D1701" s="297" t="str">
        <f t="shared" si="79"/>
        <v>A05ZZ200 Cladding Work - Sandwich Panel</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4599</v>
      </c>
      <c r="D1702" s="297" t="str">
        <f t="shared" si="79"/>
        <v>A05ZZ200 Cladding Work - Sandwich Panel</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4599</v>
      </c>
      <c r="D1703" s="297" t="str">
        <f t="shared" si="79"/>
        <v>A05ZZ200 Cladding Work - Sandwich Panel</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4599</v>
      </c>
      <c r="D1704" s="297" t="str">
        <f t="shared" si="79"/>
        <v>A05ZZ200 Cladding Work - Sandwich Panel</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4599</v>
      </c>
      <c r="D1705" s="297" t="str">
        <f t="shared" si="79"/>
        <v>A05ZZ200 Cladding Work - Sandwich Panel</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4599</v>
      </c>
      <c r="D1706" s="297" t="str">
        <f t="shared" si="79"/>
        <v>A05ZZ200 Cladding Work - Sandwich Panel</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4599</v>
      </c>
      <c r="D1707" s="297" t="str">
        <f t="shared" si="79"/>
        <v>A05ZZ200 Cladding Work - Sandwich Panel</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4599</v>
      </c>
      <c r="D1708" s="297" t="str">
        <f t="shared" si="79"/>
        <v>A05ZZ200 Cladding Work - Sandwich Panel</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4599</v>
      </c>
      <c r="D1709" s="297" t="str">
        <f t="shared" si="79"/>
        <v>A05ZZ200 Cladding Work - Sandwich Panel</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4599</v>
      </c>
      <c r="D1710" s="297" t="str">
        <f t="shared" si="79"/>
        <v>A05ZZ200 Cladding Work - Sandwich Panel</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4599</v>
      </c>
      <c r="D1711" s="297" t="str">
        <f t="shared" si="79"/>
        <v>A05ZZ200 Cladding Work - Sandwich Panel</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4599</v>
      </c>
      <c r="D1712" s="297" t="str">
        <f t="shared" si="79"/>
        <v>A05ZZ200 Cladding Work - Sandwich Panel</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4599</v>
      </c>
      <c r="D1713" s="297" t="str">
        <f t="shared" si="79"/>
        <v>A05ZZ200 Cladding Work - Sandwich Panel</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4599</v>
      </c>
      <c r="D1714" s="297" t="str">
        <f t="shared" si="79"/>
        <v>A05ZZ200 Cladding Work - Sandwich Panel</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4599</v>
      </c>
      <c r="D1715" s="297" t="str">
        <f t="shared" si="79"/>
        <v>A05ZZ200 Cladding Work - Sandwich Panel</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4599</v>
      </c>
      <c r="D1716" s="297" t="str">
        <f t="shared" si="79"/>
        <v>A05ZZ200 Cladding Work - Sandwich Panel</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4599</v>
      </c>
      <c r="D1717" s="297" t="str">
        <f t="shared" si="79"/>
        <v>A05ZZ200 Cladding Work - Sandwich Panel</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4599</v>
      </c>
      <c r="D1718" s="297" t="str">
        <f t="shared" si="79"/>
        <v>A05ZZ200 Cladding Work - Sandwich Panel</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4599</v>
      </c>
      <c r="D1719" s="297" t="str">
        <f t="shared" si="79"/>
        <v>A05ZZ200 Cladding Work - Sandwich Panel</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4599</v>
      </c>
      <c r="D1720" s="297" t="str">
        <f t="shared" si="79"/>
        <v>A05ZZ200 Cladding Work - Sandwich Panel</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4599</v>
      </c>
      <c r="D1721" s="297" t="str">
        <f t="shared" si="79"/>
        <v>A05ZZ200 Cladding Work - Sandwich Panel</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4599</v>
      </c>
      <c r="D1722" s="297" t="str">
        <f t="shared" si="79"/>
        <v>A05ZZ200 Cladding Work - Sandwich Panel</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4599</v>
      </c>
      <c r="D1723" s="297" t="str">
        <f t="shared" si="79"/>
        <v>A05ZZ200 Cladding Work - Sandwich Panel</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4599</v>
      </c>
      <c r="D1724" s="297" t="str">
        <f t="shared" si="79"/>
        <v>A05ZZ200 Cladding Work - Sandwich Panel</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4599</v>
      </c>
      <c r="D1725" s="297" t="str">
        <f t="shared" si="79"/>
        <v>A05ZZ200 Cladding Work - Sandwich Panel</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4599</v>
      </c>
      <c r="D1726" s="297" t="str">
        <f t="shared" si="79"/>
        <v>A05ZZ200 Cladding Work - Sandwich Panel</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4599</v>
      </c>
      <c r="D1727" s="297" t="str">
        <f t="shared" si="79"/>
        <v>A05ZZ200 Cladding Work - Sandwich Panel</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4599</v>
      </c>
      <c r="D1728" s="297" t="str">
        <f t="shared" si="79"/>
        <v>A05ZZ200 Cladding Work - Sandwich Panel</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4599</v>
      </c>
      <c r="D1729" s="297" t="str">
        <f t="shared" si="79"/>
        <v>A05ZZ200 Cladding Work - Sandwich Panel</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4599</v>
      </c>
      <c r="D1730" s="297" t="str">
        <f t="shared" si="79"/>
        <v>A05ZZ200 Cladding Work - Sandwich Panel</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4599</v>
      </c>
      <c r="D1731" s="297" t="str">
        <f t="shared" si="79"/>
        <v>A05ZZ200 Cladding Work - Sandwich Panel</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4599</v>
      </c>
      <c r="D1732" s="297" t="str">
        <f t="shared" si="79"/>
        <v>A05ZZ200 Cladding Work - Sandwich Panel</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4599</v>
      </c>
      <c r="D1733" s="297" t="str">
        <f t="shared" si="79"/>
        <v>A05ZZ200 Cladding Work - Sandwich Panel</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4599</v>
      </c>
      <c r="D1734" s="297" t="str">
        <f t="shared" si="79"/>
        <v>A05ZZ200 Cladding Work - Sandwich Panel</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4599</v>
      </c>
      <c r="D1735" s="297" t="str">
        <f t="shared" si="79"/>
        <v>A05ZZ200 Cladding Work - Sandwich Panel</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4599</v>
      </c>
      <c r="D1736" s="297" t="str">
        <f t="shared" ref="D1736:D1799" si="82">G1736&amp;" "&amp;L1736&amp;" "&amp;N1736&amp;" "&amp;P1736</f>
        <v>A05ZZ200 Cladding Work - Sandwich Panel</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4599</v>
      </c>
      <c r="D1737" s="297" t="str">
        <f t="shared" si="82"/>
        <v>A05ZZ200 Cladding Work - Sandwich Panel</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4599</v>
      </c>
      <c r="D1738" s="297" t="str">
        <f t="shared" si="82"/>
        <v>A05ZZ200 Cladding Work - Sandwich Panel</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4599</v>
      </c>
      <c r="D1739" s="297" t="str">
        <f t="shared" si="82"/>
        <v>A05ZZ200 Cladding Work - Sandwich Panel</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4599</v>
      </c>
      <c r="D1740" s="297" t="str">
        <f t="shared" si="82"/>
        <v>A05ZZ200 Cladding Work - Sandwich Panel</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4599</v>
      </c>
      <c r="D1741" s="297" t="str">
        <f t="shared" si="82"/>
        <v>A05ZZ200 Cladding Work - Sandwich Panel</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4599</v>
      </c>
      <c r="D1742" s="297" t="str">
        <f t="shared" si="82"/>
        <v>A05ZZ200 Cladding Work - Sandwich Panel</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4599</v>
      </c>
      <c r="D1743" s="297" t="str">
        <f t="shared" si="82"/>
        <v>A05ZZ200 Cladding Work - Sandwich Panel</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4599</v>
      </c>
      <c r="D1744" s="297" t="str">
        <f t="shared" si="82"/>
        <v>A05ZZ200 Cladding Work - Sandwich Panel</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4599</v>
      </c>
      <c r="D1745" s="297" t="str">
        <f t="shared" si="82"/>
        <v>A05ZZ200 Cladding Work - Sandwich Panel</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4599</v>
      </c>
      <c r="D1746" s="297" t="str">
        <f t="shared" si="82"/>
        <v>A05ZZ200 Cladding Work - Sandwich Panel</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4599</v>
      </c>
      <c r="D1747" s="297" t="str">
        <f t="shared" si="82"/>
        <v>A05ZZ200 Cladding Work - Sandwich Panel</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4599</v>
      </c>
      <c r="D1748" s="297" t="str">
        <f t="shared" si="82"/>
        <v>A05ZZ200 Cladding Work - Sandwich Panel</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4599</v>
      </c>
      <c r="D1749" s="297" t="str">
        <f t="shared" si="82"/>
        <v>A05ZZ200 Cladding Work - Sandwich Panel</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4599</v>
      </c>
      <c r="D1750" s="297" t="str">
        <f t="shared" si="82"/>
        <v>A05ZZ200 Cladding Work - Sandwich Panel</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4599</v>
      </c>
      <c r="D1751" s="297" t="str">
        <f t="shared" si="82"/>
        <v>A05ZZ200 Cladding Work - Sandwich Panel</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4599</v>
      </c>
      <c r="D1752" s="297" t="str">
        <f t="shared" si="82"/>
        <v>A05ZZ200 Cladding Work - Sandwich Panel</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4599</v>
      </c>
      <c r="D1753" s="297" t="str">
        <f t="shared" si="82"/>
        <v>A05ZZ200 Cladding Work - Sandwich Panel</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4599</v>
      </c>
      <c r="D1754" s="297" t="str">
        <f t="shared" si="82"/>
        <v>A05ZZ200 Cladding Work - Sandwich Panel</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4599</v>
      </c>
      <c r="D1755" s="297" t="str">
        <f t="shared" si="82"/>
        <v>A05ZZ200 Cladding Work - Sandwich Panel</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4599</v>
      </c>
      <c r="D1756" s="297" t="str">
        <f t="shared" si="82"/>
        <v>A05ZZ200 Cladding Work - Sandwich Panel</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4599</v>
      </c>
      <c r="D1757" s="297" t="str">
        <f t="shared" si="82"/>
        <v>A05ZZ200 Cladding Work - Sandwich Panel</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4599</v>
      </c>
      <c r="D1758" s="297" t="str">
        <f t="shared" si="82"/>
        <v>A05ZZ200 Cladding Work - Sandwich Panel</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4599</v>
      </c>
      <c r="D1759" s="297" t="str">
        <f t="shared" si="82"/>
        <v>A05ZZ200 Cladding Work - Sandwich Panel</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4599</v>
      </c>
      <c r="D1760" s="297" t="str">
        <f t="shared" si="82"/>
        <v>A05ZZ200 Cladding Work - Sandwich Panel</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4599</v>
      </c>
      <c r="D1761" s="297" t="str">
        <f t="shared" si="82"/>
        <v>A05ZZ200 Cladding Work - Sandwich Panel</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4599</v>
      </c>
      <c r="D1762" s="297" t="str">
        <f t="shared" si="82"/>
        <v>A05ZZ200 Cladding Work - Sandwich Panel</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4599</v>
      </c>
      <c r="D1763" s="297" t="str">
        <f t="shared" si="82"/>
        <v>A05ZZ200 Cladding Work - Sandwich Panel</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4599</v>
      </c>
      <c r="D1764" s="297" t="str">
        <f t="shared" si="82"/>
        <v>A05ZZ200 Cladding Work - Sandwich Panel</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4599</v>
      </c>
      <c r="D1765" s="297" t="str">
        <f t="shared" si="82"/>
        <v>A05ZZ200 Cladding Work - Sandwich Panel</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4599</v>
      </c>
      <c r="D1766" s="297" t="str">
        <f t="shared" si="82"/>
        <v>A05ZZ200 Cladding Work - Sandwich Panel</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4599</v>
      </c>
      <c r="D1767" s="297" t="str">
        <f t="shared" si="82"/>
        <v>A05ZZ200 Cladding Work - Sandwich Panel</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4599</v>
      </c>
      <c r="D1768" s="297" t="str">
        <f t="shared" si="82"/>
        <v>A05ZZ200 Cladding Work - Sandwich Panel</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4599</v>
      </c>
      <c r="D1769" s="297" t="str">
        <f t="shared" si="82"/>
        <v>A05ZZ200 Cladding Work - Sandwich Panel</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4599</v>
      </c>
      <c r="D1770" s="297" t="str">
        <f t="shared" si="82"/>
        <v>A05ZZ200 Cladding Work - Sandwich Panel</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4599</v>
      </c>
      <c r="D1771" s="297" t="str">
        <f t="shared" si="82"/>
        <v>A05ZZ200 Cladding Work - Sandwich Panel</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4599</v>
      </c>
      <c r="D1772" s="297" t="str">
        <f t="shared" si="82"/>
        <v>A05ZZ200 Cladding Work - Sandwich Panel</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4599</v>
      </c>
      <c r="D1773" s="297" t="str">
        <f t="shared" si="82"/>
        <v>A05ZZ200 Cladding Work - Sandwich Panel</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4599</v>
      </c>
      <c r="D1774" s="297" t="str">
        <f t="shared" si="82"/>
        <v>A05ZZ200 Cladding Work - Sandwich Panel</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4599</v>
      </c>
      <c r="D1775" s="297" t="str">
        <f t="shared" si="82"/>
        <v>A05ZZ200 Cladding Work - Sandwich Panel</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4599</v>
      </c>
      <c r="D1776" s="297" t="str">
        <f t="shared" si="82"/>
        <v>A05ZZ200 Cladding Work - Sandwich Panel</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4599</v>
      </c>
      <c r="D1777" s="297" t="str">
        <f t="shared" si="82"/>
        <v>A05ZZ200 Cladding Work - Sandwich Panel</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4599</v>
      </c>
      <c r="D1778" s="297" t="str">
        <f t="shared" si="82"/>
        <v>A05ZZ200 Cladding Work - Sandwich Panel</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4599</v>
      </c>
      <c r="D1779" s="297" t="str">
        <f t="shared" si="82"/>
        <v>A05ZZ200 Cladding Work - Sandwich Panel</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4599</v>
      </c>
      <c r="D1780" s="297" t="str">
        <f t="shared" si="82"/>
        <v>A05ZZ200 Cladding Work - Sandwich Panel</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4599</v>
      </c>
      <c r="D1781" s="297" t="str">
        <f t="shared" si="82"/>
        <v>A05ZZ200 Cladding Work - Sandwich Panel</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4599</v>
      </c>
      <c r="D1782" s="297" t="str">
        <f t="shared" si="82"/>
        <v>A05ZZ200 Cladding Work - Sandwich Panel</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4599</v>
      </c>
      <c r="D1783" s="297" t="str">
        <f t="shared" si="82"/>
        <v>A05ZZ200 Cladding Work - Sandwich Panel</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4599</v>
      </c>
      <c r="D1784" s="297" t="str">
        <f t="shared" si="82"/>
        <v>A05ZZ200 Cladding Work - Sandwich Panel</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4599</v>
      </c>
      <c r="D1785" s="297" t="str">
        <f t="shared" si="82"/>
        <v>A05ZZ200 Cladding Work - Sandwich Panel</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4599</v>
      </c>
      <c r="D1786" s="297" t="str">
        <f t="shared" si="82"/>
        <v>A05ZZ200 Cladding Work - Sandwich Panel</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4599</v>
      </c>
      <c r="D1787" s="297" t="str">
        <f t="shared" si="82"/>
        <v>A05ZZ200 Cladding Work - Sandwich Panel</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4599</v>
      </c>
      <c r="D1788" s="297" t="str">
        <f t="shared" si="82"/>
        <v>A05ZZ200 Cladding Work - Sandwich Panel</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4599</v>
      </c>
      <c r="D1789" s="297" t="str">
        <f t="shared" si="82"/>
        <v>A05ZZ200 Cladding Work - Sandwich Panel</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4599</v>
      </c>
      <c r="D1790" s="297" t="str">
        <f t="shared" si="82"/>
        <v>A05ZZ200 Cladding Work - Sandwich Panel</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4599</v>
      </c>
      <c r="D1791" s="297" t="str">
        <f t="shared" si="82"/>
        <v>A05ZZ200 Cladding Work - Sandwich Panel</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4599</v>
      </c>
      <c r="D1792" s="297" t="str">
        <f t="shared" si="82"/>
        <v>A05ZZ200 Cladding Work - Sandwich Panel</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ht="33">
      <c r="B1793" s="251" t="b">
        <v>0</v>
      </c>
      <c r="C1793" s="249"/>
      <c r="D1793" s="295" t="str">
        <f t="shared" si="82"/>
        <v>A05ZZ201 Cladding Work - FRP Translucent Panel w/ Accessories</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ht="33">
      <c r="B1794" s="251" t="b">
        <v>0</v>
      </c>
      <c r="C1794" s="249"/>
      <c r="D1794" s="295" t="str">
        <f t="shared" si="82"/>
        <v>A05ZZ201 Cladding Work - FRP Translucent Panel w/ Accessories</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A05ZZ202 Cladding Work - Glass Panel</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A05ZZ202 Cladding Work - Glass Panel</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A05ZZ203 Cladding Work - Fabric Roof</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4599</v>
      </c>
      <c r="D1798" s="297" t="str">
        <f t="shared" si="82"/>
        <v>A05ZZ204 Cladding Work - Gutter</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4599</v>
      </c>
      <c r="D1799" s="297" t="str">
        <f t="shared" si="82"/>
        <v>A05ZZ204 Cladding Work - Gutter</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4599</v>
      </c>
      <c r="D1800" s="297" t="str">
        <f t="shared" ref="D1800:D1862" si="85">G1800&amp;" "&amp;L1800&amp;" "&amp;N1800&amp;" "&amp;P1800</f>
        <v>A05ZZ204 Cladding Work - Gutter</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4599</v>
      </c>
      <c r="D1801" s="297" t="str">
        <f t="shared" si="85"/>
        <v>A05ZZ204 Cladding Work - Gutter</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ht="33">
      <c r="B1802" s="251" t="b">
        <v>0</v>
      </c>
      <c r="C1802" s="249"/>
      <c r="D1802" s="295" t="str">
        <f t="shared" si="85"/>
        <v>A06BB297 Demolition Work Revamping Work Demolition Work of Concrete Structure</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ht="33">
      <c r="B1803" s="251" t="b">
        <v>0</v>
      </c>
      <c r="C1803" s="249"/>
      <c r="D1803" s="295" t="str">
        <f t="shared" si="85"/>
        <v>A06BB298 Demolition Work Revamping Work Cutting and Breaking Reinforced Conc.</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ht="33">
      <c r="B1804" s="251" t="b">
        <v>0</v>
      </c>
      <c r="C1804" s="249"/>
      <c r="D1804" s="295" t="str">
        <f t="shared" si="85"/>
        <v>A06BB298 Demolition Work Revamping Work Cutting and Breaking Reinforced Conc.</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ht="33">
      <c r="B1805" s="251" t="b">
        <v>0</v>
      </c>
      <c r="C1805" s="249"/>
      <c r="D1805" s="295" t="str">
        <f t="shared" si="85"/>
        <v>A06BB299 Demolition Work Revamping Work Demolition Work of Masonry</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A06BB300 Demolition Work Revamping Work Demolition Work of Roof Waterproofing System</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A06BB301 Demolition Work Revamping Work Demolition Work of Finishing Material</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ht="33">
      <c r="B1808" s="251" t="b">
        <v>0</v>
      </c>
      <c r="C1808" s="249"/>
      <c r="D1808" s="295" t="str">
        <f t="shared" si="85"/>
        <v>A06BB301 Demolition Work Revamping Work Demolition Work of Finishing Material</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A06BB301 Demolition Work Revamping Work Demolition Work of Finishing Material</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ht="33">
      <c r="B1810" s="251" t="b">
        <v>0</v>
      </c>
      <c r="C1810" s="249"/>
      <c r="D1810" s="295" t="str">
        <f t="shared" si="85"/>
        <v>A06BB302 Demolition Work Revamping Work Demolition Work of Door</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ht="33">
      <c r="B1811" s="251" t="b">
        <v>0</v>
      </c>
      <c r="C1811" s="249"/>
      <c r="D1811" s="295" t="str">
        <f t="shared" si="85"/>
        <v>A06BB303 Demolition Work Revamping Work Demolition Work of Window</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ht="33">
      <c r="B1812" s="251" t="b">
        <v>0</v>
      </c>
      <c r="C1812" s="249"/>
      <c r="D1812" s="295" t="str">
        <f t="shared" si="85"/>
        <v>A06BB304 Demolition Work Revamping Work Demolition Work of Cladding</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ht="33">
      <c r="B1813" s="251" t="b">
        <v>0</v>
      </c>
      <c r="C1813" s="249"/>
      <c r="D1813" s="295" t="str">
        <f t="shared" si="85"/>
        <v>A06BB304 Demolition Work Revamping Work Demolition Work of Cladding</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ht="33">
      <c r="B1814" s="251" t="b">
        <v>0</v>
      </c>
      <c r="C1814" s="249"/>
      <c r="D1814" s="295" t="str">
        <f t="shared" si="85"/>
        <v>A06BB305 Demolition Work Revamping Work Demolition Work of Fence &amp; Gates</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A06BC306 Demolition Work Demolition Work Demolition Work of RC Structure Building</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A06BC307 Demolition Work Demolition Work Demolition Work of Steel Structure Shelter</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ht="33">
      <c r="B1817" s="251" t="b">
        <v>0</v>
      </c>
      <c r="C1817" s="249"/>
      <c r="D1817" s="295" t="str">
        <f t="shared" si="85"/>
        <v>A10SA000 Site Instruction General / Common Work (Other Work) -</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ht="33">
      <c r="B1818" s="251" t="b">
        <v>0</v>
      </c>
      <c r="C1818" s="249"/>
      <c r="D1818" s="295" t="str">
        <f t="shared" si="85"/>
        <v>A10SB000 Site Instruction Incentive of Subcontractor (Progress Expediting) -</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A10SC000 Site Instruction Claim of Subcontractor -</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ht="33">
      <c r="B1820" s="252" t="b">
        <v>0</v>
      </c>
      <c r="C1820" s="250"/>
      <c r="D1820" s="297" t="str">
        <f t="shared" si="85"/>
        <v>S01AA007 Main Steel Structure Fabrication Work Shelter/Building Girth &amp; Purlin</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ht="33">
      <c r="B1821" s="251" t="b">
        <v>0</v>
      </c>
      <c r="C1821" s="249"/>
      <c r="D1821" s="295" t="str">
        <f t="shared" si="85"/>
        <v>S01AA008 Main Steel Structure Fabrication Work Shelter/Building P.E.B. (Pre-Engineered 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ht="33">
      <c r="B1822" s="252" t="b">
        <v>1</v>
      </c>
      <c r="C1822" s="250"/>
      <c r="D1822" s="297" t="str">
        <f t="shared" si="85"/>
        <v>S01AA009 Main Steel Structure Fabrication Work Shelter/Building Plates - Gusset, Stiffener, ETC</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ht="33">
      <c r="B1823" s="252" t="b">
        <v>0</v>
      </c>
      <c r="C1823" s="250"/>
      <c r="D1823" s="297" t="str">
        <f t="shared" si="85"/>
        <v>S01AA011 Main Steel Structure Fabrication Work Shelter/Building High Strength Bolts&amp;Nuts</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ht="33">
      <c r="B1824" s="252" t="b">
        <v>0</v>
      </c>
      <c r="C1824" s="250"/>
      <c r="D1824" s="297" t="str">
        <f t="shared" si="85"/>
        <v>S01AA012 Main Steel Structure Fabrication Work Shelter/Building Common Bolts&amp;Nuts</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ht="33">
      <c r="B1825" s="252" t="b">
        <v>0</v>
      </c>
      <c r="C1825" s="250"/>
      <c r="D1825" s="297" t="str">
        <f t="shared" si="85"/>
        <v>S01AA071 Main Steel Structure Fabrication Work Shelter/Building Extra Heavy Steel - Standard</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ht="33">
      <c r="B1826" s="252" t="b">
        <v>0</v>
      </c>
      <c r="C1826" s="250"/>
      <c r="D1826" s="297" t="str">
        <f t="shared" si="85"/>
        <v>S01AA072 Main Steel Structure Fabrication Work Shelter/Building Heavy Steel - Standard</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ht="33">
      <c r="B1827" s="252" t="b">
        <v>0</v>
      </c>
      <c r="C1827" s="250"/>
      <c r="D1827" s="297" t="str">
        <f t="shared" si="85"/>
        <v>S01AA073 Main Steel Structure Fabrication Work Shelter/Building Medium Steel - Standard</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ht="33">
      <c r="B1828" s="252" t="b">
        <v>1</v>
      </c>
      <c r="C1828" s="250"/>
      <c r="D1828" s="297" t="str">
        <f t="shared" si="85"/>
        <v>S01AA074 Main Steel Structure Fabrication Work Shelter/Building Light Steel - Standard</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ht="33">
      <c r="B1829" s="252" t="b">
        <v>0</v>
      </c>
      <c r="C1829" s="250"/>
      <c r="D1829" s="297" t="str">
        <f t="shared" si="85"/>
        <v>S01AA075 Main Steel Structure Fabrication Work Shelter/Building Extra Light Steel - Standard</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ht="33">
      <c r="B1830" s="252" t="b">
        <v>0</v>
      </c>
      <c r="C1830" s="250"/>
      <c r="D1830" s="297" t="str">
        <f t="shared" si="85"/>
        <v>S01AA076 Main Steel Structure Fabrication Work Shelter/Building Extra Heavy Steel - Built up</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ht="33">
      <c r="B1831" s="252" t="b">
        <v>0</v>
      </c>
      <c r="C1831" s="250"/>
      <c r="D1831" s="297" t="str">
        <f t="shared" si="85"/>
        <v>S01AA077 Main Steel Structure Fabrication Work Shelter/Building Heavy Steel - Built up</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ht="33">
      <c r="B1832" s="252" t="b">
        <v>0</v>
      </c>
      <c r="C1832" s="250"/>
      <c r="D1832" s="297" t="str">
        <f t="shared" si="85"/>
        <v>S01AA078 Main Steel Structure Fabrication Work Shelter/Building Medium Steel - Built up</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ht="33">
      <c r="B1833" s="252" t="b">
        <v>0</v>
      </c>
      <c r="C1833" s="250"/>
      <c r="D1833" s="297" t="str">
        <f t="shared" si="85"/>
        <v>S01AA079 Main Steel Structure Fabrication Work Shelter/Building Light Steel - Built up</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ht="33">
      <c r="B1834" s="252" t="b">
        <v>0</v>
      </c>
      <c r="C1834" s="250"/>
      <c r="D1834" s="297" t="str">
        <f t="shared" si="85"/>
        <v>S01AA080 Main Steel Structure Fabrication Work Shelter/Building Extra Light Steel - Built up</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ht="33">
      <c r="B1835" s="251" t="b">
        <v>0</v>
      </c>
      <c r="C1835" s="249" t="s">
        <v>4599</v>
      </c>
      <c r="D1835" s="295" t="str">
        <f t="shared" si="85"/>
        <v>S02AA017 Miscellaneous Steel Fabrication Work Shelter/Building Checkered/Flooring Plate</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ht="33">
      <c r="B1836" s="251" t="b">
        <v>0</v>
      </c>
      <c r="C1836" s="249" t="s">
        <v>4599</v>
      </c>
      <c r="D1836" s="295" t="str">
        <f t="shared" si="85"/>
        <v>S02AA017 Miscellaneous Steel Fabrication Work Shelter/Building Checkered/Flooring Plate</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ht="33">
      <c r="B1837" s="251" t="b">
        <v>0</v>
      </c>
      <c r="C1837" s="249" t="s">
        <v>4599</v>
      </c>
      <c r="D1837" s="295" t="str">
        <f t="shared" si="85"/>
        <v>S02AA017 Miscellaneous Steel Fabrication Work Shelter/Building Checkered/Flooring Plate</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ht="33">
      <c r="B1838" s="251" t="b">
        <v>0</v>
      </c>
      <c r="C1838" s="249" t="s">
        <v>4599</v>
      </c>
      <c r="D1838" s="295" t="str">
        <f t="shared" si="85"/>
        <v>S02AA017 Miscellaneous Steel Fabrication Work Shelter/Building Checkered/Flooring Plate</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ht="33">
      <c r="B1839" s="251" t="b">
        <v>0</v>
      </c>
      <c r="C1839" s="249" t="s">
        <v>4599</v>
      </c>
      <c r="D1839" s="295" t="str">
        <f t="shared" si="85"/>
        <v>S02AA017 Miscellaneous Steel Fabrication Work Shelter/Building Checkered/Flooring Plate</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ht="33">
      <c r="B1840" s="252" t="b">
        <v>0</v>
      </c>
      <c r="C1840" s="250" t="s">
        <v>4599</v>
      </c>
      <c r="D1840" s="297" t="str">
        <f t="shared" si="85"/>
        <v>S02AA018 Miscellaneous Steel Fabrication Work Shelter/Building Grating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ht="33">
      <c r="B1841" s="252" t="b">
        <v>1</v>
      </c>
      <c r="C1841" s="250" t="s">
        <v>4599</v>
      </c>
      <c r="D1841" s="297" t="str">
        <f t="shared" si="85"/>
        <v>S02AA018 Miscellaneous Steel Fabrication Work Shelter/Building Grating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ht="33">
      <c r="B1842" s="252" t="b">
        <v>0</v>
      </c>
      <c r="C1842" s="250" t="s">
        <v>4599</v>
      </c>
      <c r="D1842" s="297" t="str">
        <f t="shared" si="85"/>
        <v>S02AA018 Miscellaneous Steel Fabrication Work Shelter/Building Grating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ht="33">
      <c r="B1843" s="252" t="b">
        <v>0</v>
      </c>
      <c r="C1843" s="250" t="s">
        <v>4599</v>
      </c>
      <c r="D1843" s="297" t="str">
        <f t="shared" si="85"/>
        <v>S02AA018 Miscellaneous Steel Fabrication Work Shelter/Building Grating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ht="33">
      <c r="B1844" s="251" t="b">
        <v>0</v>
      </c>
      <c r="C1844" s="249"/>
      <c r="D1844" s="295" t="str">
        <f t="shared" si="85"/>
        <v>S02AA019 Miscellaneous Steel Fabrication Work Shelter/Building Steel Stairs</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ht="33">
      <c r="B1845" s="251" t="b">
        <v>0</v>
      </c>
      <c r="C1845" s="249"/>
      <c r="D1845" s="295" t="str">
        <f t="shared" si="85"/>
        <v>S02AA019 Miscellaneous Steel Fabrication Work Shelter/Building Steel Stairs</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ht="33">
      <c r="B1846" s="252" t="b">
        <v>0</v>
      </c>
      <c r="C1846" s="250"/>
      <c r="D1846" s="297" t="str">
        <f t="shared" si="85"/>
        <v>S02AA020 Miscellaneous Steel Fabrication Work Shelter/Building Steel Handrails</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ht="33">
      <c r="B1847" s="252" t="b">
        <v>1</v>
      </c>
      <c r="C1847" s="250"/>
      <c r="D1847" s="297" t="str">
        <f t="shared" si="85"/>
        <v>S02AA020 Miscellaneous Steel Fabrication Work Shelter/Building Steel Handrails</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ht="33">
      <c r="B1848" s="252" t="b">
        <v>0</v>
      </c>
      <c r="C1848" s="250"/>
      <c r="D1848" s="297" t="str">
        <f t="shared" si="85"/>
        <v>S02AA020 Miscellaneous Steel Fabrication Work Shelter/Building Steel Handrails</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ht="33">
      <c r="B1849" s="252" t="b">
        <v>0</v>
      </c>
      <c r="C1849" s="250"/>
      <c r="D1849" s="297" t="str">
        <f t="shared" si="85"/>
        <v>S02AA021 Miscellaneous Steel Fabrication Work Shelter/Building Steel Handrails - Removable</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ht="33">
      <c r="B1850" s="252" t="b">
        <v>1</v>
      </c>
      <c r="C1850" s="250"/>
      <c r="D1850" s="297" t="str">
        <f t="shared" si="85"/>
        <v>S02AA021 Miscellaneous Steel Fabrication Work Shelter/Building Steel Handrails - Removable</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ht="33">
      <c r="B1851" s="252" t="b">
        <v>0</v>
      </c>
      <c r="C1851" s="250"/>
      <c r="D1851" s="297" t="str">
        <f t="shared" si="85"/>
        <v>S02AA021 Miscellaneous Steel Fabrication Work Shelter/Building Steel Handrails - Removable</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ht="33">
      <c r="B1852" s="252" t="b">
        <v>0</v>
      </c>
      <c r="C1852" s="250"/>
      <c r="D1852" s="297" t="str">
        <f t="shared" si="85"/>
        <v>S02AA022 Miscellaneous Steel Fabrication Work Shelter/Building Stainless Steel Handrail</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ht="33">
      <c r="B1853" s="252" t="b">
        <v>0</v>
      </c>
      <c r="C1853" s="250"/>
      <c r="D1853" s="297" t="str">
        <f t="shared" si="85"/>
        <v>S02AA022 Miscellaneous Steel Fabrication Work Shelter/Building Stainless Steel Handrail</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ht="33">
      <c r="B1854" s="252" t="b">
        <v>0</v>
      </c>
      <c r="C1854" s="250"/>
      <c r="D1854" s="297" t="str">
        <f t="shared" si="85"/>
        <v>S02AA022 Miscellaneous Steel Fabrication Work Shelter/Building Stainless Steel Handrail</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ht="33">
      <c r="B1855" s="251" t="b">
        <v>0</v>
      </c>
      <c r="C1855" s="249"/>
      <c r="D1855" s="295" t="str">
        <f t="shared" si="85"/>
        <v>S02AA024 Miscellaneous Steel Fabrication Work Shelter/Building Galvanized Steel Deck Plate</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ht="49.5">
      <c r="B1856" s="252" t="b">
        <v>0</v>
      </c>
      <c r="C1856" s="250"/>
      <c r="D1856" s="297" t="str">
        <f t="shared" si="85"/>
        <v>S02AA037 Miscellaneous Steel Fabrication Work Shelter/Building Stainless Steel Handrail - Removable</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ht="49.5">
      <c r="B1857" s="252" t="b">
        <v>0</v>
      </c>
      <c r="C1857" s="250"/>
      <c r="D1857" s="297" t="str">
        <f t="shared" si="85"/>
        <v>S02AA037 Miscellaneous Steel Fabrication Work Shelter/Building Stainless Steel Handrail - Removable</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ht="49.5">
      <c r="B1858" s="252" t="b">
        <v>0</v>
      </c>
      <c r="C1858" s="250"/>
      <c r="D1858" s="297" t="str">
        <f t="shared" si="85"/>
        <v>S02AA037 Miscellaneous Steel Fabrication Work Shelter/Building Stainless Steel Handrail - Removable</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ht="33">
      <c r="B1859" s="251" t="b">
        <v>0</v>
      </c>
      <c r="C1859" s="249"/>
      <c r="D1859" s="295" t="str">
        <f t="shared" si="85"/>
        <v>S02AA038 Miscellaneous Steel Fabrication Work Shelter/Building FRP Grating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ht="33">
      <c r="B1860" s="252" t="b">
        <v>0</v>
      </c>
      <c r="C1860" s="250"/>
      <c r="D1860" s="297" t="str">
        <f t="shared" si="85"/>
        <v>S02AA039 Miscellaneous Steel Fabrication Work Shelter/Building FRP Handrail</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ht="33">
      <c r="B1861" s="252" t="b">
        <v>0</v>
      </c>
      <c r="C1861" s="250"/>
      <c r="D1861" s="297" t="str">
        <f t="shared" si="85"/>
        <v>S02AA040 Miscellaneous Steel Fabrication Work Shelter/Building FRP Handrail - Removable</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ht="33">
      <c r="B1862" s="251" t="b">
        <v>0</v>
      </c>
      <c r="C1862" s="249"/>
      <c r="D1862" s="295" t="str">
        <f t="shared" si="85"/>
        <v>S02AA041 Miscellaneous Steel Fabrication Work Shelter/Building Steel Ladder w/ Cage</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ht="33">
      <c r="B1863" s="251" t="b">
        <v>1</v>
      </c>
      <c r="C1863" s="249"/>
      <c r="D1863" s="295" t="str">
        <f t="shared" ref="D1863:D1926" si="88">G1863&amp;" "&amp;L1863&amp;" "&amp;N1863&amp;" "&amp;P1863</f>
        <v>S02AA041 Miscellaneous Steel Fabrication Work Shelter/Building Steel Ladder w/ Cage</v>
      </c>
      <c r="E1863" s="249" t="str">
        <f t="shared" ref="E1863:E1926" si="89">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ht="33">
      <c r="B1864" s="251" t="b">
        <v>0</v>
      </c>
      <c r="C1864" s="249"/>
      <c r="D1864" s="295" t="str">
        <f t="shared" si="88"/>
        <v>S02AA041 Miscellaneous Steel Fabrication Work Shelter/Building Steel Ladder w/ Cage</v>
      </c>
      <c r="E1864" s="249" t="str">
        <f t="shared" si="89"/>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ht="33">
      <c r="B1865" s="251" t="b">
        <v>0</v>
      </c>
      <c r="C1865" s="249"/>
      <c r="D1865" s="295" t="str">
        <f t="shared" si="88"/>
        <v>S02AA042 Miscellaneous Steel Fabrication Work Shelter/Building Stainless Steel Ladder w/ Cage</v>
      </c>
      <c r="E1865" s="249" t="str">
        <f t="shared" si="89"/>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ht="33">
      <c r="B1866" s="251" t="b">
        <v>0</v>
      </c>
      <c r="C1866" s="249"/>
      <c r="D1866" s="295" t="str">
        <f t="shared" si="88"/>
        <v>S02AA042 Miscellaneous Steel Fabrication Work Shelter/Building Stainless Steel Ladder w/ Cage</v>
      </c>
      <c r="E1866" s="249" t="str">
        <f t="shared" si="89"/>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ht="33">
      <c r="B1867" s="251" t="b">
        <v>0</v>
      </c>
      <c r="C1867" s="249"/>
      <c r="D1867" s="295" t="str">
        <f t="shared" si="88"/>
        <v>S02AA042 Miscellaneous Steel Fabrication Work Shelter/Building Stainless Steel Ladder w/ Cage</v>
      </c>
      <c r="E1867" s="249" t="str">
        <f t="shared" si="89"/>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ht="33">
      <c r="B1868" s="251" t="b">
        <v>0</v>
      </c>
      <c r="C1868" s="249"/>
      <c r="D1868" s="295" t="str">
        <f t="shared" si="88"/>
        <v>S02AA043 Miscellaneous Steel Fabrication Work Shelter/Building FRP Ladder w/ Cage</v>
      </c>
      <c r="E1868" s="249" t="str">
        <f t="shared" si="89"/>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ht="33">
      <c r="B1869" s="251" t="b">
        <v>0</v>
      </c>
      <c r="C1869" s="249"/>
      <c r="D1869" s="295" t="str">
        <f t="shared" si="88"/>
        <v>S02AA044 Miscellaneous Steel Fabrication Work Shelter/Building Steel Ladder w/o Cage</v>
      </c>
      <c r="E1869" s="249" t="str">
        <f t="shared" si="89"/>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ht="33">
      <c r="B1870" s="251" t="b">
        <v>0</v>
      </c>
      <c r="C1870" s="249"/>
      <c r="D1870" s="295" t="str">
        <f t="shared" si="88"/>
        <v>S02AA044 Miscellaneous Steel Fabrication Work Shelter/Building Steel Ladder w/o Cage</v>
      </c>
      <c r="E1870" s="249" t="str">
        <f t="shared" si="89"/>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ht="33">
      <c r="B1871" s="251" t="b">
        <v>0</v>
      </c>
      <c r="C1871" s="249"/>
      <c r="D1871" s="295" t="str">
        <f t="shared" si="88"/>
        <v>S02AA044 Miscellaneous Steel Fabrication Work Shelter/Building Steel Ladder w/o Cage</v>
      </c>
      <c r="E1871" s="249" t="str">
        <f t="shared" si="89"/>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ht="33">
      <c r="B1872" s="251" t="b">
        <v>0</v>
      </c>
      <c r="C1872" s="249"/>
      <c r="D1872" s="295" t="str">
        <f t="shared" si="88"/>
        <v>S02AA045 Miscellaneous Steel Fabrication Work Shelter/Building Stainless Steel Ladder w/o Cage</v>
      </c>
      <c r="E1872" s="249" t="str">
        <f t="shared" si="89"/>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ht="33">
      <c r="B1873" s="251" t="b">
        <v>0</v>
      </c>
      <c r="C1873" s="249"/>
      <c r="D1873" s="295" t="str">
        <f t="shared" si="88"/>
        <v>S02AA045 Miscellaneous Steel Fabrication Work Shelter/Building Stainless Steel Ladder w/o Cage</v>
      </c>
      <c r="E1873" s="249" t="str">
        <f t="shared" si="89"/>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ht="33">
      <c r="B1874" s="251" t="b">
        <v>0</v>
      </c>
      <c r="C1874" s="249"/>
      <c r="D1874" s="295" t="str">
        <f t="shared" si="88"/>
        <v>S02AA045 Miscellaneous Steel Fabrication Work Shelter/Building Stainless Steel Ladder w/o Cage</v>
      </c>
      <c r="E1874" s="249" t="str">
        <f t="shared" si="89"/>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ht="33">
      <c r="B1875" s="251" t="b">
        <v>0</v>
      </c>
      <c r="C1875" s="249"/>
      <c r="D1875" s="295" t="str">
        <f t="shared" si="88"/>
        <v>S02AA046 Miscellaneous Steel Fabrication Work Shelter/Building FRP Ladder w/o Cage</v>
      </c>
      <c r="E1875" s="249" t="str">
        <f t="shared" si="89"/>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ht="33">
      <c r="B1876" s="252" t="b">
        <v>0</v>
      </c>
      <c r="C1876" s="250"/>
      <c r="D1876" s="297" t="str">
        <f t="shared" si="88"/>
        <v>S03AA007 Main Steel Structure Erection Work Shelter/Building Girth &amp; Purlin</v>
      </c>
      <c r="E1876" s="250" t="str">
        <f t="shared" si="89"/>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ht="33">
      <c r="B1877" s="251" t="b">
        <v>0</v>
      </c>
      <c r="C1877" s="249"/>
      <c r="D1877" s="295" t="str">
        <f t="shared" si="88"/>
        <v>S03AA008 Main Steel Structure Erection Work Shelter/Building P.E.B. (Pre-Engineered Building)</v>
      </c>
      <c r="E1877" s="249" t="str">
        <f t="shared" si="89"/>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ht="33">
      <c r="B1878" s="252" t="b">
        <v>0</v>
      </c>
      <c r="C1878" s="250" t="s">
        <v>4540</v>
      </c>
      <c r="D1878" s="297" t="str">
        <f t="shared" si="88"/>
        <v>S03AA030 Main Steel Structure Erection Work Shelter/Building Non-Shrink Grouting</v>
      </c>
      <c r="E1878" s="250" t="str">
        <f t="shared" si="89"/>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ht="33">
      <c r="B1879" s="252" t="b">
        <v>0</v>
      </c>
      <c r="C1879" s="250"/>
      <c r="D1879" s="297" t="str">
        <f t="shared" si="88"/>
        <v>S03AA031 Main Steel Structure Erection Work Shelter/Building Epoxy Grouting</v>
      </c>
      <c r="E1879" s="250" t="str">
        <f t="shared" si="89"/>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ht="33">
      <c r="B1880" s="251" t="b">
        <v>0</v>
      </c>
      <c r="C1880" s="249"/>
      <c r="D1880" s="295" t="str">
        <f t="shared" si="88"/>
        <v>S03AA081 Main Steel Structure Erection Work Shelter/Building Extra Heavy Steel</v>
      </c>
      <c r="E1880" s="249" t="str">
        <f t="shared" si="89"/>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ht="33">
      <c r="B1881" s="251" t="b">
        <v>0</v>
      </c>
      <c r="C1881" s="249"/>
      <c r="D1881" s="295" t="str">
        <f t="shared" si="88"/>
        <v>S03AA082 Main Steel Structure Erection Work Shelter/Building Heavy Steel</v>
      </c>
      <c r="E1881" s="249" t="str">
        <f t="shared" si="89"/>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ht="33">
      <c r="B1882" s="251" t="b">
        <v>0</v>
      </c>
      <c r="C1882" s="249"/>
      <c r="D1882" s="295" t="str">
        <f t="shared" si="88"/>
        <v>S03AA083 Main Steel Structure Erection Work Shelter/Building Medium Steel</v>
      </c>
      <c r="E1882" s="249" t="str">
        <f t="shared" si="89"/>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ht="33">
      <c r="B1883" s="251" t="b">
        <v>1</v>
      </c>
      <c r="C1883" s="249"/>
      <c r="D1883" s="295" t="str">
        <f t="shared" si="88"/>
        <v>S03AA084 Main Steel Structure Erection Work Shelter/Building Light Steel</v>
      </c>
      <c r="E1883" s="249" t="str">
        <f t="shared" si="89"/>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ht="33">
      <c r="B1884" s="251" t="b">
        <v>0</v>
      </c>
      <c r="C1884" s="249"/>
      <c r="D1884" s="295" t="str">
        <f t="shared" si="88"/>
        <v>S03AA085 Main Steel Structure Erection Work Shelter/Building Extra Light Steel</v>
      </c>
      <c r="E1884" s="249" t="str">
        <f t="shared" si="89"/>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ht="33">
      <c r="B1885" s="252" t="b">
        <v>0</v>
      </c>
      <c r="C1885" s="250" t="s">
        <v>4599</v>
      </c>
      <c r="D1885" s="297" t="str">
        <f t="shared" si="88"/>
        <v>S04AA017 Miscellaneous Steel Erection Work Shelter/Building Checkered/Flooring Plate</v>
      </c>
      <c r="E1885" s="250" t="str">
        <f t="shared" si="89"/>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ht="33">
      <c r="B1886" s="251" t="b">
        <v>0</v>
      </c>
      <c r="C1886" s="249" t="s">
        <v>4599</v>
      </c>
      <c r="D1886" s="295" t="str">
        <f t="shared" si="88"/>
        <v>S04AA018 Miscellaneous Steel Erection Work Shelter/Building Grating</v>
      </c>
      <c r="E1886" s="249" t="str">
        <f t="shared" si="89"/>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ht="33">
      <c r="B1887" s="251" t="b">
        <v>1</v>
      </c>
      <c r="C1887" s="249" t="s">
        <v>4599</v>
      </c>
      <c r="D1887" s="295" t="str">
        <f t="shared" si="88"/>
        <v>S04AA018 Miscellaneous Steel Erection Work Shelter/Building Grating</v>
      </c>
      <c r="E1887" s="249" t="str">
        <f t="shared" si="89"/>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ht="33">
      <c r="B1888" s="251" t="b">
        <v>0</v>
      </c>
      <c r="C1888" s="249" t="s">
        <v>4599</v>
      </c>
      <c r="D1888" s="295" t="str">
        <f t="shared" si="88"/>
        <v>S04AA018 Miscellaneous Steel Erection Work Shelter/Building Grating</v>
      </c>
      <c r="E1888" s="249" t="str">
        <f t="shared" si="89"/>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ht="33">
      <c r="B1889" s="251" t="b">
        <v>0</v>
      </c>
      <c r="C1889" s="249" t="s">
        <v>4599</v>
      </c>
      <c r="D1889" s="295" t="str">
        <f t="shared" si="88"/>
        <v>S04AA018 Miscellaneous Steel Erection Work Shelter/Building Grating</v>
      </c>
      <c r="E1889" s="249" t="str">
        <f t="shared" si="89"/>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ht="33">
      <c r="B1890" s="252" t="b">
        <v>0</v>
      </c>
      <c r="C1890" s="250"/>
      <c r="D1890" s="297" t="str">
        <f t="shared" si="88"/>
        <v>S04AA019 Miscellaneous Steel Erection Work Shelter/Building Steel Stairs</v>
      </c>
      <c r="E1890" s="250" t="str">
        <f t="shared" si="89"/>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ht="33">
      <c r="B1891" s="251" t="b">
        <v>1</v>
      </c>
      <c r="C1891" s="249"/>
      <c r="D1891" s="295" t="str">
        <f t="shared" si="88"/>
        <v>S04AA020 Miscellaneous Steel Erection Work Shelter/Building Steel Handrails</v>
      </c>
      <c r="E1891" s="249" t="str">
        <f t="shared" si="89"/>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ht="33">
      <c r="B1892" s="251" t="b">
        <v>1</v>
      </c>
      <c r="C1892" s="249"/>
      <c r="D1892" s="295" t="str">
        <f t="shared" si="88"/>
        <v>S04AA021 Miscellaneous Steel Erection Work Shelter/Building Steel Handrails - Removable</v>
      </c>
      <c r="E1892" s="249" t="str">
        <f t="shared" si="89"/>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ht="33">
      <c r="B1893" s="251" t="b">
        <v>0</v>
      </c>
      <c r="C1893" s="249"/>
      <c r="D1893" s="295" t="str">
        <f t="shared" si="88"/>
        <v>S04AA022 Miscellaneous Steel Erection Work Shelter/Building Stainless Steel Handrail</v>
      </c>
      <c r="E1893" s="249" t="str">
        <f t="shared" si="89"/>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ht="33">
      <c r="B1894" s="252" t="b">
        <v>0</v>
      </c>
      <c r="C1894" s="250"/>
      <c r="D1894" s="297" t="str">
        <f t="shared" si="88"/>
        <v>S04AA024 Miscellaneous Steel Erection Work Shelter/Building Galvanized Steel Deck Plate</v>
      </c>
      <c r="E1894" s="250" t="str">
        <f t="shared" si="89"/>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ht="49.5">
      <c r="B1895" s="251" t="b">
        <v>0</v>
      </c>
      <c r="C1895" s="249"/>
      <c r="D1895" s="295" t="str">
        <f t="shared" si="88"/>
        <v>S04AA037 Miscellaneous Steel Erection Work Shelter/Building Stainless Steel Handrail - Removable</v>
      </c>
      <c r="E1895" s="249" t="str">
        <f t="shared" si="89"/>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ht="33">
      <c r="B1896" s="252" t="b">
        <v>0</v>
      </c>
      <c r="C1896" s="250"/>
      <c r="D1896" s="297" t="str">
        <f t="shared" si="88"/>
        <v>S04AA038 Miscellaneous Steel Erection Work Shelter/Building FRP Grating</v>
      </c>
      <c r="E1896" s="250" t="str">
        <f t="shared" si="89"/>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ht="33">
      <c r="B1897" s="251" t="b">
        <v>0</v>
      </c>
      <c r="C1897" s="249"/>
      <c r="D1897" s="295" t="str">
        <f t="shared" si="88"/>
        <v>S04AA039 Miscellaneous Steel Erection Work Shelter/Building FRP Handrail</v>
      </c>
      <c r="E1897" s="249" t="str">
        <f t="shared" si="89"/>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ht="33">
      <c r="B1898" s="251" t="b">
        <v>0</v>
      </c>
      <c r="C1898" s="249"/>
      <c r="D1898" s="295" t="str">
        <f t="shared" si="88"/>
        <v>S04AA040 Miscellaneous Steel Erection Work Shelter/Building FRP Handrail - Removable</v>
      </c>
      <c r="E1898" s="249" t="str">
        <f t="shared" si="89"/>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ht="33">
      <c r="B1899" s="252" t="b">
        <v>1</v>
      </c>
      <c r="C1899" s="250"/>
      <c r="D1899" s="297" t="str">
        <f t="shared" si="88"/>
        <v>S04AA041 Miscellaneous Steel Erection Work Shelter/Building Steel Ladder w/ Cage</v>
      </c>
      <c r="E1899" s="250" t="str">
        <f t="shared" si="89"/>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ht="33">
      <c r="B1900" s="252" t="b">
        <v>0</v>
      </c>
      <c r="C1900" s="250"/>
      <c r="D1900" s="297" t="str">
        <f t="shared" si="88"/>
        <v>S04AA042 Miscellaneous Steel Erection Work Shelter/Building Stainless Steel Ladder w/ Cage</v>
      </c>
      <c r="E1900" s="250" t="str">
        <f t="shared" si="89"/>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ht="33">
      <c r="B1901" s="252" t="b">
        <v>0</v>
      </c>
      <c r="C1901" s="250"/>
      <c r="D1901" s="297" t="str">
        <f t="shared" si="88"/>
        <v>S04AA043 Miscellaneous Steel Erection Work Shelter/Building FRP Ladder w/ Cage</v>
      </c>
      <c r="E1901" s="250" t="str">
        <f t="shared" si="89"/>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ht="33">
      <c r="B1902" s="252" t="b">
        <v>0</v>
      </c>
      <c r="C1902" s="250"/>
      <c r="D1902" s="297" t="str">
        <f t="shared" si="88"/>
        <v>S04AA044 Miscellaneous Steel Erection Work Shelter/Building Steel Ladder w/o Cage</v>
      </c>
      <c r="E1902" s="250" t="str">
        <f t="shared" si="89"/>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ht="33">
      <c r="B1903" s="252" t="b">
        <v>0</v>
      </c>
      <c r="C1903" s="250"/>
      <c r="D1903" s="297" t="str">
        <f t="shared" si="88"/>
        <v>S04AA045 Miscellaneous Steel Erection Work Shelter/Building Stainless Steel Ladder w/o Cage</v>
      </c>
      <c r="E1903" s="250" t="str">
        <f t="shared" si="89"/>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ht="33">
      <c r="B1904" s="252" t="b">
        <v>0</v>
      </c>
      <c r="C1904" s="250"/>
      <c r="D1904" s="297" t="str">
        <f t="shared" si="88"/>
        <v>S04AA046 Miscellaneous Steel Erection Work Shelter/Building FRP Ladder w/o Cage</v>
      </c>
      <c r="E1904" s="250" t="str">
        <f t="shared" si="89"/>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ht="49.5">
      <c r="B1905" s="251" t="b">
        <v>0</v>
      </c>
      <c r="C1905" s="249"/>
      <c r="D1905" s="295" t="str">
        <f t="shared" si="88"/>
        <v>S05AF032 Demolition Work Revamping Work (Shelter/Building) Demolition Work of Steel for Building/Shelter</v>
      </c>
      <c r="E1905" s="249" t="str">
        <f t="shared" si="89"/>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ht="33">
      <c r="B1906" s="252" t="b">
        <v>0</v>
      </c>
      <c r="C1906" s="250"/>
      <c r="D1906" s="297" t="str">
        <f t="shared" si="88"/>
        <v>S11AA007 Main Steel Structure Fabrication Work for Revamping Shelter/Building Girth &amp; Purlin</v>
      </c>
      <c r="E1906" s="250" t="str">
        <f t="shared" si="89"/>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ht="49.5">
      <c r="B1907" s="251" t="b">
        <v>0</v>
      </c>
      <c r="C1907" s="249"/>
      <c r="D1907" s="295" t="str">
        <f t="shared" si="88"/>
        <v>S11AA008 Main Steel Structure Fabrication Work for Revamping Shelter/Building P.E.B. (Pre-Engineered Building)</v>
      </c>
      <c r="E1907" s="249" t="str">
        <f t="shared" si="89"/>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ht="49.5">
      <c r="B1908" s="252" t="b">
        <v>0</v>
      </c>
      <c r="C1908" s="250"/>
      <c r="D1908" s="297" t="str">
        <f t="shared" si="88"/>
        <v>S11AA009 Main Steel Structure Fabrication Work for Revamping Shelter/Building Plates - Gusset, Stiffener, ETC</v>
      </c>
      <c r="E1908" s="250" t="str">
        <f t="shared" si="89"/>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ht="49.5">
      <c r="B1909" s="251" t="b">
        <v>0</v>
      </c>
      <c r="C1909" s="249"/>
      <c r="D1909" s="295" t="str">
        <f t="shared" si="88"/>
        <v>S11AA011 Main Steel Structure Fabrication Work for Revamping Shelter/Building High Strength Bolts&amp;Nuts</v>
      </c>
      <c r="E1909" s="249" t="str">
        <f t="shared" si="89"/>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ht="49.5">
      <c r="B1910" s="252" t="b">
        <v>0</v>
      </c>
      <c r="C1910" s="250"/>
      <c r="D1910" s="297" t="str">
        <f t="shared" si="88"/>
        <v>S11AA012 Main Steel Structure Fabrication Work for Revamping Shelter/Building Common Bolts&amp;Nuts</v>
      </c>
      <c r="E1910" s="250" t="str">
        <f t="shared" si="89"/>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ht="49.5">
      <c r="B1911" s="251" t="b">
        <v>0</v>
      </c>
      <c r="C1911" s="249"/>
      <c r="D1911" s="295" t="str">
        <f t="shared" si="88"/>
        <v>S11AA071 Main Steel Structure Fabrication Work for Revamping Shelter/Building Extra Heavy Steel - Standard</v>
      </c>
      <c r="E1911" s="249" t="str">
        <f t="shared" si="89"/>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ht="49.5">
      <c r="B1912" s="251" t="b">
        <v>0</v>
      </c>
      <c r="C1912" s="249"/>
      <c r="D1912" s="295" t="str">
        <f t="shared" si="88"/>
        <v>S11AA072 Main Steel Structure Fabrication Work for Revamping Shelter/Building Heavy Steel - Standard</v>
      </c>
      <c r="E1912" s="249" t="str">
        <f t="shared" si="89"/>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ht="49.5">
      <c r="B1913" s="251" t="b">
        <v>0</v>
      </c>
      <c r="C1913" s="249"/>
      <c r="D1913" s="295" t="str">
        <f t="shared" si="88"/>
        <v>S11AA073 Main Steel Structure Fabrication Work for Revamping Shelter/Building Medium Steel - Standard</v>
      </c>
      <c r="E1913" s="249" t="str">
        <f t="shared" si="89"/>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ht="49.5">
      <c r="B1914" s="251" t="b">
        <v>0</v>
      </c>
      <c r="C1914" s="249"/>
      <c r="D1914" s="295" t="str">
        <f t="shared" si="88"/>
        <v>S11AA074 Main Steel Structure Fabrication Work for Revamping Shelter/Building Light Steel - Standard</v>
      </c>
      <c r="E1914" s="249" t="str">
        <f t="shared" si="89"/>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ht="49.5">
      <c r="B1915" s="251" t="b">
        <v>0</v>
      </c>
      <c r="C1915" s="249"/>
      <c r="D1915" s="295" t="str">
        <f t="shared" si="88"/>
        <v>S11AA075 Main Steel Structure Fabrication Work for Revamping Shelter/Building Extra Light Steel - Standard</v>
      </c>
      <c r="E1915" s="249" t="str">
        <f t="shared" si="89"/>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ht="49.5">
      <c r="B1916" s="252" t="b">
        <v>0</v>
      </c>
      <c r="C1916" s="250"/>
      <c r="D1916" s="297" t="str">
        <f t="shared" si="88"/>
        <v>S11AA076 Main Steel Structure Fabrication Work for Revamping Shelter/Building Extra Heavy Steel - Built up</v>
      </c>
      <c r="E1916" s="250" t="str">
        <f t="shared" si="89"/>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ht="49.5">
      <c r="B1917" s="252" t="b">
        <v>0</v>
      </c>
      <c r="C1917" s="250"/>
      <c r="D1917" s="297" t="str">
        <f t="shared" si="88"/>
        <v>S11AA077 Main Steel Structure Fabrication Work for Revamping Shelter/Building Heavy Steel - Built up</v>
      </c>
      <c r="E1917" s="250" t="str">
        <f t="shared" si="89"/>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ht="49.5">
      <c r="B1918" s="252" t="b">
        <v>0</v>
      </c>
      <c r="C1918" s="250"/>
      <c r="D1918" s="297" t="str">
        <f t="shared" si="88"/>
        <v>S11AA078 Main Steel Structure Fabrication Work for Revamping Shelter/Building Medium Steel - Built up</v>
      </c>
      <c r="E1918" s="250" t="str">
        <f t="shared" si="89"/>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ht="49.5">
      <c r="B1919" s="252" t="b">
        <v>0</v>
      </c>
      <c r="C1919" s="250"/>
      <c r="D1919" s="297" t="str">
        <f t="shared" si="88"/>
        <v>S11AA079 Main Steel Structure Fabrication Work for Revamping Shelter/Building Light Steel - Built up</v>
      </c>
      <c r="E1919" s="250" t="str">
        <f t="shared" si="89"/>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ht="49.5">
      <c r="B1920" s="252" t="b">
        <v>0</v>
      </c>
      <c r="C1920" s="250"/>
      <c r="D1920" s="297" t="str">
        <f t="shared" si="88"/>
        <v>S11AA080 Main Steel Structure Fabrication Work for Revamping Shelter/Building Extra Light Steel - Built up</v>
      </c>
      <c r="E1920" s="250" t="str">
        <f t="shared" si="89"/>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ht="49.5">
      <c r="B1921" s="251" t="b">
        <v>0</v>
      </c>
      <c r="C1921" s="249"/>
      <c r="D1921" s="295" t="str">
        <f t="shared" si="88"/>
        <v>S12AA017 Miscellaneous Steel Fabrication Work for Revamping Shelter/Building Checkered/Flooring Plate</v>
      </c>
      <c r="E1921" s="249" t="str">
        <f t="shared" si="89"/>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ht="49.5">
      <c r="B1922" s="251" t="b">
        <v>0</v>
      </c>
      <c r="C1922" s="249"/>
      <c r="D1922" s="295" t="str">
        <f t="shared" si="88"/>
        <v>S12AA017 Miscellaneous Steel Fabrication Work for Revamping Shelter/Building Checkered/Flooring Plate</v>
      </c>
      <c r="E1922" s="249" t="str">
        <f t="shared" si="89"/>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ht="49.5">
      <c r="B1923" s="251" t="b">
        <v>0</v>
      </c>
      <c r="C1923" s="249"/>
      <c r="D1923" s="295" t="str">
        <f t="shared" si="88"/>
        <v>S12AA017 Miscellaneous Steel Fabrication Work for Revamping Shelter/Building Checkered/Flooring Plate</v>
      </c>
      <c r="E1923" s="249" t="str">
        <f t="shared" si="89"/>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ht="49.5">
      <c r="B1924" s="251" t="b">
        <v>0</v>
      </c>
      <c r="C1924" s="249"/>
      <c r="D1924" s="295" t="str">
        <f t="shared" si="88"/>
        <v>S12AA017 Miscellaneous Steel Fabrication Work for Revamping Shelter/Building Checkered/Flooring Plate</v>
      </c>
      <c r="E1924" s="249" t="str">
        <f t="shared" si="89"/>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ht="49.5">
      <c r="B1925" s="251" t="b">
        <v>0</v>
      </c>
      <c r="C1925" s="249"/>
      <c r="D1925" s="295" t="str">
        <f t="shared" si="88"/>
        <v>S12AA017 Miscellaneous Steel Fabrication Work for Revamping Shelter/Building Checkered/Flooring Plate</v>
      </c>
      <c r="E1925" s="249" t="str">
        <f t="shared" si="89"/>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ht="33">
      <c r="B1926" s="252" t="b">
        <v>0</v>
      </c>
      <c r="C1926" s="250"/>
      <c r="D1926" s="297" t="str">
        <f t="shared" si="88"/>
        <v>S12AA018 Miscellaneous Steel Fabrication Work for Revamping Shelter/Building Grating</v>
      </c>
      <c r="E1926" s="250" t="str">
        <f t="shared" si="89"/>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ht="33">
      <c r="B1927" s="252" t="b">
        <v>0</v>
      </c>
      <c r="C1927" s="250"/>
      <c r="D1927" s="297" t="str">
        <f t="shared" ref="D1927:D1990" si="91">G1927&amp;" "&amp;L1927&amp;" "&amp;N1927&amp;" "&amp;P1927</f>
        <v>S12AA018 Miscellaneous Steel Fabrication Work for Revamping Shelter/Building Grating</v>
      </c>
      <c r="E1927" s="250" t="str">
        <f t="shared" ref="E1927:E1990" si="92">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ht="33">
      <c r="B1928" s="252" t="b">
        <v>0</v>
      </c>
      <c r="C1928" s="250"/>
      <c r="D1928" s="297" t="str">
        <f t="shared" si="91"/>
        <v>S12AA018 Miscellaneous Steel Fabrication Work for Revamping Shelter/Building Grating</v>
      </c>
      <c r="E1928" s="250" t="str">
        <f t="shared" si="92"/>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ht="33">
      <c r="B1929" s="252" t="b">
        <v>0</v>
      </c>
      <c r="C1929" s="250"/>
      <c r="D1929" s="297" t="str">
        <f t="shared" si="91"/>
        <v>S12AA018 Miscellaneous Steel Fabrication Work for Revamping Shelter/Building Grating</v>
      </c>
      <c r="E1929" s="250" t="str">
        <f t="shared" si="92"/>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ht="33">
      <c r="B1930" s="251" t="b">
        <v>0</v>
      </c>
      <c r="C1930" s="249"/>
      <c r="D1930" s="295" t="str">
        <f t="shared" si="91"/>
        <v>S12AA019 Miscellaneous Steel Fabrication Work for Revamping Shelter/Building Steel Stairs</v>
      </c>
      <c r="E1930" s="249" t="str">
        <f t="shared" si="92"/>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ht="33">
      <c r="B1931" s="251" t="b">
        <v>0</v>
      </c>
      <c r="C1931" s="249"/>
      <c r="D1931" s="295" t="str">
        <f t="shared" si="91"/>
        <v>S12AA019 Miscellaneous Steel Fabrication Work for Revamping Shelter/Building Steel Stairs</v>
      </c>
      <c r="E1931" s="249" t="str">
        <f t="shared" si="92"/>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ht="33">
      <c r="B1932" s="252" t="b">
        <v>0</v>
      </c>
      <c r="C1932" s="250"/>
      <c r="D1932" s="297" t="str">
        <f t="shared" si="91"/>
        <v>S12AA020 Miscellaneous Steel Fabrication Work for Revamping Shelter/Building Steel Handrails</v>
      </c>
      <c r="E1932" s="250" t="str">
        <f t="shared" si="92"/>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ht="33">
      <c r="B1933" s="252" t="b">
        <v>0</v>
      </c>
      <c r="C1933" s="250"/>
      <c r="D1933" s="297" t="str">
        <f t="shared" si="91"/>
        <v>S12AA020 Miscellaneous Steel Fabrication Work for Revamping Shelter/Building Steel Handrails</v>
      </c>
      <c r="E1933" s="250" t="str">
        <f t="shared" si="92"/>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ht="33">
      <c r="B1934" s="252" t="b">
        <v>0</v>
      </c>
      <c r="C1934" s="250"/>
      <c r="D1934" s="297" t="str">
        <f t="shared" si="91"/>
        <v>S12AA020 Miscellaneous Steel Fabrication Work for Revamping Shelter/Building Steel Handrails</v>
      </c>
      <c r="E1934" s="250" t="str">
        <f t="shared" si="92"/>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ht="49.5">
      <c r="B1935" s="252" t="b">
        <v>0</v>
      </c>
      <c r="C1935" s="250"/>
      <c r="D1935" s="297" t="str">
        <f t="shared" si="91"/>
        <v>S12AA021 Miscellaneous Steel Fabrication Work for Revamping Shelter/Building Steel Handrails - Removable</v>
      </c>
      <c r="E1935" s="250" t="str">
        <f t="shared" si="92"/>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ht="49.5">
      <c r="B1936" s="252" t="b">
        <v>0</v>
      </c>
      <c r="C1936" s="250"/>
      <c r="D1936" s="297" t="str">
        <f t="shared" si="91"/>
        <v>S12AA021 Miscellaneous Steel Fabrication Work for Revamping Shelter/Building Steel Handrails - Removable</v>
      </c>
      <c r="E1936" s="250" t="str">
        <f t="shared" si="92"/>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ht="49.5">
      <c r="B1937" s="252" t="b">
        <v>0</v>
      </c>
      <c r="C1937" s="250"/>
      <c r="D1937" s="297" t="str">
        <f t="shared" si="91"/>
        <v>S12AA021 Miscellaneous Steel Fabrication Work for Revamping Shelter/Building Steel Handrails - Removable</v>
      </c>
      <c r="E1937" s="250" t="str">
        <f t="shared" si="92"/>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ht="49.5">
      <c r="B1938" s="252" t="b">
        <v>0</v>
      </c>
      <c r="C1938" s="250"/>
      <c r="D1938" s="297" t="str">
        <f t="shared" si="91"/>
        <v>S12AA022 Miscellaneous Steel Fabrication Work for Revamping Shelter/Building Stainless Steel Handrail</v>
      </c>
      <c r="E1938" s="250" t="str">
        <f t="shared" si="92"/>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ht="49.5">
      <c r="B1939" s="252" t="b">
        <v>0</v>
      </c>
      <c r="C1939" s="250"/>
      <c r="D1939" s="297" t="str">
        <f t="shared" si="91"/>
        <v>S12AA022 Miscellaneous Steel Fabrication Work for Revamping Shelter/Building Stainless Steel Handrail</v>
      </c>
      <c r="E1939" s="250" t="str">
        <f t="shared" si="92"/>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ht="49.5">
      <c r="B1940" s="252" t="b">
        <v>0</v>
      </c>
      <c r="C1940" s="250"/>
      <c r="D1940" s="297" t="str">
        <f t="shared" si="91"/>
        <v>S12AA022 Miscellaneous Steel Fabrication Work for Revamping Shelter/Building Stainless Steel Handrail</v>
      </c>
      <c r="E1940" s="250" t="str">
        <f t="shared" si="92"/>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ht="49.5">
      <c r="B1941" s="251" t="b">
        <v>0</v>
      </c>
      <c r="C1941" s="249"/>
      <c r="D1941" s="295" t="str">
        <f t="shared" si="91"/>
        <v>S12AA024 Miscellaneous Steel Fabrication Work for Revamping Shelter/Building Galvanized Steel Deck Plate</v>
      </c>
      <c r="E1941" s="249" t="str">
        <f t="shared" si="92"/>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ht="49.5">
      <c r="B1942" s="252" t="b">
        <v>0</v>
      </c>
      <c r="C1942" s="250"/>
      <c r="D1942" s="297" t="str">
        <f t="shared" si="91"/>
        <v>S12AA037 Miscellaneous Steel Fabrication Work for Revamping Shelter/Building Stainless Steel Handrail - Removable</v>
      </c>
      <c r="E1942" s="250" t="str">
        <f t="shared" si="92"/>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ht="49.5">
      <c r="B1943" s="252" t="b">
        <v>0</v>
      </c>
      <c r="C1943" s="250"/>
      <c r="D1943" s="297" t="str">
        <f t="shared" si="91"/>
        <v>S12AA037 Miscellaneous Steel Fabrication Work for Revamping Shelter/Building Stainless Steel Handrail - Removable</v>
      </c>
      <c r="E1943" s="250" t="str">
        <f t="shared" si="92"/>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ht="49.5">
      <c r="B1944" s="252" t="b">
        <v>0</v>
      </c>
      <c r="C1944" s="250"/>
      <c r="D1944" s="297" t="str">
        <f t="shared" si="91"/>
        <v>S12AA037 Miscellaneous Steel Fabrication Work for Revamping Shelter/Building Stainless Steel Handrail - Removable</v>
      </c>
      <c r="E1944" s="250" t="str">
        <f t="shared" si="92"/>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ht="33">
      <c r="B1945" s="251" t="b">
        <v>0</v>
      </c>
      <c r="C1945" s="249"/>
      <c r="D1945" s="295" t="str">
        <f t="shared" si="91"/>
        <v>S12AA038 Miscellaneous Steel Fabrication Work for Revamping Shelter/Building FRP Grating</v>
      </c>
      <c r="E1945" s="249" t="str">
        <f t="shared" si="92"/>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ht="33">
      <c r="B1946" s="252" t="b">
        <v>0</v>
      </c>
      <c r="C1946" s="250"/>
      <c r="D1946" s="297" t="str">
        <f t="shared" si="91"/>
        <v>S12AA039 Miscellaneous Steel Fabrication Work for Revamping Shelter/Building FRP Handrail</v>
      </c>
      <c r="E1946" s="250" t="str">
        <f t="shared" si="92"/>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ht="49.5">
      <c r="B1947" s="252" t="b">
        <v>0</v>
      </c>
      <c r="C1947" s="250"/>
      <c r="D1947" s="297" t="str">
        <f t="shared" si="91"/>
        <v>S12AA040 Miscellaneous Steel Fabrication Work for Revamping Shelter/Building FRP Handrail - Removable</v>
      </c>
      <c r="E1947" s="250" t="str">
        <f t="shared" si="92"/>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ht="33">
      <c r="B1948" s="251" t="b">
        <v>0</v>
      </c>
      <c r="C1948" s="249"/>
      <c r="D1948" s="295" t="str">
        <f t="shared" si="91"/>
        <v>S12AA041 Miscellaneous Steel Fabrication Work for Revamping Shelter/Building Steel Ladder w/ Cage</v>
      </c>
      <c r="E1948" s="249" t="str">
        <f t="shared" si="92"/>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ht="33">
      <c r="B1949" s="251" t="b">
        <v>0</v>
      </c>
      <c r="C1949" s="249"/>
      <c r="D1949" s="295" t="str">
        <f t="shared" si="91"/>
        <v>S12AA041 Miscellaneous Steel Fabrication Work for Revamping Shelter/Building Steel Ladder w/ Cage</v>
      </c>
      <c r="E1949" s="249" t="str">
        <f t="shared" si="92"/>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ht="33">
      <c r="B1950" s="251" t="b">
        <v>0</v>
      </c>
      <c r="C1950" s="249"/>
      <c r="D1950" s="295" t="str">
        <f t="shared" si="91"/>
        <v>S12AA041 Miscellaneous Steel Fabrication Work for Revamping Shelter/Building Steel Ladder w/ Cage</v>
      </c>
      <c r="E1950" s="249" t="str">
        <f t="shared" si="92"/>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ht="49.5">
      <c r="B1951" s="251" t="b">
        <v>0</v>
      </c>
      <c r="C1951" s="249"/>
      <c r="D1951" s="295" t="str">
        <f t="shared" si="91"/>
        <v>S12AA042 Miscellaneous Steel Fabrication Work for Revamping Shelter/Building Stainless Steel Ladder w/ Cage</v>
      </c>
      <c r="E1951" s="249" t="str">
        <f t="shared" si="92"/>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ht="49.5">
      <c r="B1952" s="251" t="b">
        <v>0</v>
      </c>
      <c r="C1952" s="249"/>
      <c r="D1952" s="295" t="str">
        <f t="shared" si="91"/>
        <v>S12AA042 Miscellaneous Steel Fabrication Work for Revamping Shelter/Building Stainless Steel Ladder w/ Cage</v>
      </c>
      <c r="E1952" s="249" t="str">
        <f t="shared" si="92"/>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ht="49.5">
      <c r="B1953" s="251" t="b">
        <v>0</v>
      </c>
      <c r="C1953" s="249"/>
      <c r="D1953" s="295" t="str">
        <f t="shared" si="91"/>
        <v>S12AA042 Miscellaneous Steel Fabrication Work for Revamping Shelter/Building Stainless Steel Ladder w/ Cage</v>
      </c>
      <c r="E1953" s="249" t="str">
        <f t="shared" si="92"/>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ht="33">
      <c r="B1954" s="251" t="b">
        <v>0</v>
      </c>
      <c r="C1954" s="249"/>
      <c r="D1954" s="295" t="str">
        <f t="shared" si="91"/>
        <v>S12AA043 Miscellaneous Steel Fabrication Work for Revamping Shelter/Building FRP Ladder w/ Cage</v>
      </c>
      <c r="E1954" s="249" t="str">
        <f t="shared" si="92"/>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ht="33">
      <c r="B1955" s="251" t="b">
        <v>0</v>
      </c>
      <c r="C1955" s="249"/>
      <c r="D1955" s="295" t="str">
        <f t="shared" si="91"/>
        <v>S12AA044 Miscellaneous Steel Fabrication Work for Revamping Shelter/Building Steel Ladder w/o Cage</v>
      </c>
      <c r="E1955" s="249" t="str">
        <f t="shared" si="92"/>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ht="33">
      <c r="B1956" s="251" t="b">
        <v>0</v>
      </c>
      <c r="C1956" s="249"/>
      <c r="D1956" s="295" t="str">
        <f t="shared" si="91"/>
        <v>S12AA044 Miscellaneous Steel Fabrication Work for Revamping Shelter/Building Steel Ladder w/o Cage</v>
      </c>
      <c r="E1956" s="249" t="str">
        <f t="shared" si="92"/>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ht="33">
      <c r="B1957" s="251" t="b">
        <v>0</v>
      </c>
      <c r="C1957" s="249"/>
      <c r="D1957" s="295" t="str">
        <f t="shared" si="91"/>
        <v>S12AA044 Miscellaneous Steel Fabrication Work for Revamping Shelter/Building Steel Ladder w/o Cage</v>
      </c>
      <c r="E1957" s="249" t="str">
        <f t="shared" si="92"/>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ht="49.5">
      <c r="B1958" s="251" t="b">
        <v>0</v>
      </c>
      <c r="C1958" s="249"/>
      <c r="D1958" s="295" t="str">
        <f t="shared" si="91"/>
        <v>S12AA045 Miscellaneous Steel Fabrication Work for Revamping Shelter/Building Stainless Steel Ladder w/o Cage</v>
      </c>
      <c r="E1958" s="249" t="str">
        <f t="shared" si="92"/>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ht="49.5">
      <c r="B1959" s="251" t="b">
        <v>0</v>
      </c>
      <c r="C1959" s="249"/>
      <c r="D1959" s="295" t="str">
        <f t="shared" si="91"/>
        <v>S12AA045 Miscellaneous Steel Fabrication Work for Revamping Shelter/Building Stainless Steel Ladder w/o Cage</v>
      </c>
      <c r="E1959" s="249" t="str">
        <f t="shared" si="92"/>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ht="49.5">
      <c r="B1960" s="251" t="b">
        <v>0</v>
      </c>
      <c r="C1960" s="249"/>
      <c r="D1960" s="295" t="str">
        <f t="shared" si="91"/>
        <v>S12AA045 Miscellaneous Steel Fabrication Work for Revamping Shelter/Building Stainless Steel Ladder w/o Cage</v>
      </c>
      <c r="E1960" s="249" t="str">
        <f t="shared" si="92"/>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ht="33">
      <c r="B1961" s="251" t="b">
        <v>0</v>
      </c>
      <c r="C1961" s="249"/>
      <c r="D1961" s="295" t="str">
        <f t="shared" si="91"/>
        <v>S12AA046 Miscellaneous Steel Fabrication Work for Revamping Shelter/Building FRP Ladder w/o Cage</v>
      </c>
      <c r="E1961" s="249" t="str">
        <f t="shared" si="92"/>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ht="33">
      <c r="B1962" s="252" t="b">
        <v>0</v>
      </c>
      <c r="C1962" s="250"/>
      <c r="D1962" s="297" t="str">
        <f t="shared" si="91"/>
        <v>S13AA007 Main Steel Structure Erection Work for Revamping Shelter/Building Girth &amp; Purlin</v>
      </c>
      <c r="E1962" s="250" t="str">
        <f t="shared" si="92"/>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ht="49.5">
      <c r="B1963" s="251" t="b">
        <v>0</v>
      </c>
      <c r="C1963" s="249"/>
      <c r="D1963" s="295" t="str">
        <f t="shared" si="91"/>
        <v>S13AA008 Main Steel Structure Erection Work for Revamping Shelter/Building P.E.B. (Pre-Engineered Building)</v>
      </c>
      <c r="E1963" s="249" t="str">
        <f t="shared" si="92"/>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ht="33">
      <c r="B1964" s="252" t="b">
        <v>0</v>
      </c>
      <c r="C1964" s="250"/>
      <c r="D1964" s="297" t="str">
        <f t="shared" si="91"/>
        <v>S13AA030 Main Steel Structure Erection Work for Revamping Shelter/Building Non-Shrink Grouting</v>
      </c>
      <c r="E1964" s="250" t="str">
        <f t="shared" si="92"/>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ht="33">
      <c r="B1965" s="251" t="b">
        <v>0</v>
      </c>
      <c r="C1965" s="249"/>
      <c r="D1965" s="295" t="str">
        <f t="shared" si="91"/>
        <v>S13AA031 Main Steel Structure Erection Work for Revamping Shelter/Building Epoxy Grouting</v>
      </c>
      <c r="E1965" s="249" t="str">
        <f t="shared" si="92"/>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ht="33">
      <c r="B1966" s="252" t="b">
        <v>0</v>
      </c>
      <c r="C1966" s="250"/>
      <c r="D1966" s="297" t="str">
        <f t="shared" si="91"/>
        <v>S13AA081 Main Steel Structure Erection Work for Revamping Shelter/Building Extra Heavy Steel</v>
      </c>
      <c r="E1966" s="250" t="str">
        <f t="shared" si="92"/>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ht="33">
      <c r="B1967" s="252" t="b">
        <v>0</v>
      </c>
      <c r="C1967" s="250"/>
      <c r="D1967" s="297" t="str">
        <f t="shared" si="91"/>
        <v>S13AA082 Main Steel Structure Erection Work for Revamping Shelter/Building Heavy Steel</v>
      </c>
      <c r="E1967" s="250" t="str">
        <f t="shared" si="92"/>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ht="33">
      <c r="B1968" s="252" t="b">
        <v>0</v>
      </c>
      <c r="C1968" s="250"/>
      <c r="D1968" s="297" t="str">
        <f t="shared" si="91"/>
        <v>S13AA083 Main Steel Structure Erection Work for Revamping Shelter/Building Medium Steel</v>
      </c>
      <c r="E1968" s="250" t="str">
        <f t="shared" si="92"/>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ht="33">
      <c r="B1969" s="252" t="b">
        <v>0</v>
      </c>
      <c r="C1969" s="250"/>
      <c r="D1969" s="297" t="str">
        <f t="shared" si="91"/>
        <v>S13AA084 Main Steel Structure Erection Work for Revamping Shelter/Building Light Steel</v>
      </c>
      <c r="E1969" s="250" t="str">
        <f t="shared" si="92"/>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ht="33">
      <c r="B1970" s="252" t="b">
        <v>0</v>
      </c>
      <c r="C1970" s="250"/>
      <c r="D1970" s="297" t="str">
        <f t="shared" si="91"/>
        <v>S13AA085 Main Steel Structure Erection Work for Revamping Shelter/Building Extra Light Steel</v>
      </c>
      <c r="E1970" s="250" t="str">
        <f t="shared" si="92"/>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ht="49.5">
      <c r="B1971" s="251" t="b">
        <v>0</v>
      </c>
      <c r="C1971" s="249"/>
      <c r="D1971" s="295" t="str">
        <f t="shared" si="91"/>
        <v>S14AA017 Miscellaneous Steel Erection Work for Revamping Shelter/Building Checkered/Flooring Plate</v>
      </c>
      <c r="E1971" s="249" t="str">
        <f t="shared" si="92"/>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ht="33">
      <c r="B1972" s="252" t="b">
        <v>0</v>
      </c>
      <c r="C1972" s="250"/>
      <c r="D1972" s="297" t="str">
        <f t="shared" si="91"/>
        <v>S14AA018 Miscellaneous Steel Erection Work for Revamping Shelter/Building Grating</v>
      </c>
      <c r="E1972" s="250" t="str">
        <f t="shared" si="92"/>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ht="33">
      <c r="B1973" s="252" t="b">
        <v>0</v>
      </c>
      <c r="C1973" s="250"/>
      <c r="D1973" s="297" t="str">
        <f t="shared" si="91"/>
        <v>S14AA018 Miscellaneous Steel Erection Work for Revamping Shelter/Building Grating</v>
      </c>
      <c r="E1973" s="250" t="str">
        <f t="shared" si="92"/>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ht="33">
      <c r="B1974" s="252" t="b">
        <v>0</v>
      </c>
      <c r="C1974" s="250"/>
      <c r="D1974" s="297" t="str">
        <f t="shared" si="91"/>
        <v>S14AA018 Miscellaneous Steel Erection Work for Revamping Shelter/Building Grating</v>
      </c>
      <c r="E1974" s="250" t="str">
        <f t="shared" si="92"/>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ht="33">
      <c r="B1975" s="252" t="b">
        <v>0</v>
      </c>
      <c r="C1975" s="250"/>
      <c r="D1975" s="297" t="str">
        <f t="shared" si="91"/>
        <v>S14AA018 Miscellaneous Steel Erection Work for Revamping Shelter/Building Grating</v>
      </c>
      <c r="E1975" s="250" t="str">
        <f t="shared" si="92"/>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ht="33">
      <c r="B1976" s="251" t="b">
        <v>0</v>
      </c>
      <c r="C1976" s="249"/>
      <c r="D1976" s="295" t="str">
        <f t="shared" si="91"/>
        <v>S14AA019 Miscellaneous Steel Erection Work for Revamping Shelter/Building Steel Stairs</v>
      </c>
      <c r="E1976" s="249" t="str">
        <f t="shared" si="92"/>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ht="33">
      <c r="B1977" s="252" t="b">
        <v>0</v>
      </c>
      <c r="C1977" s="250"/>
      <c r="D1977" s="297" t="str">
        <f t="shared" si="91"/>
        <v>S14AA020 Miscellaneous Steel Erection Work for Revamping Shelter/Building Steel Handrails</v>
      </c>
      <c r="E1977" s="250" t="str">
        <f t="shared" si="92"/>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ht="49.5">
      <c r="B1978" s="252" t="b">
        <v>0</v>
      </c>
      <c r="C1978" s="250"/>
      <c r="D1978" s="297" t="str">
        <f t="shared" si="91"/>
        <v>S14AA021 Miscellaneous Steel Erection Work for Revamping Shelter/Building Steel Handrails - Removable</v>
      </c>
      <c r="E1978" s="250" t="str">
        <f t="shared" si="92"/>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ht="49.5">
      <c r="B1979" s="252" t="b">
        <v>0</v>
      </c>
      <c r="C1979" s="250"/>
      <c r="D1979" s="297" t="str">
        <f t="shared" si="91"/>
        <v>S14AA022 Miscellaneous Steel Erection Work for Revamping Shelter/Building Stainless Steel Handrail</v>
      </c>
      <c r="E1979" s="250" t="str">
        <f t="shared" si="92"/>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ht="49.5">
      <c r="B1980" s="251" t="b">
        <v>0</v>
      </c>
      <c r="C1980" s="249"/>
      <c r="D1980" s="295" t="str">
        <f t="shared" si="91"/>
        <v>S14AA024 Miscellaneous Steel Erection Work for Revamping Shelter/Building Galvanized Steel Deck Plate</v>
      </c>
      <c r="E1980" s="249" t="str">
        <f t="shared" si="92"/>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ht="49.5">
      <c r="B1981" s="252" t="b">
        <v>0</v>
      </c>
      <c r="C1981" s="250"/>
      <c r="D1981" s="297" t="str">
        <f t="shared" si="91"/>
        <v>S14AA037 Miscellaneous Steel Erection Work for Revamping Shelter/Building Stainless Steel Handrail - Removable</v>
      </c>
      <c r="E1981" s="250" t="str">
        <f t="shared" si="92"/>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ht="33">
      <c r="B1982" s="251" t="b">
        <v>0</v>
      </c>
      <c r="C1982" s="249"/>
      <c r="D1982" s="295" t="str">
        <f t="shared" si="91"/>
        <v>S14AA038 Miscellaneous Steel Erection Work for Revamping Shelter/Building FRP Grating</v>
      </c>
      <c r="E1982" s="249" t="str">
        <f t="shared" si="92"/>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ht="33">
      <c r="B1983" s="252" t="b">
        <v>0</v>
      </c>
      <c r="C1983" s="250"/>
      <c r="D1983" s="297" t="str">
        <f t="shared" si="91"/>
        <v>S14AA039 Miscellaneous Steel Erection Work for Revamping Shelter/Building FRP Handrail</v>
      </c>
      <c r="E1983" s="250" t="str">
        <f t="shared" si="92"/>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ht="49.5">
      <c r="B1984" s="252" t="b">
        <v>0</v>
      </c>
      <c r="C1984" s="250"/>
      <c r="D1984" s="297" t="str">
        <f t="shared" si="91"/>
        <v>S14AA040 Miscellaneous Steel Erection Work for Revamping Shelter/Building FRP Handrail - Removable</v>
      </c>
      <c r="E1984" s="250" t="str">
        <f t="shared" si="92"/>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ht="33">
      <c r="B1985" s="251" t="b">
        <v>0</v>
      </c>
      <c r="C1985" s="249"/>
      <c r="D1985" s="295" t="str">
        <f t="shared" si="91"/>
        <v>S14AA041 Miscellaneous Steel Erection Work for Revamping Shelter/Building Steel Ladder w/ Cage</v>
      </c>
      <c r="E1985" s="249" t="str">
        <f t="shared" si="92"/>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ht="49.5">
      <c r="B1986" s="251" t="b">
        <v>0</v>
      </c>
      <c r="C1986" s="249"/>
      <c r="D1986" s="295" t="str">
        <f t="shared" si="91"/>
        <v>S14AA042 Miscellaneous Steel Erection Work for Revamping Shelter/Building Stainless Steel Ladder w/ Cage</v>
      </c>
      <c r="E1986" s="249" t="str">
        <f t="shared" si="92"/>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ht="33">
      <c r="B1987" s="251" t="b">
        <v>0</v>
      </c>
      <c r="C1987" s="249"/>
      <c r="D1987" s="295" t="str">
        <f t="shared" si="91"/>
        <v>S14AA043 Miscellaneous Steel Erection Work for Revamping Shelter/Building FRP Ladder w/ Cage</v>
      </c>
      <c r="E1987" s="249" t="str">
        <f t="shared" si="92"/>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ht="33">
      <c r="B1988" s="251" t="b">
        <v>0</v>
      </c>
      <c r="C1988" s="249"/>
      <c r="D1988" s="295" t="str">
        <f t="shared" si="91"/>
        <v>S14AA044 Miscellaneous Steel Erection Work for Revamping Shelter/Building Steel Ladder w/o Cage</v>
      </c>
      <c r="E1988" s="249" t="str">
        <f t="shared" si="92"/>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ht="49.5">
      <c r="B1989" s="251" t="b">
        <v>0</v>
      </c>
      <c r="C1989" s="249"/>
      <c r="D1989" s="295" t="str">
        <f t="shared" si="91"/>
        <v>S14AA045 Miscellaneous Steel Erection Work for Revamping Shelter/Building Stainless Steel Ladder w/o Cage</v>
      </c>
      <c r="E1989" s="249" t="str">
        <f t="shared" si="92"/>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ht="33">
      <c r="B1990" s="251" t="b">
        <v>0</v>
      </c>
      <c r="C1990" s="249"/>
      <c r="D1990" s="295" t="str">
        <f t="shared" si="91"/>
        <v>S14AA046 Miscellaneous Steel Erection Work for Revamping Shelter/Building FRP Ladder w/o Cage</v>
      </c>
      <c r="E1990" s="249" t="str">
        <f t="shared" si="92"/>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ht="33">
      <c r="B1991" s="252" t="b">
        <v>0</v>
      </c>
      <c r="C1991" s="250"/>
      <c r="D1991" s="297" t="str">
        <f t="shared" ref="D1991:D2053" si="94">G1991&amp;" "&amp;L1991&amp;" "&amp;N1991&amp;" "&amp;P1991</f>
        <v>S41AA051 Steel Structure Paint Work Shelter/Building for Non-Fireproofed Steel Surface</v>
      </c>
      <c r="E1991" s="250" t="str">
        <f t="shared" ref="E1991:E2053" si="95">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ht="33">
      <c r="B1992" s="251" t="b">
        <v>0</v>
      </c>
      <c r="C1992" s="249"/>
      <c r="D1992" s="295" t="str">
        <f t="shared" si="94"/>
        <v>S41AA052 Steel Structure Paint Work Shelter/Building for Fireproofed Steel Surface</v>
      </c>
      <c r="E1992" s="249" t="str">
        <f t="shared" si="95"/>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ht="49.5">
      <c r="B1993" s="252" t="b">
        <v>0</v>
      </c>
      <c r="C1993" s="250"/>
      <c r="D1993" s="297" t="str">
        <f t="shared" si="94"/>
        <v>S41AA053 Steel Structure Paint Work Shelter/Building Additional Painting on Hot-Dip Galvanized Steel Surface (Non-Fireproofed Steel)</v>
      </c>
      <c r="E1993" s="250" t="str">
        <f t="shared" si="95"/>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ht="33">
      <c r="B1994" s="251" t="b">
        <v>0</v>
      </c>
      <c r="C1994" s="249"/>
      <c r="D1994" s="295" t="str">
        <f t="shared" si="94"/>
        <v>S41AA054 Steel Structure Paint Work Shelter/Building Touch up</v>
      </c>
      <c r="E1994" s="249" t="str">
        <f t="shared" si="95"/>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ht="49.5">
      <c r="B1995" s="252" t="b">
        <v>1</v>
      </c>
      <c r="C1995" s="250"/>
      <c r="D1995" s="297" t="str">
        <f t="shared" si="94"/>
        <v>S42AA055 Steel Structure Coating Work Shelter/Building Hot-Dip Galvanizing w/ Surface Preparation</v>
      </c>
      <c r="E1995" s="250" t="str">
        <f t="shared" si="95"/>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ht="33">
      <c r="B1996" s="251" t="b">
        <v>0</v>
      </c>
      <c r="C1996" s="249"/>
      <c r="D1996" s="295" t="str">
        <f t="shared" si="94"/>
        <v>S43AA061 Anchor Bolt Work Shelter/Building Anchor Bolt (Material Supply)</v>
      </c>
      <c r="E1996" s="249" t="str">
        <f t="shared" si="95"/>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ht="33">
      <c r="B1997" s="251" t="b">
        <v>0</v>
      </c>
      <c r="C1997" s="249"/>
      <c r="D1997" s="295" t="str">
        <f t="shared" si="94"/>
        <v>S43AA061 Anchor Bolt Work Shelter/Building Anchor Bolt (Material Supply)</v>
      </c>
      <c r="E1997" s="249" t="str">
        <f t="shared" si="95"/>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ht="33">
      <c r="B1998" s="251" t="b">
        <v>0</v>
      </c>
      <c r="C1998" s="249"/>
      <c r="D1998" s="295" t="str">
        <f t="shared" si="94"/>
        <v>S43AA061 Anchor Bolt Work Shelter/Building Anchor Bolt (Material Supply)</v>
      </c>
      <c r="E1998" s="249" t="str">
        <f t="shared" si="95"/>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ht="33">
      <c r="B1999" s="251" t="b">
        <v>0</v>
      </c>
      <c r="C1999" s="249"/>
      <c r="D1999" s="295" t="str">
        <f t="shared" si="94"/>
        <v>S43AA061 Anchor Bolt Work Shelter/Building Anchor Bolt (Material Supply)</v>
      </c>
      <c r="E1999" s="249" t="str">
        <f t="shared" si="95"/>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ht="33">
      <c r="B2000" s="251" t="b">
        <v>0</v>
      </c>
      <c r="C2000" s="249"/>
      <c r="D2000" s="295" t="str">
        <f t="shared" si="94"/>
        <v>S43AA061 Anchor Bolt Work Shelter/Building Anchor Bolt (Material Supply)</v>
      </c>
      <c r="E2000" s="249" t="str">
        <f t="shared" si="95"/>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ht="33">
      <c r="B2001" s="251" t="b">
        <v>0</v>
      </c>
      <c r="C2001" s="249"/>
      <c r="D2001" s="295" t="str">
        <f t="shared" si="94"/>
        <v>S43AA061 Anchor Bolt Work Shelter/Building Anchor Bolt (Material Supply)</v>
      </c>
      <c r="E2001" s="249" t="str">
        <f t="shared" si="95"/>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ht="33">
      <c r="B2002" s="251" t="b">
        <v>0</v>
      </c>
      <c r="C2002" s="249"/>
      <c r="D2002" s="295" t="str">
        <f t="shared" si="94"/>
        <v>S43AA061 Anchor Bolt Work Shelter/Building Anchor Bolt (Material Supply)</v>
      </c>
      <c r="E2002" s="249" t="str">
        <f t="shared" si="95"/>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ht="33">
      <c r="B2003" s="251" t="b">
        <v>0</v>
      </c>
      <c r="C2003" s="249"/>
      <c r="D2003" s="295" t="str">
        <f t="shared" si="94"/>
        <v>S43AA061 Anchor Bolt Work Shelter/Building Anchor Bolt (Material Supply)</v>
      </c>
      <c r="E2003" s="249" t="str">
        <f t="shared" si="95"/>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ht="33">
      <c r="B2004" s="251" t="b">
        <v>0</v>
      </c>
      <c r="C2004" s="249"/>
      <c r="D2004" s="295" t="str">
        <f t="shared" si="94"/>
        <v>S43AA061 Anchor Bolt Work Shelter/Building Anchor Bolt (Material Supply)</v>
      </c>
      <c r="E2004" s="249" t="str">
        <f t="shared" si="95"/>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ht="33">
      <c r="B2005" s="251" t="b">
        <v>0</v>
      </c>
      <c r="C2005" s="249"/>
      <c r="D2005" s="295" t="str">
        <f t="shared" si="94"/>
        <v>S43AA061 Anchor Bolt Work Shelter/Building Anchor Bolt (Material Supply)</v>
      </c>
      <c r="E2005" s="249" t="str">
        <f t="shared" si="95"/>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ht="33">
      <c r="B2006" s="251" t="b">
        <v>0</v>
      </c>
      <c r="C2006" s="249"/>
      <c r="D2006" s="295" t="str">
        <f t="shared" si="94"/>
        <v>S43AA061 Anchor Bolt Work Shelter/Building Anchor Bolt (Material Supply)</v>
      </c>
      <c r="E2006" s="249" t="str">
        <f t="shared" si="95"/>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ht="33">
      <c r="B2007" s="251" t="b">
        <v>0</v>
      </c>
      <c r="C2007" s="249"/>
      <c r="D2007" s="295" t="str">
        <f t="shared" si="94"/>
        <v>S43AA061 Anchor Bolt Work Shelter/Building Anchor Bolt (Material Supply)</v>
      </c>
      <c r="E2007" s="249" t="str">
        <f t="shared" si="95"/>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ht="33">
      <c r="B2008" s="251" t="b">
        <v>0</v>
      </c>
      <c r="C2008" s="249"/>
      <c r="D2008" s="295" t="str">
        <f t="shared" si="94"/>
        <v>S43AA061 Anchor Bolt Work Shelter/Building Anchor Bolt (Material Supply)</v>
      </c>
      <c r="E2008" s="249" t="str">
        <f t="shared" si="95"/>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ht="33">
      <c r="B2009" s="251" t="b">
        <v>0</v>
      </c>
      <c r="C2009" s="249"/>
      <c r="D2009" s="295" t="str">
        <f t="shared" si="94"/>
        <v>S43AA061 Anchor Bolt Work Shelter/Building Anchor Bolt (Material Supply)</v>
      </c>
      <c r="E2009" s="249" t="str">
        <f t="shared" si="95"/>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ht="33">
      <c r="B2010" s="251" t="b">
        <v>0</v>
      </c>
      <c r="C2010" s="249"/>
      <c r="D2010" s="295" t="str">
        <f t="shared" si="94"/>
        <v>S43AA061 Anchor Bolt Work Shelter/Building Anchor Bolt (Material Supply)</v>
      </c>
      <c r="E2010" s="249" t="str">
        <f t="shared" si="95"/>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ht="33">
      <c r="B2011" s="251" t="b">
        <v>0</v>
      </c>
      <c r="C2011" s="249"/>
      <c r="D2011" s="295" t="str">
        <f t="shared" si="94"/>
        <v>S43AA061 Anchor Bolt Work Shelter/Building Anchor Bolt (Material Supply)</v>
      </c>
      <c r="E2011" s="249" t="str">
        <f t="shared" si="95"/>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ht="33">
      <c r="B2012" s="251" t="b">
        <v>0</v>
      </c>
      <c r="C2012" s="249"/>
      <c r="D2012" s="295" t="str">
        <f t="shared" si="94"/>
        <v>S43AA061 Anchor Bolt Work Shelter/Building Anchor Bolt (Material Supply)</v>
      </c>
      <c r="E2012" s="249" t="str">
        <f t="shared" si="95"/>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ht="33">
      <c r="B2013" s="251" t="b">
        <v>0</v>
      </c>
      <c r="C2013" s="249"/>
      <c r="D2013" s="295" t="str">
        <f t="shared" si="94"/>
        <v>S43AA062 Anchor Bolt Work Shelter/Building Setting Bolt</v>
      </c>
      <c r="E2013" s="249" t="str">
        <f t="shared" si="95"/>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ht="33">
      <c r="B2014" s="251" t="b">
        <v>0</v>
      </c>
      <c r="C2014" s="249"/>
      <c r="D2014" s="295" t="str">
        <f t="shared" si="94"/>
        <v>S43AA062 Anchor Bolt Work Shelter/Building Setting Bolt</v>
      </c>
      <c r="E2014" s="249" t="str">
        <f t="shared" si="95"/>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ht="33">
      <c r="B2015" s="251" t="b">
        <v>0</v>
      </c>
      <c r="C2015" s="249"/>
      <c r="D2015" s="295" t="str">
        <f t="shared" si="94"/>
        <v>S43AA062 Anchor Bolt Work Shelter/Building Setting Bolt</v>
      </c>
      <c r="E2015" s="249" t="str">
        <f t="shared" si="95"/>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ht="33">
      <c r="B2016" s="251" t="b">
        <v>0</v>
      </c>
      <c r="C2016" s="249"/>
      <c r="D2016" s="295" t="str">
        <f t="shared" si="94"/>
        <v>S43AA062 Anchor Bolt Work Shelter/Building Setting Bolt</v>
      </c>
      <c r="E2016" s="249" t="str">
        <f t="shared" si="95"/>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ht="33">
      <c r="B2017" s="251" t="b">
        <v>0</v>
      </c>
      <c r="C2017" s="249"/>
      <c r="D2017" s="295" t="str">
        <f t="shared" si="94"/>
        <v>S43AA062 Anchor Bolt Work Shelter/Building Setting Bolt</v>
      </c>
      <c r="E2017" s="249" t="str">
        <f t="shared" si="95"/>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ht="33">
      <c r="B2018" s="251" t="b">
        <v>0</v>
      </c>
      <c r="C2018" s="249"/>
      <c r="D2018" s="295" t="str">
        <f t="shared" si="94"/>
        <v>S43AA062 Anchor Bolt Work Shelter/Building Setting Bolt</v>
      </c>
      <c r="E2018" s="249" t="str">
        <f t="shared" si="95"/>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ht="33">
      <c r="B2019" s="251" t="b">
        <v>0</v>
      </c>
      <c r="C2019" s="249"/>
      <c r="D2019" s="295" t="str">
        <f t="shared" si="94"/>
        <v>S43AA062 Anchor Bolt Work Shelter/Building Setting Bolt</v>
      </c>
      <c r="E2019" s="249" t="str">
        <f t="shared" si="95"/>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ht="33">
      <c r="B2020" s="251" t="b">
        <v>0</v>
      </c>
      <c r="C2020" s="249"/>
      <c r="D2020" s="295" t="str">
        <f t="shared" si="94"/>
        <v>S43AA062 Anchor Bolt Work Shelter/Building Setting Bolt</v>
      </c>
      <c r="E2020" s="249" t="str">
        <f t="shared" si="95"/>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ht="33">
      <c r="B2021" s="251" t="b">
        <v>0</v>
      </c>
      <c r="C2021" s="249"/>
      <c r="D2021" s="295" t="str">
        <f t="shared" si="94"/>
        <v>S43AA062 Anchor Bolt Work Shelter/Building Setting Bolt</v>
      </c>
      <c r="E2021" s="249" t="str">
        <f t="shared" si="95"/>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ht="33">
      <c r="B2022" s="251" t="b">
        <v>0</v>
      </c>
      <c r="C2022" s="249"/>
      <c r="D2022" s="295" t="str">
        <f t="shared" si="94"/>
        <v>S43AA062 Anchor Bolt Work Shelter/Building Setting Bolt</v>
      </c>
      <c r="E2022" s="249" t="str">
        <f t="shared" si="95"/>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ht="33">
      <c r="B2023" s="251" t="b">
        <v>0</v>
      </c>
      <c r="C2023" s="249"/>
      <c r="D2023" s="295" t="str">
        <f t="shared" si="94"/>
        <v>S43AA062 Anchor Bolt Work Shelter/Building Setting Bolt</v>
      </c>
      <c r="E2023" s="249" t="str">
        <f t="shared" si="95"/>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ht="33">
      <c r="B2024" s="251" t="b">
        <v>0</v>
      </c>
      <c r="C2024" s="249"/>
      <c r="D2024" s="295" t="str">
        <f t="shared" si="94"/>
        <v>S43AA062 Anchor Bolt Work Shelter/Building Setting Bolt</v>
      </c>
      <c r="E2024" s="249" t="str">
        <f t="shared" si="95"/>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ht="33">
      <c r="B2025" s="251" t="b">
        <v>0</v>
      </c>
      <c r="C2025" s="249"/>
      <c r="D2025" s="295" t="str">
        <f t="shared" si="94"/>
        <v>S43AA062 Anchor Bolt Work Shelter/Building Setting Bolt</v>
      </c>
      <c r="E2025" s="249" t="str">
        <f t="shared" si="95"/>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ht="33">
      <c r="B2026" s="251" t="b">
        <v>0</v>
      </c>
      <c r="C2026" s="249"/>
      <c r="D2026" s="295" t="str">
        <f t="shared" si="94"/>
        <v>S43AA062 Anchor Bolt Work Shelter/Building Setting Bolt</v>
      </c>
      <c r="E2026" s="249" t="str">
        <f t="shared" si="95"/>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ht="33">
      <c r="B2027" s="251" t="b">
        <v>0</v>
      </c>
      <c r="C2027" s="249"/>
      <c r="D2027" s="295" t="str">
        <f t="shared" si="94"/>
        <v>S43AA062 Anchor Bolt Work Shelter/Building Setting Bolt</v>
      </c>
      <c r="E2027" s="249" t="str">
        <f t="shared" si="95"/>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ht="33">
      <c r="B2028" s="251" t="b">
        <v>0</v>
      </c>
      <c r="C2028" s="249"/>
      <c r="D2028" s="295" t="str">
        <f t="shared" si="94"/>
        <v>S43AA062 Anchor Bolt Work Shelter/Building Setting Bolt</v>
      </c>
      <c r="E2028" s="249" t="str">
        <f t="shared" si="95"/>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ht="33">
      <c r="B2029" s="251" t="b">
        <v>0</v>
      </c>
      <c r="C2029" s="249"/>
      <c r="D2029" s="295" t="str">
        <f t="shared" si="94"/>
        <v>S43AA062 Anchor Bolt Work Shelter/Building Setting Bolt</v>
      </c>
      <c r="E2029" s="249" t="str">
        <f t="shared" si="95"/>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ht="33">
      <c r="B2030" s="252" t="b">
        <v>0</v>
      </c>
      <c r="C2030" s="250"/>
      <c r="D2030" s="297" t="str">
        <f t="shared" si="94"/>
        <v>F01AA000 Building/Shelter Fire Proofing Work Dense Concrete -</v>
      </c>
      <c r="E2030" s="250" t="str">
        <f t="shared" si="95"/>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ht="33">
      <c r="B2031" s="252" t="b">
        <v>0</v>
      </c>
      <c r="C2031" s="250"/>
      <c r="D2031" s="297" t="str">
        <f t="shared" si="94"/>
        <v>F01AA000 Building/Shelter Fire Proofing Work Dense Concrete -</v>
      </c>
      <c r="E2031" s="250" t="str">
        <f t="shared" si="95"/>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ht="33">
      <c r="B2032" s="252" t="b">
        <v>0</v>
      </c>
      <c r="C2032" s="250"/>
      <c r="D2032" s="297" t="str">
        <f t="shared" si="94"/>
        <v>F01AA000 Building/Shelter Fire Proofing Work Dense Concrete -</v>
      </c>
      <c r="E2032" s="250" t="str">
        <f t="shared" si="95"/>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ht="33">
      <c r="B2033" s="252" t="b">
        <v>0</v>
      </c>
      <c r="C2033" s="250"/>
      <c r="D2033" s="297" t="str">
        <f t="shared" si="94"/>
        <v>F01AA000 Building/Shelter Fire Proofing Work Dense Concrete -</v>
      </c>
      <c r="E2033" s="250" t="str">
        <f t="shared" si="95"/>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ht="33">
      <c r="B2034" s="252" t="b">
        <v>0</v>
      </c>
      <c r="C2034" s="250"/>
      <c r="D2034" s="297" t="str">
        <f t="shared" si="94"/>
        <v>F01AA000 Building/Shelter Fire Proofing Work Dense Concrete -</v>
      </c>
      <c r="E2034" s="250" t="str">
        <f t="shared" si="95"/>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ht="33">
      <c r="B2035" s="252" t="b">
        <v>0</v>
      </c>
      <c r="C2035" s="250"/>
      <c r="D2035" s="297" t="str">
        <f t="shared" si="94"/>
        <v>F01AA000 Building/Shelter Fire Proofing Work Dense Concrete -</v>
      </c>
      <c r="E2035" s="250" t="str">
        <f t="shared" si="95"/>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ht="33">
      <c r="B2036" s="252" t="b">
        <v>0</v>
      </c>
      <c r="C2036" s="250"/>
      <c r="D2036" s="297" t="str">
        <f t="shared" si="94"/>
        <v>F01AA000 Building/Shelter Fire Proofing Work Dense Concrete -</v>
      </c>
      <c r="E2036" s="250" t="str">
        <f t="shared" si="95"/>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ht="33">
      <c r="B2037" s="252" t="b">
        <v>0</v>
      </c>
      <c r="C2037" s="250"/>
      <c r="D2037" s="297" t="str">
        <f t="shared" si="94"/>
        <v>F01AA000 Building/Shelter Fire Proofing Work Dense Concrete -</v>
      </c>
      <c r="E2037" s="250" t="str">
        <f t="shared" si="95"/>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ht="33">
      <c r="B2038" s="252" t="b">
        <v>0</v>
      </c>
      <c r="C2038" s="250"/>
      <c r="D2038" s="297" t="str">
        <f t="shared" si="94"/>
        <v>F01AA000 Building/Shelter Fire Proofing Work Dense Concrete -</v>
      </c>
      <c r="E2038" s="250" t="str">
        <f t="shared" si="95"/>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ht="33">
      <c r="B2039" s="251" t="b">
        <v>0</v>
      </c>
      <c r="C2039" s="249"/>
      <c r="D2039" s="295" t="str">
        <f t="shared" si="94"/>
        <v>F01AB000 Building/Shelter Fire Proofing Work Lightweight Cementitious -</v>
      </c>
      <c r="E2039" s="249" t="str">
        <f t="shared" si="95"/>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ht="33">
      <c r="B2040" s="251" t="b">
        <v>0</v>
      </c>
      <c r="C2040" s="249"/>
      <c r="D2040" s="295" t="str">
        <f t="shared" si="94"/>
        <v>F01AB000 Building/Shelter Fire Proofing Work Lightweight Cementitious -</v>
      </c>
      <c r="E2040" s="249" t="str">
        <f t="shared" si="95"/>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ht="33">
      <c r="B2041" s="251" t="b">
        <v>0</v>
      </c>
      <c r="C2041" s="249"/>
      <c r="D2041" s="295" t="str">
        <f t="shared" si="94"/>
        <v>F01AB000 Building/Shelter Fire Proofing Work Lightweight Cementitious -</v>
      </c>
      <c r="E2041" s="249" t="str">
        <f t="shared" si="95"/>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ht="33">
      <c r="B2042" s="251" t="b">
        <v>0</v>
      </c>
      <c r="C2042" s="249"/>
      <c r="D2042" s="295" t="str">
        <f t="shared" si="94"/>
        <v>F01AB000 Building/Shelter Fire Proofing Work Lightweight Cementitious -</v>
      </c>
      <c r="E2042" s="249" t="str">
        <f t="shared" si="95"/>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ht="33">
      <c r="B2043" s="251" t="b">
        <v>0</v>
      </c>
      <c r="C2043" s="249"/>
      <c r="D2043" s="295" t="str">
        <f t="shared" si="94"/>
        <v>F01AB000 Building/Shelter Fire Proofing Work Lightweight Cementitious -</v>
      </c>
      <c r="E2043" s="249" t="str">
        <f t="shared" si="95"/>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ht="33">
      <c r="B2044" s="251" t="b">
        <v>0</v>
      </c>
      <c r="C2044" s="249"/>
      <c r="D2044" s="295" t="str">
        <f t="shared" si="94"/>
        <v>F01AB000 Building/Shelter Fire Proofing Work Lightweight Cementitious -</v>
      </c>
      <c r="E2044" s="249" t="str">
        <f t="shared" si="95"/>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ht="33">
      <c r="B2045" s="251" t="b">
        <v>0</v>
      </c>
      <c r="C2045" s="249"/>
      <c r="D2045" s="295" t="str">
        <f t="shared" si="94"/>
        <v>F01AB000 Building/Shelter Fire Proofing Work Lightweight Cementitious -</v>
      </c>
      <c r="E2045" s="249" t="str">
        <f t="shared" si="95"/>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ht="33">
      <c r="B2046" s="251" t="b">
        <v>0</v>
      </c>
      <c r="C2046" s="249"/>
      <c r="D2046" s="295" t="str">
        <f t="shared" si="94"/>
        <v>F01AB000 Building/Shelter Fire Proofing Work Lightweight Cementitious -</v>
      </c>
      <c r="E2046" s="249" t="str">
        <f t="shared" si="95"/>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ht="33">
      <c r="B2047" s="251" t="b">
        <v>0</v>
      </c>
      <c r="C2047" s="249"/>
      <c r="D2047" s="295" t="str">
        <f t="shared" si="94"/>
        <v>F01AB000 Building/Shelter Fire Proofing Work Lightweight Cementitious -</v>
      </c>
      <c r="E2047" s="249" t="str">
        <f t="shared" si="95"/>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ht="33">
      <c r="B2048" s="252" t="b">
        <v>0</v>
      </c>
      <c r="C2048" s="250"/>
      <c r="D2048" s="297" t="str">
        <f t="shared" si="94"/>
        <v>F01AC000 Building/Shelter Fire Proofing Work Intumescent Coating Type -</v>
      </c>
      <c r="E2048" s="250" t="str">
        <f t="shared" si="95"/>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ht="33">
      <c r="B2049" s="252" t="b">
        <v>0</v>
      </c>
      <c r="C2049" s="250"/>
      <c r="D2049" s="297" t="str">
        <f t="shared" si="94"/>
        <v>F01AC000 Building/Shelter Fire Proofing Work Intumescent Coating Type -</v>
      </c>
      <c r="E2049" s="250" t="str">
        <f t="shared" si="95"/>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ht="33">
      <c r="B2050" s="252" t="b">
        <v>0</v>
      </c>
      <c r="C2050" s="250"/>
      <c r="D2050" s="297" t="str">
        <f t="shared" si="94"/>
        <v>F01AC000 Building/Shelter Fire Proofing Work Intumescent Coating Type -</v>
      </c>
      <c r="E2050" s="250" t="str">
        <f t="shared" si="95"/>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ht="33">
      <c r="B2051" s="252" t="b">
        <v>0</v>
      </c>
      <c r="C2051" s="250"/>
      <c r="D2051" s="297" t="str">
        <f t="shared" si="94"/>
        <v>F01AC000 Building/Shelter Fire Proofing Work Intumescent Coating Type -</v>
      </c>
      <c r="E2051" s="250" t="str">
        <f t="shared" si="95"/>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ht="33">
      <c r="B2052" s="252" t="b">
        <v>0</v>
      </c>
      <c r="C2052" s="250"/>
      <c r="D2052" s="297" t="str">
        <f t="shared" si="94"/>
        <v>F01AC000 Building/Shelter Fire Proofing Work Intumescent Coating Type -</v>
      </c>
      <c r="E2052" s="250" t="str">
        <f t="shared" si="95"/>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ht="33">
      <c r="B2053" s="252" t="b">
        <v>0</v>
      </c>
      <c r="C2053" s="250"/>
      <c r="D2053" s="297" t="str">
        <f t="shared" si="94"/>
        <v>F01AC000 Building/Shelter Fire Proofing Work Intumescent Coating Type -</v>
      </c>
      <c r="E2053" s="250" t="str">
        <f t="shared" si="95"/>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ht="33">
      <c r="B2054" s="252" t="b">
        <v>0</v>
      </c>
      <c r="C2054" s="250"/>
      <c r="D2054" s="297" t="str">
        <f t="shared" ref="D2054:D2071" si="97">G2054&amp;" "&amp;L2054&amp;" "&amp;N2054&amp;" "&amp;P2054</f>
        <v>F01AC000 Building/Shelter Fire Proofing Work Intumescent Coating Type -</v>
      </c>
      <c r="E2054" s="250" t="str">
        <f t="shared" ref="E2054:E2071" si="98">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ht="33">
      <c r="B2055" s="252" t="b">
        <v>0</v>
      </c>
      <c r="C2055" s="250"/>
      <c r="D2055" s="297" t="str">
        <f t="shared" si="97"/>
        <v>F01AC000 Building/Shelter Fire Proofing Work Intumescent Coating Type -</v>
      </c>
      <c r="E2055" s="250" t="str">
        <f t="shared" si="98"/>
        <v>M2</v>
      </c>
      <c r="F2055" s="297" t="str">
        <f t="shared" ref="F2055:F2071" si="99">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ht="33">
      <c r="B2056" s="252" t="b">
        <v>0</v>
      </c>
      <c r="C2056" s="250"/>
      <c r="D2056" s="297" t="str">
        <f t="shared" si="97"/>
        <v>F01AC000 Building/Shelter Fire Proofing Work Intumescent Coating Type -</v>
      </c>
      <c r="E2056" s="250" t="str">
        <f t="shared" si="98"/>
        <v>M2</v>
      </c>
      <c r="F2056" s="297" t="str">
        <f t="shared" si="99"/>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ht="33">
      <c r="B2057" s="252" t="b">
        <v>0</v>
      </c>
      <c r="C2057" s="250"/>
      <c r="D2057" s="297" t="str">
        <f t="shared" si="97"/>
        <v>F01AC000 Building/Shelter Fire Proofing Work Intumescent Coating Type -</v>
      </c>
      <c r="E2057" s="250" t="str">
        <f t="shared" si="98"/>
        <v>M2</v>
      </c>
      <c r="F2057" s="297" t="str">
        <f t="shared" si="99"/>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ht="33">
      <c r="B2058" s="252" t="b">
        <v>0</v>
      </c>
      <c r="C2058" s="250"/>
      <c r="D2058" s="297" t="str">
        <f t="shared" si="97"/>
        <v>F01AC000 Building/Shelter Fire Proofing Work Intumescent Coating Type -</v>
      </c>
      <c r="E2058" s="250" t="str">
        <f t="shared" si="98"/>
        <v>M2</v>
      </c>
      <c r="F2058" s="297" t="str">
        <f t="shared" si="99"/>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ht="33">
      <c r="B2059" s="252" t="b">
        <v>0</v>
      </c>
      <c r="C2059" s="250"/>
      <c r="D2059" s="297" t="str">
        <f t="shared" si="97"/>
        <v>F01AC000 Building/Shelter Fire Proofing Work Intumescent Coating Type -</v>
      </c>
      <c r="E2059" s="250" t="str">
        <f t="shared" si="98"/>
        <v>M2</v>
      </c>
      <c r="F2059" s="297" t="str">
        <f t="shared" si="99"/>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ht="33">
      <c r="B2060" s="252" t="b">
        <v>0</v>
      </c>
      <c r="C2060" s="250"/>
      <c r="D2060" s="297" t="str">
        <f t="shared" si="97"/>
        <v>F01AC000 Building/Shelter Fire Proofing Work Intumescent Coating Type -</v>
      </c>
      <c r="E2060" s="250" t="str">
        <f t="shared" si="98"/>
        <v>M2</v>
      </c>
      <c r="F2060" s="297" t="str">
        <f t="shared" si="99"/>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ht="33">
      <c r="B2061" s="252" t="b">
        <v>0</v>
      </c>
      <c r="C2061" s="250"/>
      <c r="D2061" s="297" t="str">
        <f t="shared" si="97"/>
        <v>F01AC000 Building/Shelter Fire Proofing Work Intumescent Coating Type -</v>
      </c>
      <c r="E2061" s="250" t="str">
        <f t="shared" si="98"/>
        <v>M2</v>
      </c>
      <c r="F2061" s="297" t="str">
        <f t="shared" si="99"/>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ht="33">
      <c r="B2062" s="252" t="b">
        <v>0</v>
      </c>
      <c r="C2062" s="250"/>
      <c r="D2062" s="297" t="str">
        <f t="shared" si="97"/>
        <v>F01AC000 Building/Shelter Fire Proofing Work Intumescent Coating Type -</v>
      </c>
      <c r="E2062" s="250" t="str">
        <f t="shared" si="98"/>
        <v>M2</v>
      </c>
      <c r="F2062" s="297" t="str">
        <f t="shared" si="99"/>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ht="33">
      <c r="B2063" s="252" t="b">
        <v>0</v>
      </c>
      <c r="C2063" s="250"/>
      <c r="D2063" s="297" t="str">
        <f t="shared" si="97"/>
        <v>F01AC000 Building/Shelter Fire Proofing Work Intumescent Coating Type -</v>
      </c>
      <c r="E2063" s="250" t="str">
        <f t="shared" si="98"/>
        <v>M2</v>
      </c>
      <c r="F2063" s="297" t="str">
        <f t="shared" si="99"/>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ht="33">
      <c r="B2064" s="252" t="b">
        <v>0</v>
      </c>
      <c r="C2064" s="250"/>
      <c r="D2064" s="297" t="str">
        <f t="shared" si="97"/>
        <v>F01AC000 Building/Shelter Fire Proofing Work Intumescent Coating Type -</v>
      </c>
      <c r="E2064" s="250" t="str">
        <f t="shared" si="98"/>
        <v>M2</v>
      </c>
      <c r="F2064" s="297" t="str">
        <f t="shared" si="99"/>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ht="33">
      <c r="B2065" s="252" t="b">
        <v>0</v>
      </c>
      <c r="C2065" s="250"/>
      <c r="D2065" s="297" t="str">
        <f t="shared" si="97"/>
        <v>F01AC000 Building/Shelter Fire Proofing Work Intumescent Coating Type -</v>
      </c>
      <c r="E2065" s="250" t="str">
        <f t="shared" si="98"/>
        <v>M2</v>
      </c>
      <c r="F2065" s="297" t="str">
        <f t="shared" si="99"/>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ht="33">
      <c r="B2066" s="251" t="b">
        <v>0</v>
      </c>
      <c r="C2066" s="249"/>
      <c r="D2066" s="295" t="str">
        <f t="shared" si="97"/>
        <v>F01AD000 Building/Shelter Fire Proofing Work Top Coat for Cementitious Fire Proofing -</v>
      </c>
      <c r="E2066" s="249" t="str">
        <f t="shared" si="98"/>
        <v>M2</v>
      </c>
      <c r="F2066" s="295" t="str">
        <f t="shared" si="99"/>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ht="33">
      <c r="B2067" s="252" t="b">
        <v>0</v>
      </c>
      <c r="C2067" s="250"/>
      <c r="D2067" s="297" t="str">
        <f t="shared" si="97"/>
        <v>F01AF000 Building/Shelter Fire Proofing Work Cryogenic (Cold protection) -</v>
      </c>
      <c r="E2067" s="250" t="str">
        <f t="shared" si="98"/>
        <v>M2</v>
      </c>
      <c r="F2067" s="297" t="str">
        <f t="shared" si="99"/>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ht="33">
      <c r="B2068" s="251" t="b">
        <v>0</v>
      </c>
      <c r="C2068" s="249"/>
      <c r="D2068" s="295" t="str">
        <f t="shared" si="97"/>
        <v>F01AM000 Building/Shelter Fire Proofing Work Top Coat for Dense Concrete Fire Proofing -</v>
      </c>
      <c r="E2068" s="249" t="str">
        <f t="shared" si="98"/>
        <v>M2</v>
      </c>
      <c r="F2068" s="295" t="str">
        <f t="shared" si="99"/>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ht="49.5">
      <c r="B2069" s="252" t="b">
        <v>0</v>
      </c>
      <c r="C2069" s="250"/>
      <c r="D2069" s="297" t="str">
        <f t="shared" si="97"/>
        <v>F01AP000 Building/Shelter Fire Proofing Work Top Coat for Cryogenic (Cold protection) Fire Proofing -</v>
      </c>
      <c r="E2069" s="250" t="str">
        <f t="shared" si="98"/>
        <v>M2</v>
      </c>
      <c r="F2069" s="297" t="str">
        <f t="shared" si="99"/>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ht="33">
      <c r="B2070" s="251" t="b">
        <v>0</v>
      </c>
      <c r="C2070" s="249"/>
      <c r="D2070" s="295" t="str">
        <f t="shared" si="97"/>
        <v>F01AQ000 Building/Shelter Fire Proofing Work Top Coat for Intumescent Fire Proofing -</v>
      </c>
      <c r="E2070" s="249" t="str">
        <f t="shared" si="98"/>
        <v>M2</v>
      </c>
      <c r="F2070" s="295" t="str">
        <f t="shared" si="99"/>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ht="49.5">
      <c r="B2071" s="252" t="b">
        <v>0</v>
      </c>
      <c r="C2071" s="250"/>
      <c r="D2071" s="297" t="str">
        <f t="shared" si="97"/>
        <v>F01AR000 Building/Shelter Fire Proofing Work Intermediate and top Coat for Intumescent Fire Proofing -</v>
      </c>
      <c r="E2071" s="250" t="str">
        <f t="shared" si="98"/>
        <v>M2</v>
      </c>
      <c r="F2071" s="297" t="str">
        <f t="shared" si="99"/>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Props1.xml><?xml version="1.0" encoding="utf-8"?>
<ds:datastoreItem xmlns:ds="http://schemas.openxmlformats.org/officeDocument/2006/customXml" ds:itemID="{6BE75F04-54E0-43E0-8C97-44A6C8573D03}">
  <ds:schemaRefs>
    <ds:schemaRef ds:uri="http://schemas.microsoft.com/sharepoint/v3/contenttype/forms"/>
  </ds:schemaRefs>
</ds:datastoreItem>
</file>

<file path=customXml/itemProps2.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만규 장</cp:lastModifiedBy>
  <cp:lastPrinted>2024-11-07T05:06:44Z</cp:lastPrinted>
  <dcterms:created xsi:type="dcterms:W3CDTF">2024-10-22T08:15:25Z</dcterms:created>
  <dcterms:modified xsi:type="dcterms:W3CDTF">2024-12-11T15:27:07Z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